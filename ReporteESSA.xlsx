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6.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_rels/externalLink2.xml.rels" ContentType="application/vnd.openxmlformats-package.relationships+xml"/>
  <Override PartName="/xl/externalLinks/_rels/externalLink1.xml.rels" ContentType="application/vnd.openxmlformats-package.relationship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Manual de Uso" sheetId="1" state="visible" r:id="rId2"/>
    <sheet name="1. Líneas" sheetId="2" state="visible" r:id="rId3"/>
    <sheet name="2. Tr3" sheetId="3" state="visible" r:id="rId4"/>
    <sheet name="3. Tr2" sheetId="4" state="visible" r:id="rId5"/>
    <sheet name="4. Subestaciones" sheetId="5" state="visible" r:id="rId6"/>
    <sheet name="5. Demanda" sheetId="6" state="visible" r:id="rId7"/>
    <sheet name="6. Compensacion" sheetId="7" state="visible" r:id="rId8"/>
    <sheet name="7. Compensacion dinamica" sheetId="8" state="visible" r:id="rId9"/>
    <sheet name="8. DFACTS" sheetId="9" state="visible" r:id="rId10"/>
    <sheet name="Listas Desplegables" sheetId="10" state="visible" r:id="rId11"/>
  </sheets>
  <externalReferences>
    <externalReference r:id="rId12"/>
    <externalReference r:id="rId13"/>
  </externalReferences>
  <definedNames>
    <definedName function="false" hidden="true" localSheetId="1" name="_xlnm._FilterDatabase" vbProcedure="false">'1. Líneas'!$C$4:$AC$288</definedName>
    <definedName function="false" hidden="true" localSheetId="2" name="_xlnm._FilterDatabase" vbProcedure="false">'2. Tr3'!$A$5:$AJ$57</definedName>
    <definedName function="false" hidden="true" localSheetId="5" name="_xlnm._FilterDatabase" vbProcedure="false">'5. Demanda'!$A$5:$Z$378</definedName>
    <definedName function="false" hidden="false" name="Agua" vbProcedure="false">'listas desplegables'!#ref!</definedName>
    <definedName function="false" hidden="false" name="Biomasa" vbProcedure="false">'Listas Desplegables'!$H$9:$H$10</definedName>
    <definedName function="false" hidden="false" name="Carbón" vbProcedure="false">'listas desplegables'!#ref!</definedName>
    <definedName function="false" hidden="false" name="Crudo_Pesado" vbProcedure="false">'listas desplegables'!#ref!</definedName>
    <definedName function="false" hidden="false" name="Cultivo_Energético" vbProcedure="false">'listas desplegables'!#ref!</definedName>
    <definedName function="false" hidden="false" name="Eólica" vbProcedure="false">'Listas Desplegables'!$F$9:$F$9</definedName>
    <definedName function="false" hidden="false" name="Fuil_Oil" vbProcedure="false">'listas desplegables'!#ref!</definedName>
    <definedName function="false" hidden="false" name="Gas" vbProcedure="false">'listas desplegables'!#ref!</definedName>
    <definedName function="false" hidden="false" name="Geotérmica" vbProcedure="false">'Listas Desplegables'!$I$9:$I$9</definedName>
    <definedName function="false" hidden="false" name="Hidráulico" vbProcedure="false">'Listas Desplegables'!$G$9:$G$9</definedName>
    <definedName function="false" hidden="false" name="Otro" vbProcedure="false">'listas desplegables'!#ref!</definedName>
    <definedName function="false" hidden="false" name="Recurso" vbProcedure="false">'Listas Desplegables'!$B$11:$B$12</definedName>
    <definedName function="false" hidden="false" name="Residuos_Agrícolas_Cultivo" vbProcedure="false">'listas desplegables'!#ref!</definedName>
    <definedName function="false" hidden="false" name="Residuos_Agrícolas_Industriales" vbProcedure="false">'listas desplegables'!#ref!</definedName>
    <definedName function="false" hidden="false" name="Residuos_Pecuarios" vbProcedure="false">'listas desplegables'!#ref!</definedName>
    <definedName function="false" hidden="false" name="Residuos_Solidos_Urbanos" vbProcedure="false">'listas desplegables'!#ref!</definedName>
    <definedName function="false" hidden="false" name="Sol" vbProcedure="false">'listas desplegables'!#ref!</definedName>
    <definedName function="false" hidden="false" name="Solar" vbProcedure="false">'Listas Desplegables'!$E$9:$E$9</definedName>
    <definedName function="false" hidden="false" name="Tecnologia" vbProcedure="false">'listas desplegables'!#ref!</definedName>
    <definedName function="false" hidden="false" name="TGenerador" vbProcedure="false">'[1]Listas Desplegables'!$B$3:$B$7</definedName>
    <definedName function="false" hidden="false" name="TProyecto" vbProcedure="false">'Listas Desplegables'!$B$8:$B$9</definedName>
    <definedName function="false" hidden="false" name="Térmica" vbProcedure="false">'Listas Desplegables'!$J$9:$J$9</definedName>
    <definedName function="false" hidden="false" name="Vapor" vbProcedure="false">'listas desplegables'!#ref!</definedName>
    <definedName function="false" hidden="false" name="Viento" vbProcedure="false">'listas desplegables'!#ref!</definedName>
    <definedName function="false" hidden="false" name="zona" vbProcedure="false">'listas desplegables'!#ref!</definedName>
    <definedName function="false" hidden="false" localSheetId="9" name="TGenerador" vbProcedure="false">'Listas Desplegables'!$B$4:$B$6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<sst xmlns="http://schemas.openxmlformats.org/spreadsheetml/2006/main" count="7103" uniqueCount="1827">
  <si>
    <t xml:space="preserve">MANUAL DE USO PARA EL REPORTE DE INFORMACIÓN REQUERIDA DE LOS TRANSPORTADORES</t>
  </si>
  <si>
    <t xml:space="preserve">INTRODUCCIÓN</t>
  </si>
  <si>
    <t xml:space="preserve">El presente formato se establece en cumplimiento de lo establecido en el articulo 7 de la Resolución CREG 075 de 2021, para facilitar el reporte uniforme de la información que los transportadores deben entregar para la realización de los estudios de conexión y disponibilidad de espacio físico. 
El uso del presente formato es transitorio, y se requerirá hasta que entre en funcionamiento el sistema de información de la ventanilla única de la UPME, a través del cual se reportará y actualizará la información requerida para estudios de conexión.</t>
  </si>
  <si>
    <t xml:space="preserve">CONTENIDO</t>
  </si>
  <si>
    <t xml:space="preserve">El Formato se encuentra dividido en 9 secciones según el tipo de activo a reportar: 
1. Información de líneas de transmisión y distribución
2. Información de transformadores tridevanados
3. Información de transformadores bidevanados
4. Información de subestaciones
5. Información de demandas
6. Información de compensaciones
7. Información de compensaciones dinámicas
8. Información de dispositivos DFACTS
9. Información de disponibilidad de espacio físico</t>
  </si>
  <si>
    <t xml:space="preserve">MANUAL DE USO</t>
  </si>
  <si>
    <t xml:space="preserve">Dentro de cada sección se solicita que el Transportador compile información característica de cada uno de los tipos de activo. A continuación, se presenta la información y una descripción de lo requerido:</t>
  </si>
  <si>
    <t xml:space="preserve">Líneas de transmisión y distribución</t>
  </si>
  <si>
    <t xml:space="preserve">Nombre</t>
  </si>
  <si>
    <t xml:space="preserve">Nombre de línea de transmisión o distribución.</t>
  </si>
  <si>
    <t xml:space="preserve">Subestación 1</t>
  </si>
  <si>
    <t xml:space="preserve">Subestación o punto de la red a la cual se conecta uno de los extremos de la línea</t>
  </si>
  <si>
    <t xml:space="preserve">Subestación 2</t>
  </si>
  <si>
    <t xml:space="preserve">Subestación o punto de la red a la cual se conecta el otro extremo de la línea</t>
  </si>
  <si>
    <t xml:space="preserve">Nivel de tensión [kV]</t>
  </si>
  <si>
    <t xml:space="preserve">Nivel de tensión nominal en kilovoltios al cual opera la línea</t>
  </si>
  <si>
    <t xml:space="preserve">Longitud [km]</t>
  </si>
  <si>
    <t xml:space="preserve">Longitud en kilometros de la línea</t>
  </si>
  <si>
    <t xml:space="preserve">Capacidad transporte nominal [A]</t>
  </si>
  <si>
    <t xml:space="preserve">Capacidad de transporte de corriente nominal de la línea de transmisión en estado estable en amperios</t>
  </si>
  <si>
    <t xml:space="preserve">Capacidad transporte térmico [A]</t>
  </si>
  <si>
    <t xml:space="preserve">Capacidad nominal de transporte de corriente del conductor de menor capacidad utilizado en la línea de transmisión en amperios</t>
  </si>
  <si>
    <t xml:space="preserve">Capacidad transporte emergencia [A]</t>
  </si>
  <si>
    <t xml:space="preserve">Capacidad de corriente máxima que puede soportar la línea ante condiciones de emergencia en amperios</t>
  </si>
  <si>
    <t xml:space="preserve">Causa límite de capacidad</t>
  </si>
  <si>
    <t xml:space="preserve">Declarar cuál es el elemento que impone el límite operativo, es decir el que restringe la máxima corriente.  Entre los elementos están: línea de transmisión (Cable), bajantes de conexión con los pararrayos y los transformadores de potencial, trampas de onda, transformadores de corriente, interruptores, seccionadores</t>
  </si>
  <si>
    <t xml:space="preserve">R1 [Ohm/km]</t>
  </si>
  <si>
    <t xml:space="preserve">Resistencia de secuencia positiva por unidad de longitud en ohmios por kilometro</t>
  </si>
  <si>
    <t xml:space="preserve">X1 [Ohm/km]</t>
  </si>
  <si>
    <t xml:space="preserve">Reactancia de secuencia positiva por unidad de longitud en ohmios por kilometro</t>
  </si>
  <si>
    <t xml:space="preserve">B1 [uS/km]</t>
  </si>
  <si>
    <t xml:space="preserve">Susceptancia de secuancia positiva por unidad de longitud en microsiemens por kilometro</t>
  </si>
  <si>
    <t xml:space="preserve">R0 [Ohm/km]</t>
  </si>
  <si>
    <t xml:space="preserve">Resistencia de secuencia cero por unidad de longitud en ohmios por kilometro</t>
  </si>
  <si>
    <t xml:space="preserve">X0 [Ohm/km]</t>
  </si>
  <si>
    <t xml:space="preserve">Reactancia de secuencia cero por unidad de longitud en ohmios por kilometro</t>
  </si>
  <si>
    <t xml:space="preserve">B0 [uS/km]</t>
  </si>
  <si>
    <t xml:space="preserve">Susceptancia de secuancia cero por unidad de longitud en microsiemens por kilometro</t>
  </si>
  <si>
    <t xml:space="preserve">Sistema</t>
  </si>
  <si>
    <t xml:space="preserve">Sistema al cual pertenece la línea. Se debe escoger en la lista desplegable entre: STN, STR y SDL. </t>
  </si>
  <si>
    <t xml:space="preserve">Tipo</t>
  </si>
  <si>
    <t xml:space="preserve">Tipo de línea. Se debe escoger en la lista desplegable entre: Áerea o Subterranea</t>
  </si>
  <si>
    <t xml:space="preserve">En Operación</t>
  </si>
  <si>
    <t xml:space="preserve">Se debe escoger en la lista desplegable entre: Sí, cuando el activo se encuentre en operación al momento de realizar la entrega de la información, o No, si el activo tiene una fecha de puesta en operación futura</t>
  </si>
  <si>
    <t xml:space="preserve">Activos de uso de STN</t>
  </si>
  <si>
    <t xml:space="preserve">FPO</t>
  </si>
  <si>
    <t xml:space="preserve">Si el activo no se encuentra en operación, se debe especificar la Fecha de Puesta en Operación planteada en formato dd/mm/aaaa.</t>
  </si>
  <si>
    <t xml:space="preserve">Activos de uso de STR y SDL</t>
  </si>
  <si>
    <t xml:space="preserve">Conductor</t>
  </si>
  <si>
    <t xml:space="preserve">Se debe indicar el calibre y material del conductor predominante en la línea de transmisión o distribución</t>
  </si>
  <si>
    <t xml:space="preserve">Activos de conexión del OR al STN</t>
  </si>
  <si>
    <t xml:space="preserve">Tiempo medio de reparación por evento [h]</t>
  </si>
  <si>
    <t xml:space="preserve">Tiempo de medio en horas que puede durar cada evento de indisponibilidad del activo</t>
  </si>
  <si>
    <t xml:space="preserve">Activos de conexión a un STR o a un SDL</t>
  </si>
  <si>
    <t xml:space="preserve">Horas anuales de indisponibilidad [h]</t>
  </si>
  <si>
    <t xml:space="preserve">Tiempo anual de indisponibilidad del activo en horas</t>
  </si>
  <si>
    <t xml:space="preserve">Eventos anuales de indisponibilidad</t>
  </si>
  <si>
    <t xml:space="preserve">Número de eventos de indisponibilidad del activo</t>
  </si>
  <si>
    <t xml:space="preserve">Operador</t>
  </si>
  <si>
    <t xml:space="preserve">Compañía que opera la línea de transmisión ante el CND</t>
  </si>
  <si>
    <t xml:space="preserve">Tipo activo Uso/Conexión</t>
  </si>
  <si>
    <r>
      <rPr>
        <b val="true"/>
        <sz val="11"/>
        <color rgb="FF000000"/>
        <rFont val="Calibri"/>
        <family val="2"/>
        <charset val="1"/>
      </rPr>
      <t xml:space="preserve">Activos de uso de STN</t>
    </r>
    <r>
      <rPr>
        <sz val="11"/>
        <color rgb="FF000000"/>
        <rFont val="Calibri"/>
        <family val="2"/>
        <charset val="1"/>
      </rPr>
      <t xml:space="preserve">: son aquellos activos de transporte de electricidad que operan a tensiones iguales o superiores a 220 kV, son remunerados mediante Cargos por Uso del STN y pueden estar constituidos por una o varias UC.  (Resolución CREG 011 de 2009. 
</t>
    </r>
    <r>
      <rPr>
        <b val="true"/>
        <sz val="11"/>
        <color rgb="FF000000"/>
        <rFont val="Calibri"/>
        <family val="2"/>
        <charset val="1"/>
      </rPr>
      <t xml:space="preserve">Activos de uso de STR y SDL:</t>
    </r>
    <r>
      <rPr>
        <sz val="11"/>
        <color rgb="FF000000"/>
        <rFont val="Calibri"/>
        <family val="2"/>
        <charset val="1"/>
      </rPr>
      <t xml:space="preserve"> son aquellos activos de transporte de electricidad que operan a tensiones inferiores a 220 kV que son utilizados por más de un usuario y son remunerados mediante cargos por uso de STR o SDL. (Resolución CREG 015 de 2018)
Nota: Los activos que sean remunerados mediante cargos por uso del STN o STR y que están constituidos por una o varias unidades constructivas y que pertenezcan a nivel inferior a 220 kV se deberán clasificar como Activos de Uso del STN o STR de acuerdo a como sean remunerados
</t>
    </r>
    <r>
      <rPr>
        <b val="true"/>
        <sz val="11"/>
        <color rgb="FF000000"/>
        <rFont val="Calibri"/>
        <family val="2"/>
        <charset val="1"/>
      </rPr>
      <t xml:space="preserve">Activos de conexión del OR al STN</t>
    </r>
    <r>
      <rPr>
        <sz val="11"/>
        <color rgb="FF000000"/>
        <rFont val="Calibri"/>
        <family val="2"/>
        <charset val="1"/>
      </rPr>
      <t xml:space="preserve">: son los bienes que se requieren para que un operador de red se conecte físicamente al Sistema de Transmisión Nacional, STN.
</t>
    </r>
    <r>
      <rPr>
        <b val="true"/>
        <sz val="11"/>
        <color rgb="FF000000"/>
        <rFont val="Calibri"/>
        <family val="2"/>
        <charset val="1"/>
      </rPr>
      <t xml:space="preserve">Activos de conexión a un STR o a un SDL</t>
    </r>
    <r>
      <rPr>
        <sz val="11"/>
        <color rgb="FF000000"/>
        <rFont val="Calibri"/>
        <family val="2"/>
        <charset val="1"/>
      </rPr>
      <t xml:space="preserve">: son los bienes que se requieren para que un OR se conecte físicamente a un Sistema de Transmisión Regional, STR, o a un Sistema de Distribución Local, SDL, de otro OR (Operador de Red). También son activos de conexión los utilizados exclusivamente por un usuario final para conectarse a los niveles de tensión 4, 3, 2 o 1. Un usuario está conectado al nivel de tensión en el que está instalado su equipo de medida individual (Resolución CREG 015 de 2018))</t>
    </r>
  </si>
  <si>
    <t xml:space="preserve">Observaciones transportador</t>
  </si>
  <si>
    <t xml:space="preserve">Sección de libre diligenciamiento, donde el transportador debe indicar explicítamente cualquier condición operativa o de planeación que no este incluida en las demás variables. Ejemplo: La línea opera normalmente abierta al lado de la subestación A o se tiene planeado una repotenciación de la línea hasta una capacidad de X Amperios, la cual entrará en operación desde dd/mm/aaaa.</t>
  </si>
  <si>
    <t xml:space="preserve">Transformadores tridevanados</t>
  </si>
  <si>
    <t xml:space="preserve">Nombre del transformador tridevanado. Se sugiere sea nombre de la subestación seguido de los niveles de tensión del transformador</t>
  </si>
  <si>
    <t xml:space="preserve">Subestación</t>
  </si>
  <si>
    <t xml:space="preserve">Subestación en la cual se encuentra ubicado el transformador</t>
  </si>
  <si>
    <t xml:space="preserve">Nivel de tensión HV [kV]</t>
  </si>
  <si>
    <t xml:space="preserve">Nivel de tensión nominal de diseño de los bornes de alta tensión del transformador en kilovoltios</t>
  </si>
  <si>
    <t xml:space="preserve">Nivel de tensión MV [kV]</t>
  </si>
  <si>
    <t xml:space="preserve">Nivel de tensión nominal de diseño de los bornes de media tensión del transformador en kilovoltios</t>
  </si>
  <si>
    <t xml:space="preserve">Nivel de tensión LV [kV]</t>
  </si>
  <si>
    <t xml:space="preserve">Nivel de tensión nominal de diseño de los bornes de baja tensión del transformador en kilovoltios</t>
  </si>
  <si>
    <t xml:space="preserve">Capacidad HV [MVA]</t>
  </si>
  <si>
    <t xml:space="preserve">Capacidad nominal en el devanado de alta tensión del transformador en MVA</t>
  </si>
  <si>
    <t xml:space="preserve">Capacidad MV [MVA]</t>
  </si>
  <si>
    <t xml:space="preserve">Capacidad nominal en el devanado de media tensión del transformador en MVA</t>
  </si>
  <si>
    <t xml:space="preserve">Capacidad LV [MVA]</t>
  </si>
  <si>
    <t xml:space="preserve">Capacidad nominal en el devanado de baja tensión del transformador en MVA</t>
  </si>
  <si>
    <t xml:space="preserve">Grupo de conexión</t>
  </si>
  <si>
    <t xml:space="preserve">Convención utilizada para describir las configuraciones de los distintos devanados del transformador y el desfase en los angulos de fase según norma IEC 60076-1 2011. Ejemplo: YNyn0d5 </t>
  </si>
  <si>
    <t xml:space="preserve">Impedancia HV-MV Secuencia +[%]</t>
  </si>
  <si>
    <t xml:space="preserve">Impedancia de corto circuito entre los devanados de alta y media tensión en secuencia positiva como porcentaje de la impedancia de referencia</t>
  </si>
  <si>
    <t xml:space="preserve">Impedancia HV-LV Secuencia +[%]</t>
  </si>
  <si>
    <t xml:space="preserve">Impedancia de corto circuito entre los devanados de alta y baja tensión en secuencia positiva como porcentaje de la impedancia de referencia</t>
  </si>
  <si>
    <t xml:space="preserve">Impedancia MV-LV Secuencia +[%]</t>
  </si>
  <si>
    <t xml:space="preserve">Impedancia de corto circuito entre los devanados de media y baja tensión en secuencia positiva como porcentaje de la impedancia de referencia</t>
  </si>
  <si>
    <t xml:space="preserve">Impedancia HV-MV Secuencia 0[%]</t>
  </si>
  <si>
    <t xml:space="preserve">Impedancia de corto circuito entre los devanados de alta y media tensión en secuencia cero como porcentaje de la impedancia de referencia</t>
  </si>
  <si>
    <t xml:space="preserve">Impedancia HV-LV Secuencia 0[%]</t>
  </si>
  <si>
    <t xml:space="preserve">Impedancia de corto circuito entre los devanados de alta y baja tensión en secuencia cero como porcentaje de la impedancia de referencia</t>
  </si>
  <si>
    <t xml:space="preserve">Impedancia MV-LV Secuencia 0[%]</t>
  </si>
  <si>
    <t xml:space="preserve">Impedancia de corto circuito entre los devanados de media y baja tensión en secuencia cero como porcentaje de la impedancia de referencia</t>
  </si>
  <si>
    <t xml:space="preserve">Posición Neutral Tap</t>
  </si>
  <si>
    <t xml:space="preserve">Valor del cambiador de tomas como número entero que permite alcanzar los valores nominales de tensión en el transformador</t>
  </si>
  <si>
    <t xml:space="preserve">Posición Máxima Tap</t>
  </si>
  <si>
    <t xml:space="preserve">Máximo valor posible del cambiador de tomas como número entero</t>
  </si>
  <si>
    <t xml:space="preserve">Posición Mínima Tap</t>
  </si>
  <si>
    <t xml:space="preserve">Mínimo valor posible del cambiador de tomas como número entero</t>
  </si>
  <si>
    <t xml:space="preserve">Delta Tap [%]</t>
  </si>
  <si>
    <t xml:space="preserve">La diferencia entre dos pasos adyacentes del cambiador de tomas expresada como un porcentaje.</t>
  </si>
  <si>
    <t xml:space="preserve">Sobrecarga en emergencia</t>
  </si>
  <si>
    <t xml:space="preserve">Valor de sobrecarga aceptable en el transformador ante condiciones de emergencia expresado como porcentaje respecto a la capacidad del transformador y en la cantidad de tiempo en minutos en que el transformador puede soportar dicha condición</t>
  </si>
  <si>
    <t xml:space="preserve">Sistema al cual pertenece el transformador. Se debe escoger en la lista desplegable entre: STN, STR y SDL</t>
  </si>
  <si>
    <t xml:space="preserve">Pérdidas Cu HV-MV [kW]</t>
  </si>
  <si>
    <t xml:space="preserve">Pérdidas de potencia activa en kW de los devanados de alta tensión y media tensión del transformador bidevanado</t>
  </si>
  <si>
    <t xml:space="preserve">Pérdidas Cu HV-LV [kW]</t>
  </si>
  <si>
    <t xml:space="preserve">Pérdidas de potencia activa en kW de los devanados de alta tensión y baja tensión del transformador bidevanado</t>
  </si>
  <si>
    <t xml:space="preserve">Pérdidas Cu MV-LV [kW]</t>
  </si>
  <si>
    <t xml:space="preserve">Pérdidas de potencia activa en kW de los devanados de media tensión y baja tensión del transformador bidevanado</t>
  </si>
  <si>
    <t xml:space="preserve">Sección de libre diligenciamiento, donde el transportador debe indicar explicítamente cualquier condición operativa o de planeación que no este incluida en las demás variables.</t>
  </si>
  <si>
    <t xml:space="preserve">Tranformadores bidevanados</t>
  </si>
  <si>
    <t xml:space="preserve">Capacidad [MVA]</t>
  </si>
  <si>
    <t xml:space="preserve">Capacidad nominal del transformador en MVA</t>
  </si>
  <si>
    <t xml:space="preserve">Convención utilizada para describir las configuraciones de los distintos devanados del transformador y el desfase en los angulos de fase según norma IEC 60076-1 2011. Ejemplo: Dyn11 </t>
  </si>
  <si>
    <t xml:space="preserve">Impedancia Secuencia +[%]</t>
  </si>
  <si>
    <t xml:space="preserve">Impedancia de corto circuito en secuencia positiva como porcentaje de la impedancia de referencia</t>
  </si>
  <si>
    <t xml:space="preserve">Impedancia Secuencia 0[%]</t>
  </si>
  <si>
    <t xml:space="preserve">Impedancia de corto circuito en secuencia cero como porcentaje de la impedancia de referencia</t>
  </si>
  <si>
    <t xml:space="preserve">Pérdidas Cu [kW]</t>
  </si>
  <si>
    <t xml:space="preserve">Pérdidas de potencia activa en kW de los devanados del transformador bidevanado</t>
  </si>
  <si>
    <t xml:space="preserve">Subestaciones
NOTA. En caso de que una subestación tenga en su predio patios de distintos niveles de tensión, se debe realizar un reporte por cada nivel de tensión.</t>
  </si>
  <si>
    <t xml:space="preserve">Nombre de la subestación</t>
  </si>
  <si>
    <t xml:space="preserve">Agente Administrador</t>
  </si>
  <si>
    <t xml:space="preserve">Razón social del transportador con el mayor porcentaje de propiedad de los activos de la subestación</t>
  </si>
  <si>
    <t xml:space="preserve">Nivel de tensión nominal de la(s) barra(s) de la subestación en kilovoltios</t>
  </si>
  <si>
    <t xml:space="preserve">Capacidad de interrupción [kA]</t>
  </si>
  <si>
    <t xml:space="preserve">Capacidad máxima de interrupción de cortocircuito de la subestación, expresada en kiloamperios (kA), determinada por el elemento que impone el límite operativo.
El valor reportado deberá corresponder a la menor capacidad de interrupción o soporte al cortocircuito entre los equipos y componentes relevantes de la subestación, lo cual deberá ser coherente con el elemento limitante declarado.</t>
  </si>
  <si>
    <t xml:space="preserve">Elemento limitante</t>
  </si>
  <si>
    <t xml:space="preserve">Declarar el elemento que impone el límite operativo de la subestación, entendido como aquel equipo o componente que restringe la máxima corriente de cortocircuito admisible. 
Entre los posibles elementos limitantes se incluyen, sin limitarse a: interruptores de potencia, seccionadores, barras, transformadores de corriente (TC), transformadores de potencial (TP) y la malla de puesta a tierra.</t>
  </si>
  <si>
    <t xml:space="preserve">Configuración</t>
  </si>
  <si>
    <t xml:space="preserve">Configuración de barras de la subestación. Se debe escoger en la lista desplegable entre: barra sencilla, barra principal y transferencia, barra sencilla seccionada, barra seccionada con barra de transferencia, doble barra, doble barra con transferencia, doble barra con doble interruptor, interruptor y medio o anillo.</t>
  </si>
  <si>
    <t xml:space="preserve">Se debe escoger de la lista despelegable entre: Convencional, Encapsulada y Mixta.</t>
  </si>
  <si>
    <t xml:space="preserve">Departamento</t>
  </si>
  <si>
    <t xml:space="preserve">Nombre del departamento en que se ubica o ubicará la subestación</t>
  </si>
  <si>
    <t xml:space="preserve">Municipio</t>
  </si>
  <si>
    <t xml:space="preserve">Nombre del municipio en que se ubica o ubicará la subestación</t>
  </si>
  <si>
    <t xml:space="preserve">Demandas</t>
  </si>
  <si>
    <t xml:space="preserve">Nombre de la demanda</t>
  </si>
  <si>
    <t xml:space="preserve">Subestación en la que se encuentra conectada la demanda. Para demandas conectadas a niveles de tensión inferiores a 11.4 kV se debe referir a nivel de tensión superior.</t>
  </si>
  <si>
    <t xml:space="preserve">Nivel de tensión en kilovoltios al que se conecta o refiere la demanda.</t>
  </si>
  <si>
    <t xml:space="preserve">Se debe escoger en la lista desplegable entre: Industrial, Comercial, Residencial y Oficial. En caso de que la demanda incluya varios tipos se debe seleccionar el tipo de mayor magnitud.</t>
  </si>
  <si>
    <t xml:space="preserve">Atendida Subestación Nivel IV</t>
  </si>
  <si>
    <t xml:space="preserve">Subestación de nivel de tensión IV o superior que atiende a la demanda.</t>
  </si>
  <si>
    <t xml:space="preserve">Demanda Mínima</t>
  </si>
  <si>
    <t xml:space="preserve">Valor mínimo de demanda de potencia activa en MW y reactiva en MVAr esperado para la demanda en el año inmediatamente anterior, registrado a la hora 03:00, el cual debe ser actualizado de manera anual.</t>
  </si>
  <si>
    <t xml:space="preserve">Demanda Media</t>
  </si>
  <si>
    <t xml:space="preserve">Valor medio de de demanda de potencia activa en MW y reactiva en MVAr esperado para la demanda en el año inmediatamente anterior, registrado a la hora 12:00, el cual debe ser actualizado de manera anual.</t>
  </si>
  <si>
    <t xml:space="preserve">Demanda Máxima</t>
  </si>
  <si>
    <t xml:space="preserve">Valor máximo de de demanda de potencia activa en MW y reactiva en MVAr esperado para la demanda en el año inmediatamente anterior, registrado a la hora 19:00, el cual debe ser actualizado de manera anual.</t>
  </si>
  <si>
    <t xml:space="preserve">Traslados de carga Año</t>
  </si>
  <si>
    <t xml:space="preserve">Año en el cual se materializa el traslado de carga.
Si existen traslados en más de un año, se deberá diligenciar una columna por cada año.</t>
  </si>
  <si>
    <t xml:space="preserve">Porcentaje</t>
  </si>
  <si>
    <t xml:space="preserve">Porcentaje de la carga que se traslada desde la subestación de origen indicada en la fila correspondiente, para el año señalado.
El porcentaje deberá asociarse exclusivamente al traslado reportado en la misma columna de año y subestación destino.
En caso de múltiples traslados, se deberá diligenciar una columna por cada porcentaje correspondiente.</t>
  </si>
  <si>
    <t xml:space="preserve">Subestación destino traslado</t>
  </si>
  <si>
    <t xml:space="preserve">Subestación hacia la cual se traslada la carga, ya sea perteneciente al STR o al SDL.
Cuando exista más de una subestación destino, se deberá diligenciar una columna independiente por cada una, asociada a su respectivo año y porcentaje.</t>
  </si>
  <si>
    <t xml:space="preserve">Compensación estática</t>
  </si>
  <si>
    <t xml:space="preserve">Nombre de la compensación. Se sugiere usar el nombre de la subestación a la que se conecta.</t>
  </si>
  <si>
    <t xml:space="preserve">Nombre de la subestación a la que se conecta la compensación.</t>
  </si>
  <si>
    <t xml:space="preserve">Nivel de tensión de la subestación en kilovoltios</t>
  </si>
  <si>
    <t xml:space="preserve">Capacidad [MVAr]</t>
  </si>
  <si>
    <t xml:space="preserve">Capacidad de la compensación en MVAr</t>
  </si>
  <si>
    <t xml:space="preserve">Tipo activo</t>
  </si>
  <si>
    <t xml:space="preserve">Se debe escoger en la lista desplegable entre: Capcitor o reactor</t>
  </si>
  <si>
    <t xml:space="preserve">Número de pasos</t>
  </si>
  <si>
    <t xml:space="preserve">Número de pasos posibles para alcanzar la capacidad de la compensación</t>
  </si>
  <si>
    <t xml:space="preserve">Tipo conexión</t>
  </si>
  <si>
    <t xml:space="preserve">Se debe escoger en la lista desplegable entre: Serie y Paralelo</t>
  </si>
  <si>
    <t xml:space="preserve">Operabilidad</t>
  </si>
  <si>
    <t xml:space="preserve">Se debe escoger en la lista desplegable entre: Fijo y Maniobrable</t>
  </si>
  <si>
    <t xml:space="preserve">Compensación dinámica</t>
  </si>
  <si>
    <t xml:space="preserve">Nombre de la compensación dinámica. Se sugiere usar el nombre de la subestación a la que se conecta.</t>
  </si>
  <si>
    <t xml:space="preserve">Nombre de la subestación a la que se conecta la compensación dinámica.</t>
  </si>
  <si>
    <t xml:space="preserve">Tecnología</t>
  </si>
  <si>
    <r>
      <rPr>
        <sz val="11"/>
        <rFont val="Calibri"/>
        <family val="2"/>
        <charset val="1"/>
      </rPr>
      <t xml:space="preserve">Se debe escoger en la lista desplegable entre: STATCOM (</t>
    </r>
    <r>
      <rPr>
        <i val="true"/>
        <sz val="11"/>
        <rFont val="Calibri"/>
        <family val="2"/>
        <charset val="1"/>
      </rPr>
      <t xml:space="preserve">Synchronous Static Compensator</t>
    </r>
    <r>
      <rPr>
        <sz val="11"/>
        <rFont val="Calibri"/>
        <family val="2"/>
        <charset val="1"/>
      </rPr>
      <t xml:space="preserve">), SVC (</t>
    </r>
    <r>
      <rPr>
        <i val="true"/>
        <sz val="11"/>
        <rFont val="Calibri"/>
        <family val="2"/>
        <charset val="1"/>
      </rPr>
      <t xml:space="preserve">Static Var compensation</t>
    </r>
    <r>
      <rPr>
        <sz val="11"/>
        <rFont val="Calibri"/>
        <family val="2"/>
        <charset val="1"/>
      </rPr>
      <t xml:space="preserve">) o SC (</t>
    </r>
    <r>
      <rPr>
        <i val="true"/>
        <sz val="11"/>
        <rFont val="Calibri"/>
        <family val="2"/>
        <charset val="1"/>
      </rPr>
      <t xml:space="preserve">Synchronous condensers</t>
    </r>
    <r>
      <rPr>
        <sz val="11"/>
        <rFont val="Calibri"/>
        <family val="2"/>
        <charset val="1"/>
      </rPr>
      <t xml:space="preserve">)</t>
    </r>
  </si>
  <si>
    <t xml:space="preserve">Qmin [MVAr]</t>
  </si>
  <si>
    <t xml:space="preserve">Capacidad máxima de absorción de potencia reactiva en MVAr</t>
  </si>
  <si>
    <t xml:space="preserve">Qmax [MVAr]</t>
  </si>
  <si>
    <t xml:space="preserve">Capacidad máxima de aporte de potencia reactiva en MVAr</t>
  </si>
  <si>
    <t xml:space="preserve">DFACTS
NOTA. En el campo de observaciones del transportador se debe señalar si se consideran múltiples dispositivos FACTS en serie.</t>
  </si>
  <si>
    <t xml:space="preserve">Nombre del dispositivo FACTS. Se sugiere que contenga el nombre de la línea a intervenir</t>
  </si>
  <si>
    <t xml:space="preserve">Línea Intervenida</t>
  </si>
  <si>
    <t xml:space="preserve">Nombre de la línea de transmisión o distribución que se interviene para la conexión del dispositivo FACTS</t>
  </si>
  <si>
    <t xml:space="preserve">Nivel de tensión de la línea intervenida en kilovoltios</t>
  </si>
  <si>
    <t xml:space="preserve">Conectado al lado de</t>
  </si>
  <si>
    <t xml:space="preserve">Lado de la línea de transmisión en la que se conectan los dispositivos FACTS</t>
  </si>
  <si>
    <t xml:space="preserve">Tensión máxima aporte [V]</t>
  </si>
  <si>
    <t xml:space="preserve">Tensión máxima que puede inyectar cada dispositivo FACTS en voltios</t>
  </si>
  <si>
    <t xml:space="preserve">Corriente máxima aporte [A]</t>
  </si>
  <si>
    <t xml:space="preserve">Corriente máxima que puede inyectar cada dispositivo FACTS en amperios</t>
  </si>
  <si>
    <t xml:space="preserve">Modelo (si disponible)</t>
  </si>
  <si>
    <t xml:space="preserve">Referencia o modelo del dispositivo instalado o adquirido.</t>
  </si>
  <si>
    <t xml:space="preserve">Información General de Líneas</t>
  </si>
  <si>
    <t xml:space="preserve">No.</t>
  </si>
  <si>
    <t xml:space="preserve">Guatiguara - Palenque 2 230</t>
  </si>
  <si>
    <t xml:space="preserve">PT Guatiguara - Palenque 2</t>
  </si>
  <si>
    <t xml:space="preserve">PT B1D1</t>
  </si>
  <si>
    <t xml:space="preserve">Capacidad del Conductor</t>
  </si>
  <si>
    <t xml:space="preserve">STN</t>
  </si>
  <si>
    <t xml:space="preserve">Áerea</t>
  </si>
  <si>
    <t xml:space="preserve">Sí</t>
  </si>
  <si>
    <t xml:space="preserve">Aluminio</t>
  </si>
  <si>
    <t xml:space="preserve">ISA</t>
  </si>
  <si>
    <t xml:space="preserve">Palenque - Sogamoso 1 230</t>
  </si>
  <si>
    <t xml:space="preserve">PT B1D3</t>
  </si>
  <si>
    <t xml:space="preserve">PT Sogamoso - Guatiguara 1 220</t>
  </si>
  <si>
    <t xml:space="preserve">Barbosa - Paipa 2 115</t>
  </si>
  <si>
    <t xml:space="preserve">PT Barbosa - Paipa 2 115</t>
  </si>
  <si>
    <t xml:space="preserve">PT Paipa - Barbosa 2 115</t>
  </si>
  <si>
    <t xml:space="preserve">STR</t>
  </si>
  <si>
    <t xml:space="preserve">ESSA</t>
  </si>
  <si>
    <t xml:space="preserve">Ocaña - Sn Alberto 1 115</t>
  </si>
  <si>
    <t xml:space="preserve">PT Ocana - Sn Alberto 1 115</t>
  </si>
  <si>
    <t xml:space="preserve">PT Ocaña - Sn Alberto 1 115</t>
  </si>
  <si>
    <t xml:space="preserve">Nombre del activo en la informacion georeferenciada: LINEA 323</t>
  </si>
  <si>
    <t xml:space="preserve">Guatiguara - Palenque 1 230</t>
  </si>
  <si>
    <t xml:space="preserve">PT Guatiguara - Palenque 1</t>
  </si>
  <si>
    <t xml:space="preserve">PT B1D2</t>
  </si>
  <si>
    <t xml:space="preserve">Palenque - Sogamoso 2 230</t>
  </si>
  <si>
    <t xml:space="preserve">PT B2D3</t>
  </si>
  <si>
    <t xml:space="preserve">PT Sogamoso - Guatiguara 2 220</t>
  </si>
  <si>
    <t xml:space="preserve">Barranca - Wilches 2 115</t>
  </si>
  <si>
    <t xml:space="preserve">PT 12</t>
  </si>
  <si>
    <t xml:space="preserve">PT Barranca - Wilches 2 115</t>
  </si>
  <si>
    <t xml:space="preserve">Nombre del activo en la informacion georeferenciada: LINEA 322</t>
  </si>
  <si>
    <t xml:space="preserve">Los Palos - Principal 1 115</t>
  </si>
  <si>
    <t xml:space="preserve">PT Florida - Los Palos 1 115</t>
  </si>
  <si>
    <t xml:space="preserve">PT Los Palos 115</t>
  </si>
  <si>
    <t xml:space="preserve">Nombre del activo en la informacion georeferenciada:LINEA 415</t>
  </si>
  <si>
    <t xml:space="preserve">LN 472 BUENOS AIRES - LOAD 472 34.5</t>
  </si>
  <si>
    <t xml:space="preserve">Buenos Aires 34.5</t>
  </si>
  <si>
    <t xml:space="preserve">Nodo 472.1</t>
  </si>
  <si>
    <t xml:space="preserve">SDL</t>
  </si>
  <si>
    <t xml:space="preserve">3F_35_ACSR_266_AIRE</t>
  </si>
  <si>
    <t xml:space="preserve">Nombre del activo en la informacion georeferenciada: LINEA 472</t>
  </si>
  <si>
    <t xml:space="preserve">LN 462 BUENAVISTA - Bypass 460-462</t>
  </si>
  <si>
    <t xml:space="preserve">Buenavista 34.5</t>
  </si>
  <si>
    <t xml:space="preserve">Nodo Bypass 462-460</t>
  </si>
  <si>
    <t xml:space="preserve">Protecciones</t>
  </si>
  <si>
    <t xml:space="preserve">3F_35_CU_500_XLPE</t>
  </si>
  <si>
    <t xml:space="preserve">LN 460 LOAD 460 - Bypass 460-462</t>
  </si>
  <si>
    <t xml:space="preserve">Nodo Bypass 460-462</t>
  </si>
  <si>
    <t xml:space="preserve">Nodo 460.2</t>
  </si>
  <si>
    <t xml:space="preserve">LN 476 MSol - Acuarela</t>
  </si>
  <si>
    <t xml:space="preserve">Mesa del Sol 34.5</t>
  </si>
  <si>
    <t xml:space="preserve">Acuarela 34.5</t>
  </si>
  <si>
    <t xml:space="preserve">LN 417 Palos - Rionegro 34.5</t>
  </si>
  <si>
    <t xml:space="preserve">Palos 34.5</t>
  </si>
  <si>
    <t xml:space="preserve">Nodo 417.1</t>
  </si>
  <si>
    <t xml:space="preserve">LN 462 BUENOS AIRES - Bypass 460-462</t>
  </si>
  <si>
    <t xml:space="preserve">LN 459 MSol - Acuarela</t>
  </si>
  <si>
    <t xml:space="preserve">LN 406 PALENQUE - SUP 408 34.5</t>
  </si>
  <si>
    <t xml:space="preserve">Palenque 1 34.5</t>
  </si>
  <si>
    <t xml:space="preserve">Nombre del activo en la informacion georeferenciada: LINEA 406</t>
  </si>
  <si>
    <t xml:space="preserve">LN 428 PALENQUE - LEBRIJA SUP 409 34.5</t>
  </si>
  <si>
    <t xml:space="preserve">Nodo 428.1</t>
  </si>
  <si>
    <t xml:space="preserve">Palenque 2 34.5</t>
  </si>
  <si>
    <t xml:space="preserve">LN 438 REC CANTALTA - ZAPATOCA 34.5</t>
  </si>
  <si>
    <t xml:space="preserve">Nodo 438 Zapatoca 34.5</t>
  </si>
  <si>
    <t xml:space="preserve">Zapatoca 34.5</t>
  </si>
  <si>
    <t xml:space="preserve">Nombre del activo en la informacion georeferenciada: LINEA 438</t>
  </si>
  <si>
    <t xml:space="preserve">LN 449 DER 467 - LA FERIA 34.5</t>
  </si>
  <si>
    <t xml:space="preserve">Nodo 449 Feria</t>
  </si>
  <si>
    <t xml:space="preserve">Nodo 449 - SUPLENCIA 451</t>
  </si>
  <si>
    <t xml:space="preserve">Nombre del activo en la informacion georeferenciada: LINEA 449</t>
  </si>
  <si>
    <t xml:space="preserve">LN 410 PALENQUE - SUP 409 34.5</t>
  </si>
  <si>
    <t xml:space="preserve">Nodo 410 Sup 409</t>
  </si>
  <si>
    <t xml:space="preserve">Nombre del activo en la informacion georeferenciada: LINEA 410</t>
  </si>
  <si>
    <t xml:space="preserve">LN 419 ZAPATOCA - NODO 419 34.5</t>
  </si>
  <si>
    <t xml:space="preserve">Nodo 419 Zapatoca 34.5</t>
  </si>
  <si>
    <t xml:space="preserve">Nombre del activo en la informacion georeferenciada: LINEA 419</t>
  </si>
  <si>
    <t xml:space="preserve">LN 426 Conuco - Lod 426 34.5_a</t>
  </si>
  <si>
    <t xml:space="preserve">Nodo 426.4</t>
  </si>
  <si>
    <t xml:space="preserve">Conuco 34.5</t>
  </si>
  <si>
    <t xml:space="preserve">LN L4110 NODO 4110 - SUPLECNIA 439 34.5</t>
  </si>
  <si>
    <t xml:space="preserve">Nodo 4110 Suplencia 439</t>
  </si>
  <si>
    <t xml:space="preserve">Nodo Load 4110</t>
  </si>
  <si>
    <t xml:space="preserve">LN 407 Palenque - Lod 407 34.5</t>
  </si>
  <si>
    <t xml:space="preserve">LN 407 hacia Sup 408</t>
  </si>
  <si>
    <t xml:space="preserve">LN 432 SAN MARTIN - SAN ROQUE 34.5</t>
  </si>
  <si>
    <t xml:space="preserve">San Martin 34.5</t>
  </si>
  <si>
    <t xml:space="preserve">San Roque 34.5</t>
  </si>
  <si>
    <t xml:space="preserve">LN 405 PALENQUE - R.MINAS 34.5</t>
  </si>
  <si>
    <t xml:space="preserve">Realminas 34.5</t>
  </si>
  <si>
    <t xml:space="preserve">Nombre del activo en la informacion georeferenciada: LINEA 405</t>
  </si>
  <si>
    <t xml:space="preserve">LN 431 SAN ALBERTO - SAN MARTIN 34.5</t>
  </si>
  <si>
    <t xml:space="preserve">Nodo 431 Load</t>
  </si>
  <si>
    <t xml:space="preserve">Nodo 431 SUP 430</t>
  </si>
  <si>
    <t xml:space="preserve">Nombre del activo en la informacion georeferenciada: LINEA 431</t>
  </si>
  <si>
    <t xml:space="preserve">LN 439 NODO 439 - SUPLENCIA 4110 34.5</t>
  </si>
  <si>
    <t xml:space="preserve">Nodo 439 Suplencia 4110</t>
  </si>
  <si>
    <t xml:space="preserve">Nodo 439</t>
  </si>
  <si>
    <t xml:space="preserve">Nombre del activo en la informacion georeferenciada: LINEA 439</t>
  </si>
  <si>
    <t xml:space="preserve">LN 409 PALENQUE - SUP 428 34.5</t>
  </si>
  <si>
    <t xml:space="preserve">Nodo 409.6 - 428</t>
  </si>
  <si>
    <t xml:space="preserve">Nodo 409 Sup 410</t>
  </si>
  <si>
    <t xml:space="preserve">Nombre del activo en la informacion georeferenciada: LINEA 409</t>
  </si>
  <si>
    <t xml:space="preserve">LN 432 LOS ANGELES - AGROINCE 34.5</t>
  </si>
  <si>
    <t xml:space="preserve">Los Angeles 34.5</t>
  </si>
  <si>
    <t xml:space="preserve">AGROINCE 34.5</t>
  </si>
  <si>
    <t xml:space="preserve">3F_35_ACSR_4/0_AIRE</t>
  </si>
  <si>
    <t xml:space="preserve">LN 408 hacia SUP 406</t>
  </si>
  <si>
    <t xml:space="preserve">Nodo Load 408.2</t>
  </si>
  <si>
    <t xml:space="preserve">LN 416 Palos - Sup 417</t>
  </si>
  <si>
    <t xml:space="preserve">Nodo 416.1</t>
  </si>
  <si>
    <t xml:space="preserve">LN 408 hacia Sup 407</t>
  </si>
  <si>
    <t xml:space="preserve">3F_35_CU_1000_XLPE</t>
  </si>
  <si>
    <t xml:space="preserve">Línea 430 Cachira - Limites 34.5 kV</t>
  </si>
  <si>
    <t xml:space="preserve">Nodo 430.4 Cachira</t>
  </si>
  <si>
    <t xml:space="preserve">Nodo 430.5 Limites</t>
  </si>
  <si>
    <t xml:space="preserve">Linea 447 Condor</t>
  </si>
  <si>
    <t xml:space="preserve">Condor 3 34.5</t>
  </si>
  <si>
    <t xml:space="preserve">Condor 34.5</t>
  </si>
  <si>
    <t xml:space="preserve">LN 443 SUPLENCIA 421 - S CRISTOBAL 34.5</t>
  </si>
  <si>
    <t xml:space="preserve">Nodo 443.1</t>
  </si>
  <si>
    <t xml:space="preserve">San Cristobal 34.5</t>
  </si>
  <si>
    <t xml:space="preserve">Nombre del activo en la informacion georeferenciada: LINEA 443</t>
  </si>
  <si>
    <t xml:space="preserve">LN 449 Nodo La Feria - La Feria 34.5</t>
  </si>
  <si>
    <t xml:space="preserve">Feria 34.5</t>
  </si>
  <si>
    <t xml:space="preserve">LN 426 LOAD 426 - LOAD 409 34.5_a</t>
  </si>
  <si>
    <t xml:space="preserve">Nodo 426.3</t>
  </si>
  <si>
    <t xml:space="preserve">Nodo 426.2</t>
  </si>
  <si>
    <t xml:space="preserve">LN 443 hacía Acuarela</t>
  </si>
  <si>
    <t xml:space="preserve">Nodo Acuarela 34.5</t>
  </si>
  <si>
    <t xml:space="preserve">LN 406 hacia Sup 408</t>
  </si>
  <si>
    <t xml:space="preserve">LN 409 PALENQUE - SUP 410 34.5</t>
  </si>
  <si>
    <t xml:space="preserve">LN 430 LA ESPERANZA - Cachira 34.5</t>
  </si>
  <si>
    <t xml:space="preserve">Nodo 430.3</t>
  </si>
  <si>
    <t xml:space="preserve">LN 442 CONUCOS - CACIQUE</t>
  </si>
  <si>
    <t xml:space="preserve">Nodo 442.1</t>
  </si>
  <si>
    <t xml:space="preserve">LN 432 SAN ROQUE - TISQUIRAMA 34.5</t>
  </si>
  <si>
    <t xml:space="preserve">Tisquirama 34.5</t>
  </si>
  <si>
    <t xml:space="preserve">LN 432 TISQUIRAMA - LOS ANGELES 34.5</t>
  </si>
  <si>
    <t xml:space="preserve">LN 422 LOAD 422 - LA GRANJA 34.5</t>
  </si>
  <si>
    <t xml:space="preserve">Nodo 422 LOAD</t>
  </si>
  <si>
    <t xml:space="preserve">Granja 34.5</t>
  </si>
  <si>
    <t xml:space="preserve">Nombre del activo en la informacion georeferenciada: LINEA 422</t>
  </si>
  <si>
    <t xml:space="preserve">LN 408 Palenque - Aeropuerto</t>
  </si>
  <si>
    <t xml:space="preserve">Nombre del activo en la informacion georeferenciada: LINEA 408</t>
  </si>
  <si>
    <t xml:space="preserve">LN 402 CONUCOS - SUPLENCIA 442</t>
  </si>
  <si>
    <t xml:space="preserve">Nodo 402.4</t>
  </si>
  <si>
    <t xml:space="preserve">Línea 417 Limites - Laguna 34.5 kV</t>
  </si>
  <si>
    <t xml:space="preserve">Nodo 417.8</t>
  </si>
  <si>
    <t xml:space="preserve">Laguna 34.5</t>
  </si>
  <si>
    <t xml:space="preserve">LN 417 Santa Isabel - Laguna 34.5</t>
  </si>
  <si>
    <t xml:space="preserve">Nodo 417.7</t>
  </si>
  <si>
    <t xml:space="preserve">Linea 444 Condor</t>
  </si>
  <si>
    <t xml:space="preserve">Condor 2 34.5</t>
  </si>
  <si>
    <t xml:space="preserve">LN 422 Ruitoque - LOAD 422 34.5</t>
  </si>
  <si>
    <t xml:space="preserve">Nodo 422.6 Ruitoque</t>
  </si>
  <si>
    <t xml:space="preserve">Nodo 422.5</t>
  </si>
  <si>
    <t xml:space="preserve">derv mogotes 2</t>
  </si>
  <si>
    <t xml:space="preserve">Ap1 mogotes</t>
  </si>
  <si>
    <t xml:space="preserve">Mogotes 34.5 kV</t>
  </si>
  <si>
    <t xml:space="preserve">No</t>
  </si>
  <si>
    <t xml:space="preserve">481 san gil Garcia Rovira_a</t>
  </si>
  <si>
    <t xml:space="preserve">Ap2 mogotes</t>
  </si>
  <si>
    <t xml:space="preserve">CTO 48 504</t>
  </si>
  <si>
    <t xml:space="preserve">Trincheras 13.8</t>
  </si>
  <si>
    <t xml:space="preserve">3F_35_ACSR_2/0_AIRE</t>
  </si>
  <si>
    <t xml:space="preserve">LN 451 - SUP 449</t>
  </si>
  <si>
    <t xml:space="preserve">Nodo 451 AP 7025246</t>
  </si>
  <si>
    <t xml:space="preserve">Nodo 451</t>
  </si>
  <si>
    <t xml:space="preserve">3F_35_ACSR_1/0_AIRE</t>
  </si>
  <si>
    <t xml:space="preserve">buenaist- yariguies</t>
  </si>
  <si>
    <t xml:space="preserve">Yariguies 34.5 kV</t>
  </si>
  <si>
    <t xml:space="preserve">linea proyectada</t>
  </si>
  <si>
    <t xml:space="preserve">LN 495 Capitanejo - Tipacoque</t>
  </si>
  <si>
    <t xml:space="preserve">Capitanejo 34.5</t>
  </si>
  <si>
    <t xml:space="preserve">Frontera EBSA AP 2889099</t>
  </si>
  <si>
    <t xml:space="preserve">Switcheo Malaga</t>
  </si>
  <si>
    <t xml:space="preserve">LN 416 CALIFORNIA - LOAD 425 AUX MIN</t>
  </si>
  <si>
    <t xml:space="preserve">Nodo Load 425 AP 8390045</t>
  </si>
  <si>
    <t xml:space="preserve">California 34.5</t>
  </si>
  <si>
    <t xml:space="preserve">481 san gil Garcia Rovira</t>
  </si>
  <si>
    <t xml:space="preserve">Nodo 481.1 AP 9710183</t>
  </si>
  <si>
    <t xml:space="preserve">LN 451 - KM8 34.5 Kv</t>
  </si>
  <si>
    <t xml:space="preserve">Nodo 451.2</t>
  </si>
  <si>
    <t xml:space="preserve">KM8 34.5</t>
  </si>
  <si>
    <t xml:space="preserve">3F_35_ACSR_2_AIRE</t>
  </si>
  <si>
    <t xml:space="preserve">LN 431 SAN ALBERTO - SAN MARTIN 34.5_a</t>
  </si>
  <si>
    <t xml:space="preserve">San Alberto 34.5</t>
  </si>
  <si>
    <t xml:space="preserve">LN 430 SAN ALBERTO - SUP 431 34.5</t>
  </si>
  <si>
    <t xml:space="preserve">Nodo 430 SUP 431</t>
  </si>
  <si>
    <t xml:space="preserve">LN 402 CONUCOS - DER BOSQUE 34.5</t>
  </si>
  <si>
    <t xml:space="preserve">Nodo 402.1</t>
  </si>
  <si>
    <t xml:space="preserve">Nodo 402.6</t>
  </si>
  <si>
    <t xml:space="preserve">A_600__AAAC_DES_3_34.5</t>
  </si>
  <si>
    <t xml:space="preserve">LN 426 - Provincia de Soto 34.5</t>
  </si>
  <si>
    <t xml:space="preserve">Nodo 426.1</t>
  </si>
  <si>
    <t xml:space="preserve">Provincia de Soto 34.5</t>
  </si>
  <si>
    <t xml:space="preserve">LN 427 Sur - Exito</t>
  </si>
  <si>
    <t xml:space="preserve">Nodo 427</t>
  </si>
  <si>
    <t xml:space="preserve">Sur 1 34.5</t>
  </si>
  <si>
    <t xml:space="preserve">3F_35_CU_2/0_XLPE</t>
  </si>
  <si>
    <t xml:space="preserve">LN 429 Sur - Homecenter</t>
  </si>
  <si>
    <t xml:space="preserve">Nodo 429</t>
  </si>
  <si>
    <t xml:space="preserve">3F_35_CU_4/0_XLPE</t>
  </si>
  <si>
    <t xml:space="preserve">derv mogotes 1</t>
  </si>
  <si>
    <t xml:space="preserve">Oiba - San Gil 1 115</t>
  </si>
  <si>
    <t xml:space="preserve">PT Oiba - San Gil 1 115</t>
  </si>
  <si>
    <t xml:space="preserve">Oiba 115</t>
  </si>
  <si>
    <t xml:space="preserve">Oiba - Oibita 1 115</t>
  </si>
  <si>
    <t xml:space="preserve">Oibita 115</t>
  </si>
  <si>
    <t xml:space="preserve">Bartolome - Oiba 1 115</t>
  </si>
  <si>
    <t xml:space="preserve">Bartolome 115</t>
  </si>
  <si>
    <t xml:space="preserve">Conuco - TBosconia 1 115</t>
  </si>
  <si>
    <t xml:space="preserve">PT TBosconia 115</t>
  </si>
  <si>
    <t xml:space="preserve">TBosconia 115</t>
  </si>
  <si>
    <t xml:space="preserve">Florida - Rio Frio 1 115</t>
  </si>
  <si>
    <t xml:space="preserve">PT Florida - Rio Frio 1 115</t>
  </si>
  <si>
    <t xml:space="preserve">PT Florida 115</t>
  </si>
  <si>
    <t xml:space="preserve">TSta Rosa - Cimitarra 1 115</t>
  </si>
  <si>
    <t xml:space="preserve">TSta Rosa 115</t>
  </si>
  <si>
    <t xml:space="preserve">PT TSta Rosa - Cimitarra 1 115</t>
  </si>
  <si>
    <t xml:space="preserve">Santa Rosa - TSta Rosa 1 115</t>
  </si>
  <si>
    <t xml:space="preserve">Sta Rosa 115</t>
  </si>
  <si>
    <t xml:space="preserve">Barbosa - TSta Rosa 1 115</t>
  </si>
  <si>
    <t xml:space="preserve">PT Barbosa - TSta Rosa 1 115</t>
  </si>
  <si>
    <t xml:space="preserve">Barranca - Sogamoso 1 230</t>
  </si>
  <si>
    <t xml:space="preserve">PT Sogamoso - Barranca 220</t>
  </si>
  <si>
    <t xml:space="preserve">Barranca - Comuneros 1 230</t>
  </si>
  <si>
    <t xml:space="preserve">PT Comuneros 220-Barranca</t>
  </si>
  <si>
    <t xml:space="preserve">Bmanga - Guatiguara 1 230</t>
  </si>
  <si>
    <t xml:space="preserve">PT Bmanga 220- Guatiguara</t>
  </si>
  <si>
    <t xml:space="preserve">PT Guatiguara- Bucaramanga</t>
  </si>
  <si>
    <t xml:space="preserve">Bmanga - Sogamoso 1 230</t>
  </si>
  <si>
    <t xml:space="preserve">PT Bmanga 220-Sogamoso</t>
  </si>
  <si>
    <t xml:space="preserve">PT Sogamoso - Bmanga 220</t>
  </si>
  <si>
    <t xml:space="preserve">Bmanga - Palos 1 230</t>
  </si>
  <si>
    <t xml:space="preserve">PT Bmanga 220-Palos</t>
  </si>
  <si>
    <t xml:space="preserve">PT Bmanga - Palos 1 230</t>
  </si>
  <si>
    <t xml:space="preserve">Guatiguara - Palos 1 230</t>
  </si>
  <si>
    <t xml:space="preserve">PT Guatiguara- Palos</t>
  </si>
  <si>
    <t xml:space="preserve">PT Guatiguara - Palos 1 230</t>
  </si>
  <si>
    <t xml:space="preserve">Ocaña - Palos 1 230 T2</t>
  </si>
  <si>
    <t xml:space="preserve">Puente Ocaña-Palos 230</t>
  </si>
  <si>
    <t xml:space="preserve">PT Ocaña - Palos 1 230</t>
  </si>
  <si>
    <t xml:space="preserve">Palos - Tasajero 1 230</t>
  </si>
  <si>
    <t xml:space="preserve">PT Palos - Tasajero 1 230</t>
  </si>
  <si>
    <t xml:space="preserve">PT Tasajero - Palos 1 220</t>
  </si>
  <si>
    <t xml:space="preserve">Comuneros - Guatiguara 1 230</t>
  </si>
  <si>
    <t xml:space="preserve">PT Comuneros 220-Guatigura</t>
  </si>
  <si>
    <t xml:space="preserve">PT Guatiguara- Comuneros</t>
  </si>
  <si>
    <t xml:space="preserve">Palos - Toledo 1 230</t>
  </si>
  <si>
    <t xml:space="preserve">PT Palos - Toledo 1 230</t>
  </si>
  <si>
    <t xml:space="preserve">Buena Vista - Lizama 1 115</t>
  </si>
  <si>
    <t xml:space="preserve">PT Buena Vista - Lizama 1 115</t>
  </si>
  <si>
    <t xml:space="preserve">Barbosa - Paipa 1 115</t>
  </si>
  <si>
    <t xml:space="preserve">PT Barbosa - Paipa 1 115</t>
  </si>
  <si>
    <t xml:space="preserve">PT Paipa - Barbosa 1 115</t>
  </si>
  <si>
    <t xml:space="preserve">Mesa del Sol - San Gil 1 115</t>
  </si>
  <si>
    <t xml:space="preserve">PT Mesa del Sol - San Gil 1 115</t>
  </si>
  <si>
    <t xml:space="preserve">PT Piedecuesta - San Gil 1 115</t>
  </si>
  <si>
    <t xml:space="preserve">Barbosa - Chiquinquira 1 115</t>
  </si>
  <si>
    <t xml:space="preserve">PT Barbosa - Chiquinquira 1 115</t>
  </si>
  <si>
    <t xml:space="preserve">EBSA</t>
  </si>
  <si>
    <t xml:space="preserve">Mesa del Sol - Piedecuesta 1 115</t>
  </si>
  <si>
    <t xml:space="preserve">PT Mesa del Sol - Piedecuesta 1 115</t>
  </si>
  <si>
    <t xml:space="preserve">Lizama - Sabana de Torres 1 115</t>
  </si>
  <si>
    <t xml:space="preserve">PT Lizama - Sabana de Torres 1 115</t>
  </si>
  <si>
    <t xml:space="preserve">Conuco - Florida 1 115</t>
  </si>
  <si>
    <t xml:space="preserve">PT Conucos - Florida 1 115</t>
  </si>
  <si>
    <t xml:space="preserve">Palenque - Sn Silvestre 1 115</t>
  </si>
  <si>
    <t xml:space="preserve">PT Palenque - Sn Silvestre 1 115</t>
  </si>
  <si>
    <t xml:space="preserve">Barranca - San Silvestre 1 115</t>
  </si>
  <si>
    <t xml:space="preserve">PT 7</t>
  </si>
  <si>
    <t xml:space="preserve">PT Barranca - San Silvestre 1 115</t>
  </si>
  <si>
    <t xml:space="preserve">Los Palos - Palenque 1 115</t>
  </si>
  <si>
    <t xml:space="preserve">PT Los Palos - Palenque 1 115</t>
  </si>
  <si>
    <t xml:space="preserve">Palenque - Real Minas 1 115</t>
  </si>
  <si>
    <t xml:space="preserve">PT Palenque - Real Minas 1 115</t>
  </si>
  <si>
    <t xml:space="preserve">Piedecuesta - Rio Frio 1 115</t>
  </si>
  <si>
    <t xml:space="preserve">PT Piedecuesta - Rio Frio 1 115</t>
  </si>
  <si>
    <t xml:space="preserve">PT Piedecuesta 115</t>
  </si>
  <si>
    <t xml:space="preserve">Sabana de Torres - San Alberto 1 115</t>
  </si>
  <si>
    <t xml:space="preserve">PT Sabana de Torres - San Alberto 1 115</t>
  </si>
  <si>
    <t xml:space="preserve">Barranca - Buena Vista 1 115</t>
  </si>
  <si>
    <t xml:space="preserve">PT 9</t>
  </si>
  <si>
    <t xml:space="preserve">PT Barranca - Buena Vista 1 115</t>
  </si>
  <si>
    <t xml:space="preserve">Bmanga - Real Minas 1 115</t>
  </si>
  <si>
    <t xml:space="preserve">PT Bmanga - Real Minas 1 115</t>
  </si>
  <si>
    <t xml:space="preserve">Lizama - Palenque 1 115</t>
  </si>
  <si>
    <t xml:space="preserve">PT Lizama - Palenque 1 115</t>
  </si>
  <si>
    <t xml:space="preserve">Bmanga - Florida 1 115</t>
  </si>
  <si>
    <t xml:space="preserve">PT Bmanga - TBucFlorida 1 115</t>
  </si>
  <si>
    <t xml:space="preserve">PT Bmanga - Florida 1 115</t>
  </si>
  <si>
    <t xml:space="preserve">Barranca - Wilches 1 115</t>
  </si>
  <si>
    <t xml:space="preserve">PT 5</t>
  </si>
  <si>
    <t xml:space="preserve">PT Barranca - Wilches 1 115</t>
  </si>
  <si>
    <t xml:space="preserve">Barbosa - Suaita 1 115</t>
  </si>
  <si>
    <t xml:space="preserve">PT Barbosa - Suaita 1 115</t>
  </si>
  <si>
    <t xml:space="preserve">Suaita 115</t>
  </si>
  <si>
    <t xml:space="preserve">Oiba - Suaita 1 115</t>
  </si>
  <si>
    <t xml:space="preserve">TBosconia - Bosconia 1 115</t>
  </si>
  <si>
    <t xml:space="preserve">Bosconia 115</t>
  </si>
  <si>
    <t xml:space="preserve">TBosconia - Principal 1 115</t>
  </si>
  <si>
    <t xml:space="preserve">Puerto Wilches - Isla VI 1 115 kV</t>
  </si>
  <si>
    <t xml:space="preserve">IslaVI 115</t>
  </si>
  <si>
    <t xml:space="preserve">PT Barranca - Wilches 3</t>
  </si>
  <si>
    <t xml:space="preserve">3F_115_ACSR_477_AIRE</t>
  </si>
  <si>
    <t xml:space="preserve">L477_3</t>
  </si>
  <si>
    <t xml:space="preserve">Nodo Load 477.1</t>
  </si>
  <si>
    <t xml:space="preserve">Nodo Load 477</t>
  </si>
  <si>
    <t xml:space="preserve">LN477_2</t>
  </si>
  <si>
    <t xml:space="preserve">Nodo Load 477.2</t>
  </si>
  <si>
    <t xml:space="preserve">LN 486 BARBOSA - VELEZ 34.5</t>
  </si>
  <si>
    <t xml:space="preserve">Barbosa 34.5</t>
  </si>
  <si>
    <t xml:space="preserve">Nodo 486</t>
  </si>
  <si>
    <t xml:space="preserve">L477_1</t>
  </si>
  <si>
    <t xml:space="preserve">Lizama 34.5</t>
  </si>
  <si>
    <t xml:space="preserve">LN 441 LA GRANJA - PIEDECUESTA 34.5</t>
  </si>
  <si>
    <t xml:space="preserve">Piedecuesta 34.5</t>
  </si>
  <si>
    <t xml:space="preserve">LN 439 BUCARAMANGA - LOAD 4110 34.5</t>
  </si>
  <si>
    <t xml:space="preserve">Nodo 4110</t>
  </si>
  <si>
    <t xml:space="preserve">LN 408 Nodo Palenque - Aeropuerto</t>
  </si>
  <si>
    <t xml:space="preserve">Nodo Load 408</t>
  </si>
  <si>
    <t xml:space="preserve">LN 439 LOAD 4110 - RIOFRIO 34.5</t>
  </si>
  <si>
    <t xml:space="preserve">Rio Frio 34.5</t>
  </si>
  <si>
    <t xml:space="preserve">LN 474 INTERRUPTOR 474 -DER P.NUTRI 34.5</t>
  </si>
  <si>
    <t xml:space="preserve">Nodo 474.4</t>
  </si>
  <si>
    <t xml:space="preserve">Nodo 474.3</t>
  </si>
  <si>
    <t xml:space="preserve">LN 406 NODO SUP 408 - SUR 34.5</t>
  </si>
  <si>
    <t xml:space="preserve">Sur 2 34.5</t>
  </si>
  <si>
    <t xml:space="preserve">3F_35_ACSR_556_AIRE</t>
  </si>
  <si>
    <t xml:space="preserve">LN 486 DER VELEZ - VELEZ 34.5</t>
  </si>
  <si>
    <t xml:space="preserve">Velez 34.5</t>
  </si>
  <si>
    <t xml:space="preserve">LN 449 TFERIA - CANTAGALLO 34.5</t>
  </si>
  <si>
    <t xml:space="preserve">Nodo 449.2</t>
  </si>
  <si>
    <t xml:space="preserve">Nodo 450 AP 7024673</t>
  </si>
  <si>
    <t xml:space="preserve">LN 439 Load 437 - T4110 34.5</t>
  </si>
  <si>
    <t xml:space="preserve">Nodo Load 439</t>
  </si>
  <si>
    <t xml:space="preserve">LN 443 S.CRISTO - CABECERA 34.5</t>
  </si>
  <si>
    <t xml:space="preserve">Nodo 443 CABECERA</t>
  </si>
  <si>
    <t xml:space="preserve">LN 409 CANEYES - DER 438 34.5</t>
  </si>
  <si>
    <t xml:space="preserve">Nodo 409.4</t>
  </si>
  <si>
    <t xml:space="preserve">Nodo 409.3</t>
  </si>
  <si>
    <t xml:space="preserve">LN 422 SUPLENCIA 421 - LA GRANJA 34.5</t>
  </si>
  <si>
    <t xml:space="preserve">Nodo 422.6</t>
  </si>
  <si>
    <t xml:space="preserve">LN 410 DER TRANSEJEN - CANEYES 34.5</t>
  </si>
  <si>
    <t xml:space="preserve">Nodo 410.2</t>
  </si>
  <si>
    <t xml:space="preserve">Nodo 410.3</t>
  </si>
  <si>
    <t xml:space="preserve">LN 407 Hamacas - Lod 407 34.5</t>
  </si>
  <si>
    <t xml:space="preserve">Nodo 407.3</t>
  </si>
  <si>
    <t xml:space="preserve">Load 407.2</t>
  </si>
  <si>
    <t xml:space="preserve">LN 426 Realminas - LOAD 426 34.5</t>
  </si>
  <si>
    <t xml:space="preserve">Barranca - Condor 1 115</t>
  </si>
  <si>
    <t xml:space="preserve">Condor 115</t>
  </si>
  <si>
    <t xml:space="preserve">BP</t>
  </si>
  <si>
    <t xml:space="preserve">LN 4112 DER VILLAS - BELLAVISTA 34.5</t>
  </si>
  <si>
    <t xml:space="preserve">Bellavista 34.5</t>
  </si>
  <si>
    <t xml:space="preserve">Nodo 4112.4</t>
  </si>
  <si>
    <t xml:space="preserve">LN 402 CONUCOS - BOSQUE 34.5</t>
  </si>
  <si>
    <t xml:space="preserve">LN 407 Principal - Hamacas 34.5</t>
  </si>
  <si>
    <t xml:space="preserve">Nodo 407.4</t>
  </si>
  <si>
    <t xml:space="preserve">Principal 34.5</t>
  </si>
  <si>
    <t xml:space="preserve">LN 411 SUR - NODO 411 34.5</t>
  </si>
  <si>
    <t xml:space="preserve">Nodo 411.2</t>
  </si>
  <si>
    <t xml:space="preserve">LN 417 Trincheras 34.5</t>
  </si>
  <si>
    <t xml:space="preserve">Nodo 417.5</t>
  </si>
  <si>
    <t xml:space="preserve">Trincheras 34.5</t>
  </si>
  <si>
    <t xml:space="preserve">LN 412 Principal - Norte 34.5</t>
  </si>
  <si>
    <t xml:space="preserve">Norte 2 34.5</t>
  </si>
  <si>
    <t xml:space="preserve">LN 420 CONUCOS - REAL DE MINAS 34.5</t>
  </si>
  <si>
    <t xml:space="preserve">LN 443 NODO 443 CABECERA</t>
  </si>
  <si>
    <t xml:space="preserve">Cabecera 34.5</t>
  </si>
  <si>
    <t xml:space="preserve">LN 401 - DER BOSQUE 34.5</t>
  </si>
  <si>
    <t xml:space="preserve">Nodo 401.3</t>
  </si>
  <si>
    <t xml:space="preserve">Bosque 1 34.5</t>
  </si>
  <si>
    <t xml:space="preserve">LN 403 Principal - Load 403 34.5</t>
  </si>
  <si>
    <t xml:space="preserve">Nodo 403.1</t>
  </si>
  <si>
    <t xml:space="preserve">LN 401 BUCARAMANGA 34.5 - DER 4110</t>
  </si>
  <si>
    <t xml:space="preserve">Nodo 401.8</t>
  </si>
  <si>
    <t xml:space="preserve">Bmanga 34.5</t>
  </si>
  <si>
    <t xml:space="preserve">LN 417 Palos - Lod 417 34.5</t>
  </si>
  <si>
    <t xml:space="preserve">Nodo 417.2</t>
  </si>
  <si>
    <t xml:space="preserve">LN 419 C. DEL RAMO - S. VICENTE 34.5</t>
  </si>
  <si>
    <t xml:space="preserve">Cuchilla del Ramo 34.5</t>
  </si>
  <si>
    <t xml:space="preserve">San Vicente 34.5</t>
  </si>
  <si>
    <t xml:space="preserve">LN 421 SUP 423 - LOAD 423 34.5</t>
  </si>
  <si>
    <t xml:space="preserve">Nodo 421.3</t>
  </si>
  <si>
    <t xml:space="preserve">Nodo 421.6</t>
  </si>
  <si>
    <t xml:space="preserve">LN 401 CONUCOS - DER BOSQUE 34.5</t>
  </si>
  <si>
    <t xml:space="preserve">Nodo 401.1</t>
  </si>
  <si>
    <t xml:space="preserve">LN 403 Conuco - Lod 403 34.5</t>
  </si>
  <si>
    <t xml:space="preserve">LN 402 FLORIDA - LOAD 402 34.5</t>
  </si>
  <si>
    <t xml:space="preserve">Nodo 402.5</t>
  </si>
  <si>
    <t xml:space="preserve">Florida 34.5</t>
  </si>
  <si>
    <t xml:space="preserve">LN 409 DER TRANSEJEN -CANEYES 34.5</t>
  </si>
  <si>
    <t xml:space="preserve">Nodo 409.5</t>
  </si>
  <si>
    <t xml:space="preserve">LN 417 Cero - Rionegro 34.5</t>
  </si>
  <si>
    <t xml:space="preserve">El Cero 34.5</t>
  </si>
  <si>
    <t xml:space="preserve">Rionegro 34.5 kV</t>
  </si>
  <si>
    <t xml:space="preserve">LN 421 FLORIDA - DER 423 34.5</t>
  </si>
  <si>
    <t xml:space="preserve">Nodo 421.1</t>
  </si>
  <si>
    <t xml:space="preserve">LN421 INTERRUPTOR 421-SUPLENCIA 422 34.5</t>
  </si>
  <si>
    <t xml:space="preserve">Nodo 421.12</t>
  </si>
  <si>
    <t xml:space="preserve">Nodo 421.7</t>
  </si>
  <si>
    <t xml:space="preserve">LN 443 LA MESA - ACUARELA 34.5</t>
  </si>
  <si>
    <t xml:space="preserve">Mesa 34.5</t>
  </si>
  <si>
    <t xml:space="preserve">LN 422 SUPLENCIA 443 34.5</t>
  </si>
  <si>
    <t xml:space="preserve">Nodo 422.10</t>
  </si>
  <si>
    <t xml:space="preserve">LN 4112 BELLAVISTA - DER 401 34.5</t>
  </si>
  <si>
    <t xml:space="preserve">Nodo 4112.5</t>
  </si>
  <si>
    <t xml:space="preserve">LN 4112 DER BELLAVISTA - VILLAS 34.5</t>
  </si>
  <si>
    <t xml:space="preserve">Villas 34.5</t>
  </si>
  <si>
    <t xml:space="preserve">Nodo 4112.3</t>
  </si>
  <si>
    <t xml:space="preserve">LN 419 ZAPATOCA - C. DEL RAMO 34.5</t>
  </si>
  <si>
    <t xml:space="preserve">LN 425 Matanza - California 34.5</t>
  </si>
  <si>
    <t xml:space="preserve">Matanza 34.5</t>
  </si>
  <si>
    <t xml:space="preserve">LN 428 SUP 409 - LEBRIJA 34.5</t>
  </si>
  <si>
    <t xml:space="preserve">Lebrija 34.5</t>
  </si>
  <si>
    <t xml:space="preserve">LN 411 LOAD 411 - NORTE 34.5</t>
  </si>
  <si>
    <t xml:space="preserve">Nodo 411.1</t>
  </si>
  <si>
    <t xml:space="preserve">LN 417 Lod 417 - Cero 34.5</t>
  </si>
  <si>
    <t xml:space="preserve">Nodo 417.3</t>
  </si>
  <si>
    <t xml:space="preserve">LN 415 Palos - Principal 34.5</t>
  </si>
  <si>
    <t xml:space="preserve">LN 417 Rionegro - Trincheras 34.5</t>
  </si>
  <si>
    <t xml:space="preserve">Nodo 417.4</t>
  </si>
  <si>
    <t xml:space="preserve">LN 407 Sup 408 - Lod 407 34.5</t>
  </si>
  <si>
    <t xml:space="preserve">LN 417 Trincheras - Laguna 34.5</t>
  </si>
  <si>
    <t xml:space="preserve">Nodo 417.6</t>
  </si>
  <si>
    <t xml:space="preserve">LN 401 DER 4112 - LOAD 401 34.5</t>
  </si>
  <si>
    <t xml:space="preserve">Nodo 401.5</t>
  </si>
  <si>
    <t xml:space="preserve">Nodo 401.6</t>
  </si>
  <si>
    <t xml:space="preserve">LN 418 Palos - Hamacas 34.5</t>
  </si>
  <si>
    <t xml:space="preserve">Nodo 418.1</t>
  </si>
  <si>
    <t xml:space="preserve">3F_35_ACSR_397_AIRE</t>
  </si>
  <si>
    <t xml:space="preserve">LN 401 DER BOSQUE - DER 4112 34.5</t>
  </si>
  <si>
    <t xml:space="preserve">Nodo 401.2</t>
  </si>
  <si>
    <t xml:space="preserve">Nodo 401.4</t>
  </si>
  <si>
    <t xml:space="preserve">LN 423 BUCARAMANGA - LOAD 423 34.5</t>
  </si>
  <si>
    <t xml:space="preserve">Nodo 423.1</t>
  </si>
  <si>
    <t xml:space="preserve">LN 409 LOAD 409 - DER TRANSEJEN 34.5</t>
  </si>
  <si>
    <t xml:space="preserve">Nodo 409.2</t>
  </si>
  <si>
    <t xml:space="preserve">LN 481 SAN GIL - DER CAPITANEJO.2 34.5</t>
  </si>
  <si>
    <t xml:space="preserve">LN 401 - LOAD 401</t>
  </si>
  <si>
    <t xml:space="preserve">Nodo 401.7</t>
  </si>
  <si>
    <t xml:space="preserve">LN 409 PALENQUE - LOAD 409 34.5</t>
  </si>
  <si>
    <t xml:space="preserve">LN 413 Principal - Palmas 1 34.5</t>
  </si>
  <si>
    <t xml:space="preserve">Palmas 34.5</t>
  </si>
  <si>
    <t xml:space="preserve">LN 414 Principal - Palmas 2 34.5</t>
  </si>
  <si>
    <t xml:space="preserve">LN 410 PALENQUE - DER TRANSEJEN 34.5</t>
  </si>
  <si>
    <t xml:space="preserve">LN 404 CONUCOS - SUR 34.5</t>
  </si>
  <si>
    <t xml:space="preserve">LN 402 DER BOSQUE - LOAD 402 34.5</t>
  </si>
  <si>
    <t xml:space="preserve">Nodo 402.3</t>
  </si>
  <si>
    <t xml:space="preserve">LN 443 ACUARELA - CHICAMOCHA 34.5</t>
  </si>
  <si>
    <t xml:space="preserve">Chicamocha 34.5</t>
  </si>
  <si>
    <t xml:space="preserve">LN 402 DER BOSQUE 34.5</t>
  </si>
  <si>
    <t xml:space="preserve">Bosque 2 34.5</t>
  </si>
  <si>
    <t xml:space="preserve">Nodo 402.2</t>
  </si>
  <si>
    <t xml:space="preserve">LN 416 Palos - Matanza 34.5</t>
  </si>
  <si>
    <t xml:space="preserve">LN 421 SUPLENCIA 422-SUPLENCIA 443 34.5</t>
  </si>
  <si>
    <t xml:space="preserve">Suplencia 421-443</t>
  </si>
  <si>
    <t xml:space="preserve">LN 422 FLORIDA - LOAD 422 34.5</t>
  </si>
  <si>
    <t xml:space="preserve">LN 4112 BUCARICA - DER VILLAS 34.5</t>
  </si>
  <si>
    <t xml:space="preserve">Nodo 4112.1</t>
  </si>
  <si>
    <t xml:space="preserve">Bucarica 34.5</t>
  </si>
  <si>
    <t xml:space="preserve">LN 423 BUCARICA - LOAD 423 34.5</t>
  </si>
  <si>
    <t xml:space="preserve">Nodo 423.4</t>
  </si>
  <si>
    <t xml:space="preserve">LN 424 REAL DE MINAS - SUR 34.5</t>
  </si>
  <si>
    <t xml:space="preserve">LN 438 DER LLANO G - LLANO G 34.5</t>
  </si>
  <si>
    <t xml:space="preserve">Llano Grande 34.5</t>
  </si>
  <si>
    <t xml:space="preserve">Nodo 438.4</t>
  </si>
  <si>
    <t xml:space="preserve">LN 481 SAN GIL - DER CAPITANEJO 34.5</t>
  </si>
  <si>
    <t xml:space="preserve">San Gil 1 34.5</t>
  </si>
  <si>
    <t xml:space="preserve">LN 474 DER P.NUTRIA - LOAD 474 474</t>
  </si>
  <si>
    <t xml:space="preserve">Nodo 474.2</t>
  </si>
  <si>
    <t xml:space="preserve">Campo38 34.5</t>
  </si>
  <si>
    <t xml:space="preserve">LN 484 LOAD 484 - VADO REAL 34.5</t>
  </si>
  <si>
    <t xml:space="preserve">Nodo 484.1</t>
  </si>
  <si>
    <t xml:space="preserve">Vado Real 34.5</t>
  </si>
  <si>
    <t xml:space="preserve">LN 467 DER BERLIN - EL LLANITO 34.5</t>
  </si>
  <si>
    <t xml:space="preserve">Llanito 34.5</t>
  </si>
  <si>
    <t xml:space="preserve">Berlin 34.5</t>
  </si>
  <si>
    <t xml:space="preserve">LN 466 DER KM8 - DER 450 34.5</t>
  </si>
  <si>
    <t xml:space="preserve">Nodo 466.4</t>
  </si>
  <si>
    <t xml:space="preserve">Nodo 466.6</t>
  </si>
  <si>
    <t xml:space="preserve">LN 451 LOAD 451 - DER 451 34.5</t>
  </si>
  <si>
    <t xml:space="preserve">Nodo 451.3</t>
  </si>
  <si>
    <t xml:space="preserve">Nodo 467.5</t>
  </si>
  <si>
    <t xml:space="preserve">LN 438 CANEYES - DER 409 34.5</t>
  </si>
  <si>
    <t xml:space="preserve">Nodo 438.1</t>
  </si>
  <si>
    <t xml:space="preserve">Nodo 438.2</t>
  </si>
  <si>
    <t xml:space="preserve">LN 467 INTERRUPTOR 467 - KM8 34.5</t>
  </si>
  <si>
    <t xml:space="preserve">Nodo 467.8</t>
  </si>
  <si>
    <t xml:space="preserve">LN 482 SOCORRO - OIBA</t>
  </si>
  <si>
    <t xml:space="preserve">Socorro 34.5</t>
  </si>
  <si>
    <t xml:space="preserve">Nodo 480.2 AP 6001971</t>
  </si>
  <si>
    <t xml:space="preserve">LN 488 CIMITARRA - LOAD 488 34.5</t>
  </si>
  <si>
    <t xml:space="preserve">Nodo 488</t>
  </si>
  <si>
    <t xml:space="preserve">Cimitarra 34.5</t>
  </si>
  <si>
    <t xml:space="preserve">LN 489 CIMITARRA - LANDAZURI 34.5</t>
  </si>
  <si>
    <t xml:space="preserve">Landazuri 34.5</t>
  </si>
  <si>
    <t xml:space="preserve">LN 430 VIJAGUAL - CAFECORRIENDO 34.5</t>
  </si>
  <si>
    <t xml:space="preserve">Cafe Corriendo 34.5</t>
  </si>
  <si>
    <t xml:space="preserve">Nodo 430.2</t>
  </si>
  <si>
    <t xml:space="preserve">LN 449 CANTAGALLO - SAN PABLO 34.5</t>
  </si>
  <si>
    <t xml:space="preserve">Cantagallo 34.5</t>
  </si>
  <si>
    <t xml:space="preserve">San Pablo 34.5</t>
  </si>
  <si>
    <t xml:space="preserve">LN 438 DER LOS COCOS</t>
  </si>
  <si>
    <t xml:space="preserve">Cocos 34.5</t>
  </si>
  <si>
    <t xml:space="preserve">Nodo 438.3</t>
  </si>
  <si>
    <t xml:space="preserve">LN 472 LOAD 472 - PARNASO 34.5</t>
  </si>
  <si>
    <t xml:space="preserve">Parnaso 2 34.5</t>
  </si>
  <si>
    <t xml:space="preserve">LN 483 SANATANA - SJ DEL PARE 34.5</t>
  </si>
  <si>
    <t xml:space="preserve">Nodo 483.1 SJ de Pare</t>
  </si>
  <si>
    <t xml:space="preserve">Nodo 483.2 Santana</t>
  </si>
  <si>
    <t xml:space="preserve">LN 467 DER 466 - PUENTE 34.5</t>
  </si>
  <si>
    <t xml:space="preserve">Nodo 467.1</t>
  </si>
  <si>
    <t xml:space="preserve">Nodo 467.2</t>
  </si>
  <si>
    <t xml:space="preserve">LN 492 DER VELEZ - SUCRE 34.5</t>
  </si>
  <si>
    <t xml:space="preserve">Sucre 34.5</t>
  </si>
  <si>
    <t xml:space="preserve">Nodo 492</t>
  </si>
  <si>
    <t xml:space="preserve">LN 493 SAN ANDRES - SW MALAGA 34.5</t>
  </si>
  <si>
    <t xml:space="preserve">San Andres 34.5</t>
  </si>
  <si>
    <t xml:space="preserve">35_3F_ACSR 336</t>
  </si>
  <si>
    <t xml:space="preserve">LN 474 DER 475 - INTERRUPTOR 474 34.5</t>
  </si>
  <si>
    <t xml:space="preserve">Nodo 474.1</t>
  </si>
  <si>
    <t xml:space="preserve">LN 494 CAPITANEJO - SW MALAGA 34.5</t>
  </si>
  <si>
    <t xml:space="preserve">LN 449 DER 451 - CIENAGA 34.5</t>
  </si>
  <si>
    <t xml:space="preserve">Cienaga 34.5</t>
  </si>
  <si>
    <t xml:space="preserve">LN 457 PARNASO - LOAD 457 34.5</t>
  </si>
  <si>
    <t xml:space="preserve">Nodo 457.3</t>
  </si>
  <si>
    <t xml:space="preserve">LN 431 LOAD 431 - SAN MARTIN 34.5</t>
  </si>
  <si>
    <t xml:space="preserve">LN 449 P.WILCHES</t>
  </si>
  <si>
    <t xml:space="preserve">Wilches 34.5</t>
  </si>
  <si>
    <t xml:space="preserve">Nodo 449 - SUPLENCIA 450</t>
  </si>
  <si>
    <t xml:space="preserve">LN 451 KM8</t>
  </si>
  <si>
    <t xml:space="preserve">LN 466 BARRANCA - DER 467 34.5</t>
  </si>
  <si>
    <t xml:space="preserve">Nodo 466.1</t>
  </si>
  <si>
    <t xml:space="preserve">Barranca 1 34.5</t>
  </si>
  <si>
    <t xml:space="preserve">LN 467 EL LLANITO - DER 466 34.5</t>
  </si>
  <si>
    <t xml:space="preserve">LN 481 G. ROVIRA - SW MALAGA 34.5</t>
  </si>
  <si>
    <t xml:space="preserve">Garcia Rovira 34.5</t>
  </si>
  <si>
    <t xml:space="preserve">LN 482 OIBA - SOCORRO 34.5</t>
  </si>
  <si>
    <t xml:space="preserve">Oiba 34.5</t>
  </si>
  <si>
    <t xml:space="preserve">LN 430 SAN ALBERTO - VIJAGUAL 34.5</t>
  </si>
  <si>
    <t xml:space="preserve">LN 438 DER 409 - DER LOS COCOS 34.5</t>
  </si>
  <si>
    <t xml:space="preserve">LN 474 DER P.NUTRIA - POZO NUTRIA 34.5</t>
  </si>
  <si>
    <t xml:space="preserve">Pozo Nutria 34.5</t>
  </si>
  <si>
    <t xml:space="preserve">LN 474 LIZAMA - DER 475 34.5</t>
  </si>
  <si>
    <t xml:space="preserve">Nodo 474</t>
  </si>
  <si>
    <t xml:space="preserve">LN 483 BARBOSA - SJ DEL PARE 34.5</t>
  </si>
  <si>
    <t xml:space="preserve">LN 457 LOAD 457 - BARRANCA 34.5</t>
  </si>
  <si>
    <t xml:space="preserve">LN 430 CAFECORRIENDO - LA ESPERANZA 34.5</t>
  </si>
  <si>
    <t xml:space="preserve">Esperanza 34.5</t>
  </si>
  <si>
    <t xml:space="preserve">LN 438 LOAD 438 - DER 419 34.5</t>
  </si>
  <si>
    <t xml:space="preserve">Nodo 438.5</t>
  </si>
  <si>
    <t xml:space="preserve">LN 449 CANTAGALLO 34.5</t>
  </si>
  <si>
    <t xml:space="preserve">LN 438 DER LOS COCOS - DER LLANO G 34.5</t>
  </si>
  <si>
    <t xml:space="preserve">LN 452 P.WILCHES - ISLA VI 34.5</t>
  </si>
  <si>
    <t xml:space="preserve">IslaVI 34.5</t>
  </si>
  <si>
    <t xml:space="preserve">3F_35_ACSR_477_AIRE</t>
  </si>
  <si>
    <t xml:space="preserve">LN 475 LIZAMA - DER 474 34.5</t>
  </si>
  <si>
    <t xml:space="preserve">LN 430 VIJAGUAL 34.5</t>
  </si>
  <si>
    <t xml:space="preserve">Vijagual 34.5</t>
  </si>
  <si>
    <t xml:space="preserve">35_3F_ACSR 4</t>
  </si>
  <si>
    <t xml:space="preserve">LN 433 SABANA - SAN RAFAEL 34.5</t>
  </si>
  <si>
    <t xml:space="preserve">Sabana de Torres 34.5</t>
  </si>
  <si>
    <t xml:space="preserve">Nodo 433 34.5</t>
  </si>
  <si>
    <t xml:space="preserve">LN 449 DERIVACION - DER 451 34.5</t>
  </si>
  <si>
    <t xml:space="preserve">LN 450 - DER 449 34.5</t>
  </si>
  <si>
    <t xml:space="preserve">Nodo 450.2</t>
  </si>
  <si>
    <t xml:space="preserve">Nodo 450.1</t>
  </si>
  <si>
    <t xml:space="preserve">LN 467 PUENTE - INTERRUPTOR 467 34.5</t>
  </si>
  <si>
    <t xml:space="preserve">Nodo 467.7</t>
  </si>
  <si>
    <t xml:space="preserve">LN 433 SAN RAFAEL - SANTA CATALINA 34.5</t>
  </si>
  <si>
    <t xml:space="preserve">Santa Catalina 34.5</t>
  </si>
  <si>
    <t xml:space="preserve">LN 438 DER LLANO G - LOAD 438 34.5</t>
  </si>
  <si>
    <t xml:space="preserve">LN 449 LA FERIA - DER 451 34.5</t>
  </si>
  <si>
    <t xml:space="preserve">LN 460 PARNASO - LOAD 460 34.5</t>
  </si>
  <si>
    <t xml:space="preserve">Parnaso 1 34.5</t>
  </si>
  <si>
    <t xml:space="preserve">LN 453 PARNASO - BARRANCA 34.5</t>
  </si>
  <si>
    <t xml:space="preserve">LN 460 BUENOS AIRES - Bypass 460-46</t>
  </si>
  <si>
    <t xml:space="preserve">LN 467 BARRANCA - DER BERLIN 34.5</t>
  </si>
  <si>
    <t xml:space="preserve">LN 466 DER 467 - DER PUENTE 34.5</t>
  </si>
  <si>
    <t xml:space="preserve">Nodo 466.3</t>
  </si>
  <si>
    <t xml:space="preserve">LN 451 KM8 - LOAD 451 34.5</t>
  </si>
  <si>
    <t xml:space="preserve">Nodo 451.1</t>
  </si>
  <si>
    <t xml:space="preserve">LN 474 LOAD 474 - EL CARMEN 34.5</t>
  </si>
  <si>
    <t xml:space="preserve">Carmen 34.5</t>
  </si>
  <si>
    <t xml:space="preserve">LN 480 SAN GIL - SOCORRO 34.5</t>
  </si>
  <si>
    <t xml:space="preserve">LN 483 VADO REAL - SANTANA 34.5</t>
  </si>
  <si>
    <t xml:space="preserve">LN 484 OIBA - LOAD 484 34.5</t>
  </si>
  <si>
    <t xml:space="preserve">LN 485 OIBA - CONTRATACIÓN 34.5</t>
  </si>
  <si>
    <t xml:space="preserve">Contratación 34.5</t>
  </si>
  <si>
    <t xml:space="preserve">LN 492 Barbosa - Sucre 34.5</t>
  </si>
  <si>
    <t xml:space="preserve">LN 488 LOAD 488 - PTO ARAUJO 34.5</t>
  </si>
  <si>
    <t xml:space="preserve">Puerto Araujo 34.5</t>
  </si>
  <si>
    <t xml:space="preserve">LN 439 CANEYES - LOAD 439 34.5</t>
  </si>
  <si>
    <t xml:space="preserve">Caneyes 1 34.5</t>
  </si>
  <si>
    <t xml:space="preserve">LN 437 BOSQUE - LOAD 437</t>
  </si>
  <si>
    <t xml:space="preserve">Load 437</t>
  </si>
  <si>
    <t xml:space="preserve">LN 464 S.SILVESTRE - PARNASO 34.5</t>
  </si>
  <si>
    <t xml:space="preserve">Sn Silvestre 34.5</t>
  </si>
  <si>
    <t xml:space="preserve">LN L4110 NODO 4110 - SUPLENCIA 401</t>
  </si>
  <si>
    <t xml:space="preserve">Nodo 4110 SUPLENCIA 401</t>
  </si>
  <si>
    <t xml:space="preserve">LN 443 CABECERA - LA MESA 34.5</t>
  </si>
  <si>
    <t xml:space="preserve">Nodo 443.2</t>
  </si>
  <si>
    <t xml:space="preserve">LN 4110 NODO 4110 - RIOFRIO 34.5</t>
  </si>
  <si>
    <t xml:space="preserve">LN 443 PIEDECUESTA - LOAD 443 34.5</t>
  </si>
  <si>
    <t xml:space="preserve">Nodo 443</t>
  </si>
  <si>
    <t xml:space="preserve">LN 443 LOAD 443 - SUPLENCIA 421 34.5</t>
  </si>
  <si>
    <t xml:space="preserve">LN 482 CHARALA 34.5</t>
  </si>
  <si>
    <t xml:space="preserve">Nodo 480.4</t>
  </si>
  <si>
    <t xml:space="preserve">Charalá 34.5</t>
  </si>
  <si>
    <t xml:space="preserve">LN 463 S.SILVESTRE - PARNASO 34.5</t>
  </si>
  <si>
    <t xml:space="preserve">LN 409 - LN 428 34.5</t>
  </si>
  <si>
    <t xml:space="preserve">Nodo 409-428</t>
  </si>
  <si>
    <t xml:space="preserve">LN 437 LOAD 437 - RIO FRIO</t>
  </si>
  <si>
    <t xml:space="preserve">LN 450 ECP</t>
  </si>
  <si>
    <t xml:space="preserve">derv San Marcos</t>
  </si>
  <si>
    <t xml:space="preserve">R100</t>
  </si>
  <si>
    <t xml:space="preserve">linea pozo nutria-r100</t>
  </si>
  <si>
    <t xml:space="preserve">Linea Lizama - Pozo Nutria</t>
  </si>
  <si>
    <t xml:space="preserve">derv San Marcos 1</t>
  </si>
  <si>
    <t xml:space="preserve">San marcso 34.5 kV</t>
  </si>
  <si>
    <t xml:space="preserve">paseo del puente - san marcos</t>
  </si>
  <si>
    <t xml:space="preserve">Paseo del Puente 34.5 kV</t>
  </si>
  <si>
    <t xml:space="preserve">derv ppuente</t>
  </si>
  <si>
    <t xml:space="preserve">linea paseo del puente - la granja</t>
  </si>
  <si>
    <t xml:space="preserve">linea San Vicente - El Carmen</t>
  </si>
  <si>
    <t xml:space="preserve">LN 474 LOAD 474 - EL CARMEN 34.5_a</t>
  </si>
  <si>
    <t xml:space="preserve">línea puerto wilches - san pablo</t>
  </si>
  <si>
    <t xml:space="preserve">3F_35_ACSR_336_AIRE</t>
  </si>
  <si>
    <t xml:space="preserve">linea poryectada</t>
  </si>
  <si>
    <t xml:space="preserve">Cabrera - Guatiguara 1 230</t>
  </si>
  <si>
    <t xml:space="preserve">Cabrera 220</t>
  </si>
  <si>
    <t xml:space="preserve">PT Guatiguara- Sochagota 2</t>
  </si>
  <si>
    <t xml:space="preserve">línea proyectada</t>
  </si>
  <si>
    <t xml:space="preserve">Cabrera - Guatiguara 2 230</t>
  </si>
  <si>
    <t xml:space="preserve">PT Guatiguara- Sochagota 1</t>
  </si>
  <si>
    <t xml:space="preserve">Cabrera - Sochagota 1 230</t>
  </si>
  <si>
    <t xml:space="preserve">PT Sochagota 220-Guatiguara2</t>
  </si>
  <si>
    <t xml:space="preserve">Cabrera - Sochagota 2 230</t>
  </si>
  <si>
    <t xml:space="preserve">PT Sochagota 220-Guatiguara1</t>
  </si>
  <si>
    <t xml:space="preserve">Cabrera - Oiba 1 115</t>
  </si>
  <si>
    <t xml:space="preserve">Cabrera 115</t>
  </si>
  <si>
    <t xml:space="preserve">Cabrera - San Gil 1 115</t>
  </si>
  <si>
    <t xml:space="preserve">San Gil 115</t>
  </si>
  <si>
    <t xml:space="preserve">…</t>
  </si>
  <si>
    <t xml:space="preserve">Información General de Transformadores Tridevanados</t>
  </si>
  <si>
    <t xml:space="preserve">Magnitud [%]</t>
  </si>
  <si>
    <t xml:space="preserve">Tiempo [minutos]</t>
  </si>
  <si>
    <t xml:space="preserve">Piedecuesta 230/115</t>
  </si>
  <si>
    <t xml:space="preserve">Guatiguara 220</t>
  </si>
  <si>
    <t xml:space="preserve">YNa0d11</t>
  </si>
  <si>
    <t xml:space="preserve">Palos 230/115</t>
  </si>
  <si>
    <t xml:space="preserve">Palos 220</t>
  </si>
  <si>
    <t xml:space="preserve">Bucaramanga 5 230/115</t>
  </si>
  <si>
    <t xml:space="preserve">Bmanga 220</t>
  </si>
  <si>
    <t xml:space="preserve">Bucaramanga 4 230/115</t>
  </si>
  <si>
    <t xml:space="preserve">Palenque 1 230/115</t>
  </si>
  <si>
    <t xml:space="preserve">Palenque 220</t>
  </si>
  <si>
    <t xml:space="preserve">YNyn0d11</t>
  </si>
  <si>
    <t xml:space="preserve">Palenque 2 230/115</t>
  </si>
  <si>
    <t xml:space="preserve">Barranca 4 220/115</t>
  </si>
  <si>
    <t xml:space="preserve">Barranca 220</t>
  </si>
  <si>
    <t xml:space="preserve">YNyn0d1</t>
  </si>
  <si>
    <t xml:space="preserve">Barranca 5 115/34.5/13.8</t>
  </si>
  <si>
    <t xml:space="preserve">Barranca 115</t>
  </si>
  <si>
    <t xml:space="preserve">Bmanga 2 115/34.5/13.8</t>
  </si>
  <si>
    <t xml:space="preserve">Bmanga 115</t>
  </si>
  <si>
    <t xml:space="preserve">-</t>
  </si>
  <si>
    <t xml:space="preserve">Barranca 7 115/34.5/13.8</t>
  </si>
  <si>
    <t xml:space="preserve">Cimitarra 1 115/34.5</t>
  </si>
  <si>
    <t xml:space="preserve">Cimitarra 115</t>
  </si>
  <si>
    <t xml:space="preserve">Florida 3 115/34.5/13.8</t>
  </si>
  <si>
    <t xml:space="preserve">Florida ESSA 115</t>
  </si>
  <si>
    <t xml:space="preserve">T2 Buenavista 115/34.5/13.8</t>
  </si>
  <si>
    <t xml:space="preserve">Buenavista 115</t>
  </si>
  <si>
    <t xml:space="preserve">T4 Palenque 115/34.5/13.8</t>
  </si>
  <si>
    <t xml:space="preserve">Palenque 115</t>
  </si>
  <si>
    <t xml:space="preserve">Barbosa 1 115/34.5</t>
  </si>
  <si>
    <t xml:space="preserve">Barbosa 115</t>
  </si>
  <si>
    <t xml:space="preserve">Barranca 6 115/34.5/13.8</t>
  </si>
  <si>
    <t xml:space="preserve">T1 Oiba 115/34.5 kV 40 MVA</t>
  </si>
  <si>
    <t xml:space="preserve">Florida 1 115/34.5/13.8</t>
  </si>
  <si>
    <t xml:space="preserve">T5 Palenque 115/34.5/13.8</t>
  </si>
  <si>
    <t xml:space="preserve">SanGil 3 115/34.5/13.8</t>
  </si>
  <si>
    <t xml:space="preserve">Realminas 5 115/34.5/13.8</t>
  </si>
  <si>
    <t xml:space="preserve">Realminas 115</t>
  </si>
  <si>
    <t xml:space="preserve">T3 Palenque 115/34.5 40 MVA</t>
  </si>
  <si>
    <t xml:space="preserve">T5 Mesa del Sol 115/34.5 25 MVA</t>
  </si>
  <si>
    <t xml:space="preserve">Mesa del Sol 115</t>
  </si>
  <si>
    <t xml:space="preserve">Rio Frio T2 115/34.5/13.8</t>
  </si>
  <si>
    <t xml:space="preserve">Rio Frio 115</t>
  </si>
  <si>
    <t xml:space="preserve">T 2 Palos 115/34.5/13.8</t>
  </si>
  <si>
    <t xml:space="preserve">Palos 115</t>
  </si>
  <si>
    <t xml:space="preserve">Realminas 3 115/34.5/13.8</t>
  </si>
  <si>
    <t xml:space="preserve">T 7 Palos 115/34.5/13.8</t>
  </si>
  <si>
    <t xml:space="preserve">YNyn0d0</t>
  </si>
  <si>
    <t xml:space="preserve">Realminas 1 115/34.5/13.8</t>
  </si>
  <si>
    <t xml:space="preserve">SanGil 1 115/34.5/13.8</t>
  </si>
  <si>
    <t xml:space="preserve">Condor 115/34.5 50 MVA</t>
  </si>
  <si>
    <t xml:space="preserve">YN0yn0yn0</t>
  </si>
  <si>
    <t xml:space="preserve">T1 Lizama 20 MVA 115/34.5 kV</t>
  </si>
  <si>
    <t xml:space="preserve">Lizama 115</t>
  </si>
  <si>
    <t xml:space="preserve">YNd1</t>
  </si>
  <si>
    <t xml:space="preserve">Rio Frio T1 115/34.5/13.8</t>
  </si>
  <si>
    <t xml:space="preserve">T6 Mesa del Sol 115/34.5 25 MVA</t>
  </si>
  <si>
    <t xml:space="preserve">T4 SanSilvestre 115/34.5/13.8</t>
  </si>
  <si>
    <t xml:space="preserve">San Silvestre 115</t>
  </si>
  <si>
    <t xml:space="preserve">Wilches 1 115/34.5/13.8</t>
  </si>
  <si>
    <t xml:space="preserve">Wilches 115</t>
  </si>
  <si>
    <t xml:space="preserve">T3 SanSilvestre 115/34.5/13.8</t>
  </si>
  <si>
    <t xml:space="preserve">T1 Sabana 115/34.5/13.8</t>
  </si>
  <si>
    <t xml:space="preserve">Sabana 115</t>
  </si>
  <si>
    <t xml:space="preserve">T1 San Alberto 115/34.5/13.8</t>
  </si>
  <si>
    <t xml:space="preserve">San Alberto 115</t>
  </si>
  <si>
    <t xml:space="preserve">Piedecuesta 2 115/34.5/13.8</t>
  </si>
  <si>
    <t xml:space="preserve">Piedecuesta 115</t>
  </si>
  <si>
    <t xml:space="preserve">Barranca 1 220/115</t>
  </si>
  <si>
    <t xml:space="preserve">Barranca 2 220/115</t>
  </si>
  <si>
    <t xml:space="preserve">Barranca 3 220/115</t>
  </si>
  <si>
    <t xml:space="preserve">Cabrera 1 230/115</t>
  </si>
  <si>
    <t xml:space="preserve">YN0yn0d0</t>
  </si>
  <si>
    <t xml:space="preserve">Cabrera 2 230/115</t>
  </si>
  <si>
    <t xml:space="preserve">Información General de Transformadores Bidevanados</t>
  </si>
  <si>
    <t xml:space="preserve">T-2 Principal 34.5/13.8</t>
  </si>
  <si>
    <t xml:space="preserve">- Principal 34.5</t>
  </si>
  <si>
    <t xml:space="preserve">Dyn11</t>
  </si>
  <si>
    <t xml:space="preserve">T1 Carmen 34.5/13.8</t>
  </si>
  <si>
    <t xml:space="preserve">Cascada 2 1.5 MVA 13.8/6.3</t>
  </si>
  <si>
    <t xml:space="preserve">Nodo Cascada 6.2</t>
  </si>
  <si>
    <t xml:space="preserve">YNd5</t>
  </si>
  <si>
    <t xml:space="preserve">Charala 34.5/13.8</t>
  </si>
  <si>
    <t xml:space="preserve">Bosque 1 34.5/13.8</t>
  </si>
  <si>
    <t xml:space="preserve">Bucarica 1 34.5/13.8</t>
  </si>
  <si>
    <t xml:space="preserve">Capitanejo 34.5/13.8</t>
  </si>
  <si>
    <t xml:space="preserve">Bellavista 34.5/13.8</t>
  </si>
  <si>
    <t xml:space="preserve">Bosque 2 34.5/13.8</t>
  </si>
  <si>
    <t xml:space="preserve">Caneyes 2 34.5/13.8</t>
  </si>
  <si>
    <t xml:space="preserve">Caneyes 2 34.5</t>
  </si>
  <si>
    <t xml:space="preserve">Nuevo transformador a instalar en el año 2027</t>
  </si>
  <si>
    <t xml:space="preserve">T1 Buenavista 34.5/13.8</t>
  </si>
  <si>
    <t xml:space="preserve">Caneyes 1 34.5/13.8</t>
  </si>
  <si>
    <t xml:space="preserve">Cimitarra 2 34.5/13.8</t>
  </si>
  <si>
    <t xml:space="preserve">Dyn1</t>
  </si>
  <si>
    <t xml:space="preserve">Cocos 34.5/13.8</t>
  </si>
  <si>
    <t xml:space="preserve">Contratación 34.5/13.8</t>
  </si>
  <si>
    <t xml:space="preserve">T1 Cafe Corriendo 34.5/13.8</t>
  </si>
  <si>
    <t xml:space="preserve">Dyn5</t>
  </si>
  <si>
    <t xml:space="preserve">T1 California 34.5/13.8</t>
  </si>
  <si>
    <t xml:space="preserve">Cantagallo 34.5/4.16</t>
  </si>
  <si>
    <t xml:space="preserve">T1 Buenos Aires 34.5/13.8</t>
  </si>
  <si>
    <t xml:space="preserve">Cascada 1 1.5 MVA 13.8/6.3</t>
  </si>
  <si>
    <t xml:space="preserve">Conuco T3 34.5/13.8</t>
  </si>
  <si>
    <t xml:space="preserve">- Conuco 34.5</t>
  </si>
  <si>
    <t xml:space="preserve">Cuchuilla del Ramo 34.5/13.8</t>
  </si>
  <si>
    <t xml:space="preserve">Barbosa 2 34.5/13.8</t>
  </si>
  <si>
    <t xml:space="preserve">Chicamocha 1 34.5/13.8</t>
  </si>
  <si>
    <t xml:space="preserve">T2 Buenos Aires 34.5/13.8</t>
  </si>
  <si>
    <t xml:space="preserve">T1 Cero 34.5/13.8</t>
  </si>
  <si>
    <t xml:space="preserve">Bucarica 2 34.5/13.8</t>
  </si>
  <si>
    <t xml:space="preserve">Cienaga 34.5/13.8</t>
  </si>
  <si>
    <t xml:space="preserve">T1 Pozo Nutria 34.5/13.8</t>
  </si>
  <si>
    <t xml:space="preserve">San Gil 2 34.5/13.8</t>
  </si>
  <si>
    <t xml:space="preserve">San Gil 2 34.5</t>
  </si>
  <si>
    <t xml:space="preserve">T1 San Martin 34.5/13.8</t>
  </si>
  <si>
    <t xml:space="preserve">San Pablo 34.5/13.8</t>
  </si>
  <si>
    <t xml:space="preserve">T2 Norte 34.5/13.8</t>
  </si>
  <si>
    <t xml:space="preserve">T1 Norte 34.5/13.8</t>
  </si>
  <si>
    <t xml:space="preserve">Norte 1 34.5</t>
  </si>
  <si>
    <t xml:space="preserve">Realminas 4 34.5/13.8</t>
  </si>
  <si>
    <t xml:space="preserve">Nuevo transformador a instalar en el año 2025</t>
  </si>
  <si>
    <t xml:space="preserve">T2 Lebrija 34.5/13.8</t>
  </si>
  <si>
    <t xml:space="preserve">T6 San Silvestre 34.5/13.8</t>
  </si>
  <si>
    <t xml:space="preserve">Garcia Rovira 2 34.5/13.8</t>
  </si>
  <si>
    <t xml:space="preserve">T1 Rionegro 34.5/13.8</t>
  </si>
  <si>
    <t xml:space="preserve">San Vicente 34.5/13.8</t>
  </si>
  <si>
    <t xml:space="preserve">Socorro 34.5/13.8</t>
  </si>
  <si>
    <t xml:space="preserve">Palmas 1 4.16/33</t>
  </si>
  <si>
    <t xml:space="preserve">Realminas 2 34.5/13.8</t>
  </si>
  <si>
    <t xml:space="preserve">Nuvo transformador a instalar en el año 2027</t>
  </si>
  <si>
    <t xml:space="preserve">T2 San Alberto 34.5/13.8</t>
  </si>
  <si>
    <t xml:space="preserve">Sur 1 34.5/13.8</t>
  </si>
  <si>
    <t xml:space="preserve">Mesa 34.5/13.8</t>
  </si>
  <si>
    <t xml:space="preserve">T1 Parnaso 34.5/13.8</t>
  </si>
  <si>
    <t xml:space="preserve">Palmas 2 4.16/33</t>
  </si>
  <si>
    <t xml:space="preserve">T2 Sabana 2 34.5/13.8</t>
  </si>
  <si>
    <t xml:space="preserve">T1 San Rafael 34.5/13.8</t>
  </si>
  <si>
    <t xml:space="preserve">San Rafael 34.5</t>
  </si>
  <si>
    <t xml:space="preserve">T1 Santa Catalina 34.5/13.8</t>
  </si>
  <si>
    <t xml:space="preserve">Granja 34.5/13.8</t>
  </si>
  <si>
    <t xml:space="preserve">Feria 34.5/13.8</t>
  </si>
  <si>
    <t xml:space="preserve">Llanogrande 1 34.5/13.8</t>
  </si>
  <si>
    <t xml:space="preserve">T1 Laguna 34.5/13.8</t>
  </si>
  <si>
    <t xml:space="preserve">T3 Palos 3 34.5/13.8</t>
  </si>
  <si>
    <t xml:space="preserve">Pte Sogamoso 34.5/13.8</t>
  </si>
  <si>
    <t xml:space="preserve">Pte Sogamoso 34.5</t>
  </si>
  <si>
    <t xml:space="preserve">San Gil 4 34.5/13.8</t>
  </si>
  <si>
    <t xml:space="preserve">Sucre 34.5/13.8</t>
  </si>
  <si>
    <t xml:space="preserve">T2 Parnaso 34.5/13.8</t>
  </si>
  <si>
    <t xml:space="preserve">Sur 2 34.5/13.8</t>
  </si>
  <si>
    <t xml:space="preserve">T1 Trincheras 34.5/13.8</t>
  </si>
  <si>
    <t xml:space="preserve">Vado Real 34.5/13.8</t>
  </si>
  <si>
    <t xml:space="preserve">Florida 2 34.5/13.8</t>
  </si>
  <si>
    <t xml:space="preserve">Velez 34.5/13.8</t>
  </si>
  <si>
    <t xml:space="preserve">T1 Vijagual 34.5/13.8</t>
  </si>
  <si>
    <t xml:space="preserve">Zapatoca 34.5/13.8</t>
  </si>
  <si>
    <t xml:space="preserve">T1 Puerto Araujo 34.5/13.8</t>
  </si>
  <si>
    <t xml:space="preserve">T7 Palenque 34.5/13.8</t>
  </si>
  <si>
    <t xml:space="preserve">T6 Palenque 34.5/13.8 25 MVA</t>
  </si>
  <si>
    <t xml:space="preserve">T1 Matanza 34.5/11.4</t>
  </si>
  <si>
    <t xml:space="preserve">T1 Acuarela 34.5/13.8 6 MVA</t>
  </si>
  <si>
    <t xml:space="preserve">T3 Buenavista 34.5/13.8</t>
  </si>
  <si>
    <t xml:space="preserve">T1 Provincia de Soto 34.5/13.8 kV</t>
  </si>
  <si>
    <t xml:space="preserve">Llanito 34.5/13.8</t>
  </si>
  <si>
    <t xml:space="preserve">Villas 34.5/13.8</t>
  </si>
  <si>
    <t xml:space="preserve">Garcia Rovira 1 34.5/13.8</t>
  </si>
  <si>
    <t xml:space="preserve">T1 Hamacas 34.5/13.8</t>
  </si>
  <si>
    <t xml:space="preserve">T2 Lizama 34.5/13.8</t>
  </si>
  <si>
    <t xml:space="preserve">T1 Landazuri 34.5/13.8</t>
  </si>
  <si>
    <t xml:space="preserve">T1 Lebrija 34.5/13.8</t>
  </si>
  <si>
    <t xml:space="preserve">Palmas 3 4.16/33</t>
  </si>
  <si>
    <t xml:space="preserve">Palmas 6 34.5/13.8</t>
  </si>
  <si>
    <t xml:space="preserve">Rio Frio T3 34.5/13.8</t>
  </si>
  <si>
    <t xml:space="preserve">T1 Esperanza 34.5/13.8</t>
  </si>
  <si>
    <t xml:space="preserve">KM8 34.5/13.8</t>
  </si>
  <si>
    <t xml:space="preserve">Oiba 34.5/13.8</t>
  </si>
  <si>
    <t xml:space="preserve">Palmas 4 4.16/33</t>
  </si>
  <si>
    <t xml:space="preserve">San Andres 34.5/13.8</t>
  </si>
  <si>
    <t xml:space="preserve">cantagallo T2 34.5/13.8 kV</t>
  </si>
  <si>
    <t xml:space="preserve">T1 Mogotes</t>
  </si>
  <si>
    <t xml:space="preserve">T1 Yariguies</t>
  </si>
  <si>
    <t xml:space="preserve">Principal 1 115/13.8</t>
  </si>
  <si>
    <t xml:space="preserve">Barra1</t>
  </si>
  <si>
    <t xml:space="preserve">Trf Conuco 2 115/13.8</t>
  </si>
  <si>
    <t xml:space="preserve">93,428</t>
  </si>
  <si>
    <t xml:space="preserve">Trf Conuco 1 115/13.8</t>
  </si>
  <si>
    <t xml:space="preserve">93,272</t>
  </si>
  <si>
    <t xml:space="preserve">paeo del puente 34.5/13.8</t>
  </si>
  <si>
    <t xml:space="preserve">Barranca 34.5/13.8 kV</t>
  </si>
  <si>
    <t xml:space="preserve">San Marcos 34.5/13.8 kV</t>
  </si>
  <si>
    <t xml:space="preserve">Berlin 34.5/13.8</t>
  </si>
  <si>
    <t xml:space="preserve">Se pone fuera de servicio en el año 2027 para reemplazarlo por uno nuevo de 25 MVA</t>
  </si>
  <si>
    <t xml:space="preserve">Cabecera 34.5/13.8</t>
  </si>
  <si>
    <t xml:space="preserve">Se pone fuera de servicio en el año 2025 para reemplazo por uno nuevo de 25 MVA</t>
  </si>
  <si>
    <t xml:space="preserve">Se pone fuera de servicio en el año 2025 para reemplazo por uno nuevo de 6 MVA</t>
  </si>
  <si>
    <t xml:space="preserve">Se pone fuera de servicio en el año 2027 para reemplazo por uno nuevo de 25 MVA</t>
  </si>
  <si>
    <t xml:space="preserve">Se pone fuera de servicios en el año 2025 para reemplazo por uno de 6 MVA</t>
  </si>
  <si>
    <t xml:space="preserve">San Cristobal 34.5/13.8</t>
  </si>
  <si>
    <t xml:space="preserve">Se pone fuera de servicio en el año 2025 para reemplazo por uno de 3 MVA</t>
  </si>
  <si>
    <t xml:space="preserve">Información General de Subestaciones</t>
  </si>
  <si>
    <t xml:space="preserve">Los Palos 230 kV</t>
  </si>
  <si>
    <t xml:space="preserve">Barra Principal y Barra de Transferencia</t>
  </si>
  <si>
    <t xml:space="preserve">Convencional</t>
  </si>
  <si>
    <t xml:space="preserve">SANTANDER</t>
  </si>
  <si>
    <t xml:space="preserve">BUCARAMANGA</t>
  </si>
  <si>
    <t xml:space="preserve">Se tomo la capacidad de interrupción de menor magnitud asociado al nivel de tension.</t>
  </si>
  <si>
    <t xml:space="preserve">Los Palos 115 kV</t>
  </si>
  <si>
    <t xml:space="preserve">Los Palos 34.5 kV</t>
  </si>
  <si>
    <t xml:space="preserve">34.5</t>
  </si>
  <si>
    <t xml:space="preserve">Barra sencilla</t>
  </si>
  <si>
    <t xml:space="preserve">Los Palos 13.8 kV</t>
  </si>
  <si>
    <t xml:space="preserve">13.8</t>
  </si>
  <si>
    <t xml:space="preserve">Encapsulado</t>
  </si>
  <si>
    <t xml:space="preserve">Celda metalclad 
Se tomo la capacidad de interrupción de menor magnitud asociado al nivel de tension.</t>
  </si>
  <si>
    <t xml:space="preserve">Bucaramanga 230 kV</t>
  </si>
  <si>
    <t xml:space="preserve">Anillo</t>
  </si>
  <si>
    <t xml:space="preserve">FLORIDABLANCA</t>
  </si>
  <si>
    <t xml:space="preserve">Bucaramanga 115 kV</t>
  </si>
  <si>
    <t xml:space="preserve">Bucaramanga 34.5 kV</t>
  </si>
  <si>
    <t xml:space="preserve">Piedecuesta 230 kV</t>
  </si>
  <si>
    <t xml:space="preserve">230 </t>
  </si>
  <si>
    <t xml:space="preserve">PIEDECUESTA</t>
  </si>
  <si>
    <t xml:space="preserve">Barraje de 230 no es propiedad de ESSA </t>
  </si>
  <si>
    <t xml:space="preserve">Piedecuesta 115 kV</t>
  </si>
  <si>
    <t xml:space="preserve">Piedecuesta 34.5 kV</t>
  </si>
  <si>
    <t xml:space="preserve">Celda metalclad </t>
  </si>
  <si>
    <t xml:space="preserve">Barranca 230 kV</t>
  </si>
  <si>
    <t xml:space="preserve">Interruptor y medio</t>
  </si>
  <si>
    <t xml:space="preserve">BARRANCABERMEJA</t>
  </si>
  <si>
    <t xml:space="preserve">Encapsulada SF6
Se tomo la capacidad de interrupción de menor magnitud asociado al nivel de tension.</t>
  </si>
  <si>
    <t xml:space="preserve">Barranca 115 kV</t>
  </si>
  <si>
    <t xml:space="preserve">Barranca 34.5 Kv</t>
  </si>
  <si>
    <t xml:space="preserve">Cimitarra 115 kV</t>
  </si>
  <si>
    <t xml:space="preserve">CIMITARRA</t>
  </si>
  <si>
    <t xml:space="preserve">Cimitarra 34.5 kV</t>
  </si>
  <si>
    <t xml:space="preserve">Cimitarra 13.8 kV</t>
  </si>
  <si>
    <t xml:space="preserve">Lizama 115 kV</t>
  </si>
  <si>
    <t xml:space="preserve">SAN VICENTE </t>
  </si>
  <si>
    <t xml:space="preserve">Se tomo la capacidad de interrupción de menor magnitud asociado al nivel de tension</t>
  </si>
  <si>
    <t xml:space="preserve">Lizama 34.5 kV</t>
  </si>
  <si>
    <t xml:space="preserve">Lizama 13.8 kV</t>
  </si>
  <si>
    <t xml:space="preserve">Celda metalclad 
Se tomo la capacidad de interrupción de menor magnitud asociado al nivel de tension</t>
  </si>
  <si>
    <t xml:space="preserve">Palenque 115 kV</t>
  </si>
  <si>
    <t xml:space="preserve">Palenque 34.5 kV</t>
  </si>
  <si>
    <t xml:space="preserve">Palenque 13.8 kV</t>
  </si>
  <si>
    <t xml:space="preserve">Celda metalclad
Se tomo la capacidad de interrupción de menor magnitud asociado al nivel de tension. </t>
  </si>
  <si>
    <t xml:space="preserve">Puerto Wilches 115 kV</t>
  </si>
  <si>
    <t xml:space="preserve">PUERTO WILCHES</t>
  </si>
  <si>
    <t xml:space="preserve">Puerto Wilches 34.5 kV</t>
  </si>
  <si>
    <t xml:space="preserve">Real de Minas 115 kV</t>
  </si>
  <si>
    <t xml:space="preserve">Real de Minas 34.5 kV</t>
  </si>
  <si>
    <t xml:space="preserve">Real de Minas 13.8 kV</t>
  </si>
  <si>
    <t xml:space="preserve">Sabana de Torres 115 kV</t>
  </si>
  <si>
    <t xml:space="preserve">SABANA DE TORRES</t>
  </si>
  <si>
    <t xml:space="preserve">Sabana de Torres 34.5 kV</t>
  </si>
  <si>
    <t xml:space="preserve">Sabana de Torres 13.8 kV</t>
  </si>
  <si>
    <t xml:space="preserve">San Alberto 115 kV</t>
  </si>
  <si>
    <t xml:space="preserve">CESAR</t>
  </si>
  <si>
    <t xml:space="preserve">SAN ALBERTO</t>
  </si>
  <si>
    <t xml:space="preserve">San Alberto 34.5 kV</t>
  </si>
  <si>
    <t xml:space="preserve">San Alberto 13.8 kV</t>
  </si>
  <si>
    <t xml:space="preserve">San Gil 115 kV</t>
  </si>
  <si>
    <t xml:space="preserve">SAN GIL</t>
  </si>
  <si>
    <t xml:space="preserve">San Gil 34.5 kV</t>
  </si>
  <si>
    <t xml:space="preserve">San Gil 13.8 kV</t>
  </si>
  <si>
    <t xml:space="preserve">Barbosa 115 kV</t>
  </si>
  <si>
    <t xml:space="preserve">BARBOSA</t>
  </si>
  <si>
    <t xml:space="preserve">Barbosa 34.5 kV</t>
  </si>
  <si>
    <t xml:space="preserve">Barbosa 13.8 kV</t>
  </si>
  <si>
    <t xml:space="preserve">Florida 115 kV</t>
  </si>
  <si>
    <t xml:space="preserve">Florida 34.5 kV</t>
  </si>
  <si>
    <t xml:space="preserve">Florida 13.8 kV</t>
  </si>
  <si>
    <t xml:space="preserve">San Silvestre 115 kV</t>
  </si>
  <si>
    <t xml:space="preserve">San Silvestre 34.5 kV</t>
  </si>
  <si>
    <t xml:space="preserve">San Silvestre 13.8 kV</t>
  </si>
  <si>
    <t xml:space="preserve">Acuarela 13.8 kV</t>
  </si>
  <si>
    <t xml:space="preserve">LOS SANTOS </t>
  </si>
  <si>
    <t xml:space="preserve">Acuarela 34.5 kV</t>
  </si>
  <si>
    <t xml:space="preserve">Bellavista 13.8 kV</t>
  </si>
  <si>
    <t xml:space="preserve">Bellavista 34.5 kV</t>
  </si>
  <si>
    <t xml:space="preserve">Berlin 13.8 kV</t>
  </si>
  <si>
    <t xml:space="preserve">Berlin 34.5 kV</t>
  </si>
  <si>
    <t xml:space="preserve">Bosque 13.8 kV</t>
  </si>
  <si>
    <t xml:space="preserve">Bosque 34.5 kV</t>
  </si>
  <si>
    <t xml:space="preserve">Bucarica 13.8 kV</t>
  </si>
  <si>
    <t xml:space="preserve">Celda metalclad
 Se tomo la capacidad de interrupción de menor magnitud asociado al nivel de tension.</t>
  </si>
  <si>
    <t xml:space="preserve">Bucarica  34.5 kV</t>
  </si>
  <si>
    <t xml:space="preserve">Buena Vista 13.8 kV</t>
  </si>
  <si>
    <t xml:space="preserve">Buena Vista 34.5 kV</t>
  </si>
  <si>
    <t xml:space="preserve">Buena Vista 115 kV</t>
  </si>
  <si>
    <t xml:space="preserve">Buenos Aires 13.8 kV</t>
  </si>
  <si>
    <t xml:space="preserve">Buenos Aires 34.5 kV</t>
  </si>
  <si>
    <t xml:space="preserve">Cabecera 13.8 kV</t>
  </si>
  <si>
    <t xml:space="preserve">Cabecera 34.5 kV</t>
  </si>
  <si>
    <t xml:space="preserve">Cafe Corriendo 13.8 kV</t>
  </si>
  <si>
    <t xml:space="preserve">NORTE DE SANTANDER </t>
  </si>
  <si>
    <t xml:space="preserve">LA ESPERANZA </t>
  </si>
  <si>
    <t xml:space="preserve">Cafe Corriendo 34.5 kV</t>
  </si>
  <si>
    <t xml:space="preserve">California 13.8 kV</t>
  </si>
  <si>
    <t xml:space="preserve">CALIFORNIA </t>
  </si>
  <si>
    <t xml:space="preserve">California 34.5 kV</t>
  </si>
  <si>
    <t xml:space="preserve">Caneyes 13.8 kV</t>
  </si>
  <si>
    <t xml:space="preserve">GIRÓN</t>
  </si>
  <si>
    <t xml:space="preserve">Caneyes 34.5 kV</t>
  </si>
  <si>
    <t xml:space="preserve">Cantagallo 34.5 kV</t>
  </si>
  <si>
    <t xml:space="preserve">BOLIVAR </t>
  </si>
  <si>
    <t xml:space="preserve">CANTA GALLO </t>
  </si>
  <si>
    <t xml:space="preserve">Cantagallo 4.16 kV</t>
  </si>
  <si>
    <t xml:space="preserve">4.16</t>
  </si>
  <si>
    <t xml:space="preserve">Capitanejo 13.8 kV</t>
  </si>
  <si>
    <t xml:space="preserve">CAPITANEJO </t>
  </si>
  <si>
    <t xml:space="preserve">Capitanejo 34.5 kV</t>
  </si>
  <si>
    <t xml:space="preserve">El Carmen 13.8 kV</t>
  </si>
  <si>
    <t xml:space="preserve">EL CARMEN </t>
  </si>
  <si>
    <t xml:space="preserve">El Carmen 34.5 kV</t>
  </si>
  <si>
    <t xml:space="preserve">El Cero 13.8 kV</t>
  </si>
  <si>
    <t xml:space="preserve">RIONEGRO</t>
  </si>
  <si>
    <t xml:space="preserve">El Cero 34.5 kV</t>
  </si>
  <si>
    <t xml:space="preserve">RIONEGRO </t>
  </si>
  <si>
    <t xml:space="preserve">Charala 13.8 kV</t>
  </si>
  <si>
    <t xml:space="preserve">CHARALA </t>
  </si>
  <si>
    <t xml:space="preserve">Charala 34.5 kV</t>
  </si>
  <si>
    <t xml:space="preserve">Chicamocha 13.8 kV</t>
  </si>
  <si>
    <t xml:space="preserve">ARATOCA</t>
  </si>
  <si>
    <t xml:space="preserve">Chicamocha 34.5 kV</t>
  </si>
  <si>
    <t xml:space="preserve">Cienaga 13.8 kV</t>
  </si>
  <si>
    <t xml:space="preserve">Cienaga 34.5 kV</t>
  </si>
  <si>
    <t xml:space="preserve">Los Cocos 13.8 kV</t>
  </si>
  <si>
    <t xml:space="preserve">Los Cocos 34.5 kV</t>
  </si>
  <si>
    <t xml:space="preserve">Contratación 13.8 kV</t>
  </si>
  <si>
    <t xml:space="preserve">CONTRATACION </t>
  </si>
  <si>
    <t xml:space="preserve">Contratación 34.5 kV</t>
  </si>
  <si>
    <t xml:space="preserve">Conuco 13.8 kV</t>
  </si>
  <si>
    <t xml:space="preserve">Conuco 34.5 kV</t>
  </si>
  <si>
    <t xml:space="preserve">Conuco 115 kV</t>
  </si>
  <si>
    <t xml:space="preserve">Cuchilla del Ramo 13.8 kV</t>
  </si>
  <si>
    <t xml:space="preserve">ZAPATOCA</t>
  </si>
  <si>
    <t xml:space="preserve">Cuchilla del Ramo 34.5 kV</t>
  </si>
  <si>
    <t xml:space="preserve">La Esperanza 13.8 kV</t>
  </si>
  <si>
    <t xml:space="preserve">La Esperanza 34.5 kV</t>
  </si>
  <si>
    <t xml:space="preserve">La Feria 13.8 kV</t>
  </si>
  <si>
    <t xml:space="preserve">La Feria 34.5 kV</t>
  </si>
  <si>
    <t xml:space="preserve">Garcia Rovira 13.8 kV</t>
  </si>
  <si>
    <t xml:space="preserve">MÁLAGA</t>
  </si>
  <si>
    <t xml:space="preserve">Garcia Rovira 34.5 kV</t>
  </si>
  <si>
    <t xml:space="preserve">La Granja 34.5 kV</t>
  </si>
  <si>
    <t xml:space="preserve">La Granja 13.8 kV</t>
  </si>
  <si>
    <t xml:space="preserve">Hamacas 34.5 kV</t>
  </si>
  <si>
    <t xml:space="preserve">Hamacas 13.8 kV</t>
  </si>
  <si>
    <t xml:space="preserve">KM8 13.8 kV</t>
  </si>
  <si>
    <t xml:space="preserve">KM8 34.5 kV</t>
  </si>
  <si>
    <t xml:space="preserve">Laguna 13.8 kV</t>
  </si>
  <si>
    <t xml:space="preserve">PLAYON</t>
  </si>
  <si>
    <t xml:space="preserve">Laguna 34.5 kV</t>
  </si>
  <si>
    <t xml:space="preserve">Landazuri 13.8 kV</t>
  </si>
  <si>
    <t xml:space="preserve">LANDAZURI</t>
  </si>
  <si>
    <t xml:space="preserve">Landazuri 34.5 kV</t>
  </si>
  <si>
    <t xml:space="preserve">Lebrija 13.8 kV</t>
  </si>
  <si>
    <t xml:space="preserve">LEBRIJA </t>
  </si>
  <si>
    <t xml:space="preserve">Lebrija 34.5 kV</t>
  </si>
  <si>
    <t xml:space="preserve">Llanito 13.8 kV</t>
  </si>
  <si>
    <t xml:space="preserve">Llanito 34.5 kV</t>
  </si>
  <si>
    <t xml:space="preserve">Llano Grande 13.8 kV</t>
  </si>
  <si>
    <t xml:space="preserve">Llano Grande 34.5 kV</t>
  </si>
  <si>
    <t xml:space="preserve">Matanza 11.4 kV</t>
  </si>
  <si>
    <t xml:space="preserve">11.4</t>
  </si>
  <si>
    <t xml:space="preserve">MATANZA</t>
  </si>
  <si>
    <t xml:space="preserve">Matanza 34.5 kV</t>
  </si>
  <si>
    <t xml:space="preserve">Mesa de los Santos 13.8 kV</t>
  </si>
  <si>
    <t xml:space="preserve">Mesa de los Santos 34.5 kV</t>
  </si>
  <si>
    <t xml:space="preserve">Norte 13.8 kV</t>
  </si>
  <si>
    <t xml:space="preserve">Norte 34.5 kV</t>
  </si>
  <si>
    <t xml:space="preserve">Oiba 13.8 kV</t>
  </si>
  <si>
    <t xml:space="preserve">OIBA</t>
  </si>
  <si>
    <t xml:space="preserve">Oiba 34.5 kV</t>
  </si>
  <si>
    <t xml:space="preserve">Palmas 13.8 kV</t>
  </si>
  <si>
    <t xml:space="preserve">Palmas 34.5 kV</t>
  </si>
  <si>
    <t xml:space="preserve">Parnaso 13.8 kV</t>
  </si>
  <si>
    <t xml:space="preserve">Parnaso 34.5 kV</t>
  </si>
  <si>
    <t xml:space="preserve">Pozo Nutria 13.8 kV</t>
  </si>
  <si>
    <t xml:space="preserve">Pozo Nutria 34.5 kV</t>
  </si>
  <si>
    <t xml:space="preserve">Principal 13.8 kV</t>
  </si>
  <si>
    <t xml:space="preserve">Principal 34.5 kV</t>
  </si>
  <si>
    <t xml:space="preserve">Principal 115 kV</t>
  </si>
  <si>
    <t xml:space="preserve">Puente Sogamoso 13.8 kV</t>
  </si>
  <si>
    <t xml:space="preserve">Puente Sogamoso 34.5 kV</t>
  </si>
  <si>
    <t xml:space="preserve">Puerto Araujo 13.8 kV</t>
  </si>
  <si>
    <t xml:space="preserve">Puerto Araujo 34.5 kV</t>
  </si>
  <si>
    <t xml:space="preserve">Rionegro 13.8 kV</t>
  </si>
  <si>
    <t xml:space="preserve">San Andres 13.8 kV</t>
  </si>
  <si>
    <t xml:space="preserve">SAN ANDRES</t>
  </si>
  <si>
    <t xml:space="preserve">San Andres 34.5 kV</t>
  </si>
  <si>
    <t xml:space="preserve">San Cristobal 13.8 kV</t>
  </si>
  <si>
    <t xml:space="preserve">San Cristobal 34.5 kV</t>
  </si>
  <si>
    <t xml:space="preserve">San Martin 13.8 kV</t>
  </si>
  <si>
    <t xml:space="preserve">SAN MARTIN </t>
  </si>
  <si>
    <t xml:space="preserve">San Martin 34.5 kV</t>
  </si>
  <si>
    <t xml:space="preserve">San Pablo 13.8 kV</t>
  </si>
  <si>
    <t xml:space="preserve">SAN PABLO </t>
  </si>
  <si>
    <t xml:space="preserve">San Pablo 34.5 kV</t>
  </si>
  <si>
    <t xml:space="preserve">San Rafael 13.8 kV</t>
  </si>
  <si>
    <t xml:space="preserve">San Rafael 34.5 kV</t>
  </si>
  <si>
    <t xml:space="preserve">San Vicente 13.8 kV</t>
  </si>
  <si>
    <t xml:space="preserve">San Vicente 34.5 kV</t>
  </si>
  <si>
    <t xml:space="preserve">Santa Catalina 13.8 kV</t>
  </si>
  <si>
    <t xml:space="preserve">Santa Catalina 34.5 kV</t>
  </si>
  <si>
    <t xml:space="preserve">Socorro 13.8 kV</t>
  </si>
  <si>
    <t xml:space="preserve">SOCORRO</t>
  </si>
  <si>
    <t xml:space="preserve">Socorro 34.5 kV</t>
  </si>
  <si>
    <t xml:space="preserve">Sucre 13.8 kV</t>
  </si>
  <si>
    <t xml:space="preserve">ANTIOQUIA</t>
  </si>
  <si>
    <t xml:space="preserve">SUCRE</t>
  </si>
  <si>
    <t xml:space="preserve">Sucre 34.5 kV</t>
  </si>
  <si>
    <t xml:space="preserve">Sur 13.8 kV</t>
  </si>
  <si>
    <t xml:space="preserve">Sur 34.5 kV</t>
  </si>
  <si>
    <t xml:space="preserve">Trincheras 13.8 kV</t>
  </si>
  <si>
    <t xml:space="preserve">Trincheras 34.5 kV</t>
  </si>
  <si>
    <t xml:space="preserve">Vado Real 13.8 kV</t>
  </si>
  <si>
    <t xml:space="preserve">SUAITA</t>
  </si>
  <si>
    <t xml:space="preserve">Vado Real 34.5 kV</t>
  </si>
  <si>
    <t xml:space="preserve">Velez 13.8 kV</t>
  </si>
  <si>
    <t xml:space="preserve">VELEZ</t>
  </si>
  <si>
    <t xml:space="preserve">Velez 34.5 kV</t>
  </si>
  <si>
    <t xml:space="preserve">Vijagual 13.8 kV</t>
  </si>
  <si>
    <t xml:space="preserve">Vijagual 34.5 kV</t>
  </si>
  <si>
    <t xml:space="preserve">Las Villas 13.8 kV</t>
  </si>
  <si>
    <t xml:space="preserve">Las Villas 34.5 kV</t>
  </si>
  <si>
    <t xml:space="preserve">Zapatoca 13.8 kV</t>
  </si>
  <si>
    <t xml:space="preserve">Zapatoca 34.5 kV</t>
  </si>
  <si>
    <t xml:space="preserve">Rio Frio 34.5 kV</t>
  </si>
  <si>
    <t xml:space="preserve">Rio Frio 115 kV</t>
  </si>
  <si>
    <t xml:space="preserve">Rrio Frio 13,8 kV</t>
  </si>
  <si>
    <t xml:space="preserve">La Cascada 6.3 kV</t>
  </si>
  <si>
    <t xml:space="preserve">6.3 </t>
  </si>
  <si>
    <t xml:space="preserve">La Cascada 13.8 kV</t>
  </si>
  <si>
    <t xml:space="preserve">Mesa del sol 115 kV</t>
  </si>
  <si>
    <t xml:space="preserve">Mesa del sol 34.5 kV</t>
  </si>
  <si>
    <t xml:space="preserve">Gabinete SF6 </t>
  </si>
  <si>
    <t xml:space="preserve">SIMACOTA</t>
  </si>
  <si>
    <t xml:space="preserve">Subestacion Proyectada </t>
  </si>
  <si>
    <t xml:space="preserve">Yariguies 13.8 kV</t>
  </si>
  <si>
    <t xml:space="preserve">MOGOTES</t>
  </si>
  <si>
    <t xml:space="preserve">Mogotes 13.8 kV</t>
  </si>
  <si>
    <t xml:space="preserve">Suaita 115 kV</t>
  </si>
  <si>
    <t xml:space="preserve">Oiba 115 kV</t>
  </si>
  <si>
    <t xml:space="preserve">San Marcos 34.5 kV</t>
  </si>
  <si>
    <t xml:space="preserve">San Marcos 13.8 kV</t>
  </si>
  <si>
    <t xml:space="preserve">Paseo del punete 13.8 kV</t>
  </si>
  <si>
    <t xml:space="preserve">Cabrera 230 kV</t>
  </si>
  <si>
    <t xml:space="preserve">Cabrera 115 kV</t>
  </si>
  <si>
    <t xml:space="preserve">Doble barra más barra de transferencia</t>
  </si>
  <si>
    <t xml:space="preserve">Información General de Demandas</t>
  </si>
  <si>
    <t xml:space="preserve">Traslados 1</t>
  </si>
  <si>
    <t xml:space="preserve">Traslados 2</t>
  </si>
  <si>
    <t xml:space="preserve">Traslados 3</t>
  </si>
  <si>
    <t xml:space="preserve">P [MW]</t>
  </si>
  <si>
    <t xml:space="preserve">Q [MVAr]</t>
  </si>
  <si>
    <t xml:space="preserve">04 501</t>
  </si>
  <si>
    <t xml:space="preserve">Bellavista 13.8</t>
  </si>
  <si>
    <t xml:space="preserve">04 502</t>
  </si>
  <si>
    <t xml:space="preserve">05 502</t>
  </si>
  <si>
    <t xml:space="preserve">Villas 13.8</t>
  </si>
  <si>
    <t xml:space="preserve">07 501</t>
  </si>
  <si>
    <t xml:space="preserve">Cocos 13.8</t>
  </si>
  <si>
    <t xml:space="preserve">07 502</t>
  </si>
  <si>
    <t xml:space="preserve">08 501</t>
  </si>
  <si>
    <t xml:space="preserve">Bucarica 1 13.8</t>
  </si>
  <si>
    <t xml:space="preserve">08 502</t>
  </si>
  <si>
    <t xml:space="preserve">08 503</t>
  </si>
  <si>
    <t xml:space="preserve">08 504</t>
  </si>
  <si>
    <t xml:space="preserve">Bucarica 2 13.8</t>
  </si>
  <si>
    <t xml:space="preserve">08 505</t>
  </si>
  <si>
    <t xml:space="preserve">08 506</t>
  </si>
  <si>
    <t xml:space="preserve">09 501</t>
  </si>
  <si>
    <t xml:space="preserve">Realminas 4 13.8</t>
  </si>
  <si>
    <t xml:space="preserve">09 502</t>
  </si>
  <si>
    <t xml:space="preserve">Realminas 2 13.8</t>
  </si>
  <si>
    <t xml:space="preserve">09 503</t>
  </si>
  <si>
    <t xml:space="preserve">09 504</t>
  </si>
  <si>
    <t xml:space="preserve">09 505</t>
  </si>
  <si>
    <t xml:space="preserve">09 506</t>
  </si>
  <si>
    <t xml:space="preserve">09 507</t>
  </si>
  <si>
    <t xml:space="preserve">09 508</t>
  </si>
  <si>
    <t xml:space="preserve">10 501</t>
  </si>
  <si>
    <t xml:space="preserve">Conucos 1 13.8</t>
  </si>
  <si>
    <t xml:space="preserve">10 502</t>
  </si>
  <si>
    <t xml:space="preserve">10 503</t>
  </si>
  <si>
    <t xml:space="preserve">Conucos 2 13.8</t>
  </si>
  <si>
    <t xml:space="preserve">10 504</t>
  </si>
  <si>
    <t xml:space="preserve">10 505</t>
  </si>
  <si>
    <t xml:space="preserve">10 506</t>
  </si>
  <si>
    <t xml:space="preserve">10 507</t>
  </si>
  <si>
    <t xml:space="preserve">10 508</t>
  </si>
  <si>
    <t xml:space="preserve">10 509</t>
  </si>
  <si>
    <t xml:space="preserve">10 510</t>
  </si>
  <si>
    <t xml:space="preserve">10 511</t>
  </si>
  <si>
    <t xml:space="preserve">10 512</t>
  </si>
  <si>
    <t xml:space="preserve">10 513</t>
  </si>
  <si>
    <t xml:space="preserve">10 514</t>
  </si>
  <si>
    <t xml:space="preserve">10 515</t>
  </si>
  <si>
    <t xml:space="preserve">11 501</t>
  </si>
  <si>
    <t xml:space="preserve">Caneyes 2 13.8</t>
  </si>
  <si>
    <t xml:space="preserve">11 502</t>
  </si>
  <si>
    <t xml:space="preserve">11 503</t>
  </si>
  <si>
    <t xml:space="preserve">Caneyes 1 13.8</t>
  </si>
  <si>
    <t xml:space="preserve">11 504</t>
  </si>
  <si>
    <t xml:space="preserve">11 505</t>
  </si>
  <si>
    <t xml:space="preserve">12 501</t>
  </si>
  <si>
    <t xml:space="preserve">Bosque 13.8</t>
  </si>
  <si>
    <t xml:space="preserve">12 502</t>
  </si>
  <si>
    <t xml:space="preserve">12 503</t>
  </si>
  <si>
    <t xml:space="preserve">12 504</t>
  </si>
  <si>
    <t xml:space="preserve">12 505</t>
  </si>
  <si>
    <t xml:space="preserve">12 506</t>
  </si>
  <si>
    <t xml:space="preserve">12 507</t>
  </si>
  <si>
    <t xml:space="preserve">12 508</t>
  </si>
  <si>
    <t xml:space="preserve">12 509</t>
  </si>
  <si>
    <t xml:space="preserve">13 501</t>
  </si>
  <si>
    <t xml:space="preserve">Carmen 13.8</t>
  </si>
  <si>
    <t xml:space="preserve">13 502</t>
  </si>
  <si>
    <t xml:space="preserve">13 503</t>
  </si>
  <si>
    <t xml:space="preserve">13 504</t>
  </si>
  <si>
    <t xml:space="preserve">14 501</t>
  </si>
  <si>
    <t xml:space="preserve">Cero 13.8</t>
  </si>
  <si>
    <t xml:space="preserve">14 502</t>
  </si>
  <si>
    <t xml:space="preserve">17 501</t>
  </si>
  <si>
    <t xml:space="preserve">Esperanza 13.8</t>
  </si>
  <si>
    <t xml:space="preserve">17 502</t>
  </si>
  <si>
    <t xml:space="preserve">18 501</t>
  </si>
  <si>
    <t xml:space="preserve">Rio Frio 13.8</t>
  </si>
  <si>
    <t xml:space="preserve">18 502</t>
  </si>
  <si>
    <t xml:space="preserve">18 503</t>
  </si>
  <si>
    <t xml:space="preserve">18 504</t>
  </si>
  <si>
    <t xml:space="preserve">20 501</t>
  </si>
  <si>
    <t xml:space="preserve">Norte 1 13.8</t>
  </si>
  <si>
    <t xml:space="preserve">20 502</t>
  </si>
  <si>
    <t xml:space="preserve">20 503</t>
  </si>
  <si>
    <t xml:space="preserve">20 504</t>
  </si>
  <si>
    <t xml:space="preserve">Norte 2 13.8</t>
  </si>
  <si>
    <t xml:space="preserve">20 505</t>
  </si>
  <si>
    <t xml:space="preserve">20 506</t>
  </si>
  <si>
    <t xml:space="preserve">20 507</t>
  </si>
  <si>
    <t xml:space="preserve">20 508</t>
  </si>
  <si>
    <t xml:space="preserve">207 501</t>
  </si>
  <si>
    <t xml:space="preserve">Provincia de Soto 13.8 </t>
  </si>
  <si>
    <t xml:space="preserve">21 501</t>
  </si>
  <si>
    <t xml:space="preserve">Hamacas 13.8</t>
  </si>
  <si>
    <t xml:space="preserve">21 502</t>
  </si>
  <si>
    <t xml:space="preserve">22 501</t>
  </si>
  <si>
    <t xml:space="preserve">Palos 13.8</t>
  </si>
  <si>
    <t xml:space="preserve">22 502</t>
  </si>
  <si>
    <t xml:space="preserve">22 503</t>
  </si>
  <si>
    <t xml:space="preserve">22 504</t>
  </si>
  <si>
    <t xml:space="preserve">24 501</t>
  </si>
  <si>
    <t xml:space="preserve">PalenqueT2 13.8</t>
  </si>
  <si>
    <t xml:space="preserve">24 502</t>
  </si>
  <si>
    <t xml:space="preserve">24 503</t>
  </si>
  <si>
    <t xml:space="preserve">24 504</t>
  </si>
  <si>
    <t xml:space="preserve">Palenque 7 13.8</t>
  </si>
  <si>
    <t xml:space="preserve">24 505</t>
  </si>
  <si>
    <t xml:space="preserve">25 501</t>
  </si>
  <si>
    <t xml:space="preserve">California 13.8</t>
  </si>
  <si>
    <t xml:space="preserve">25 502</t>
  </si>
  <si>
    <t xml:space="preserve">25 503</t>
  </si>
  <si>
    <t xml:space="preserve">26 501</t>
  </si>
  <si>
    <t xml:space="preserve">Principal 2 13.8</t>
  </si>
  <si>
    <t xml:space="preserve">26 502</t>
  </si>
  <si>
    <t xml:space="preserve">26 503</t>
  </si>
  <si>
    <t xml:space="preserve">26 504</t>
  </si>
  <si>
    <t xml:space="preserve">Principal 13.8kV</t>
  </si>
  <si>
    <t xml:space="preserve">26 505</t>
  </si>
  <si>
    <t xml:space="preserve">26 506</t>
  </si>
  <si>
    <t xml:space="preserve">26 507</t>
  </si>
  <si>
    <t xml:space="preserve">26 508</t>
  </si>
  <si>
    <t xml:space="preserve">26 509</t>
  </si>
  <si>
    <t xml:space="preserve">26 510</t>
  </si>
  <si>
    <t xml:space="preserve">27 601</t>
  </si>
  <si>
    <t xml:space="preserve">Matanza 11.4</t>
  </si>
  <si>
    <t xml:space="preserve">27 603</t>
  </si>
  <si>
    <t xml:space="preserve">28 501</t>
  </si>
  <si>
    <t xml:space="preserve">Sur 1 13.8</t>
  </si>
  <si>
    <t xml:space="preserve">28 502</t>
  </si>
  <si>
    <t xml:space="preserve">28 503</t>
  </si>
  <si>
    <t xml:space="preserve">28 504</t>
  </si>
  <si>
    <t xml:space="preserve">28 505</t>
  </si>
  <si>
    <t xml:space="preserve">Sur 2 13.8</t>
  </si>
  <si>
    <t xml:space="preserve">28 506</t>
  </si>
  <si>
    <t xml:space="preserve">28 507</t>
  </si>
  <si>
    <t xml:space="preserve">28 508</t>
  </si>
  <si>
    <t xml:space="preserve">28 509</t>
  </si>
  <si>
    <t xml:space="preserve">28 510</t>
  </si>
  <si>
    <t xml:space="preserve">29 501</t>
  </si>
  <si>
    <t xml:space="preserve">San Marcos 13.8</t>
  </si>
  <si>
    <t xml:space="preserve">29 502</t>
  </si>
  <si>
    <t xml:space="preserve">29 503</t>
  </si>
  <si>
    <t xml:space="preserve">30 501</t>
  </si>
  <si>
    <t xml:space="preserve">Paseo del puente 13.8 </t>
  </si>
  <si>
    <t xml:space="preserve">30 502</t>
  </si>
  <si>
    <t xml:space="preserve">30 503</t>
  </si>
  <si>
    <t xml:space="preserve">32 501</t>
  </si>
  <si>
    <t xml:space="preserve">LLano grande 13.8</t>
  </si>
  <si>
    <t xml:space="preserve">32 502</t>
  </si>
  <si>
    <t xml:space="preserve">33 501</t>
  </si>
  <si>
    <t xml:space="preserve">Palmas 13.8</t>
  </si>
  <si>
    <t xml:space="preserve">33 502</t>
  </si>
  <si>
    <t xml:space="preserve">33 503</t>
  </si>
  <si>
    <t xml:space="preserve">34 503</t>
  </si>
  <si>
    <t xml:space="preserve">Cabecera 13.8</t>
  </si>
  <si>
    <t xml:space="preserve">35 501</t>
  </si>
  <si>
    <t xml:space="preserve">Mesa 13.8</t>
  </si>
  <si>
    <t xml:space="preserve">35 502</t>
  </si>
  <si>
    <t xml:space="preserve">36 501</t>
  </si>
  <si>
    <t xml:space="preserve">Acuarela 13.8</t>
  </si>
  <si>
    <t xml:space="preserve">36 502</t>
  </si>
  <si>
    <t xml:space="preserve">36 503</t>
  </si>
  <si>
    <t xml:space="preserve">37 501</t>
  </si>
  <si>
    <t xml:space="preserve">San Cristobal 13.8</t>
  </si>
  <si>
    <t xml:space="preserve">37 502</t>
  </si>
  <si>
    <t xml:space="preserve">37 503</t>
  </si>
  <si>
    <t xml:space="preserve">37 504</t>
  </si>
  <si>
    <t xml:space="preserve">38 502</t>
  </si>
  <si>
    <t xml:space="preserve">Chicamocha 13.8</t>
  </si>
  <si>
    <t xml:space="preserve">39 501</t>
  </si>
  <si>
    <t xml:space="preserve">Lebrija 2 13.8</t>
  </si>
  <si>
    <t xml:space="preserve">39 502</t>
  </si>
  <si>
    <t xml:space="preserve">Lebrija 1 13.8</t>
  </si>
  <si>
    <t xml:space="preserve">39 503</t>
  </si>
  <si>
    <t xml:space="preserve">41 501</t>
  </si>
  <si>
    <t xml:space="preserve">Granja 13.8</t>
  </si>
  <si>
    <t xml:space="preserve">41 502</t>
  </si>
  <si>
    <t xml:space="preserve">41 503</t>
  </si>
  <si>
    <t xml:space="preserve">41 504</t>
  </si>
  <si>
    <t xml:space="preserve">41 505</t>
  </si>
  <si>
    <t xml:space="preserve">42 501</t>
  </si>
  <si>
    <t xml:space="preserve">Florida 13.8</t>
  </si>
  <si>
    <t xml:space="preserve">42 502</t>
  </si>
  <si>
    <t xml:space="preserve">42 503</t>
  </si>
  <si>
    <t xml:space="preserve">42 504</t>
  </si>
  <si>
    <t xml:space="preserve">45 501</t>
  </si>
  <si>
    <t xml:space="preserve">Cafe Corriendo 13.8</t>
  </si>
  <si>
    <t xml:space="preserve">47 501</t>
  </si>
  <si>
    <t xml:space="preserve">Rionegro 13.8</t>
  </si>
  <si>
    <t xml:space="preserve">47 502</t>
  </si>
  <si>
    <t xml:space="preserve">47 503</t>
  </si>
  <si>
    <t xml:space="preserve">48 501</t>
  </si>
  <si>
    <t xml:space="preserve">48 502</t>
  </si>
  <si>
    <t xml:space="preserve">48 503</t>
  </si>
  <si>
    <t xml:space="preserve">48 504</t>
  </si>
  <si>
    <t xml:space="preserve">49 501</t>
  </si>
  <si>
    <t xml:space="preserve">Laguna 13.8</t>
  </si>
  <si>
    <t xml:space="preserve">50 501</t>
  </si>
  <si>
    <t xml:space="preserve">Zapatoca 13.8</t>
  </si>
  <si>
    <t xml:space="preserve">50 502</t>
  </si>
  <si>
    <t xml:space="preserve">52 501</t>
  </si>
  <si>
    <t xml:space="preserve">Cuchilla del Ramo 13.8</t>
  </si>
  <si>
    <t xml:space="preserve">53 501</t>
  </si>
  <si>
    <t xml:space="preserve">San Rafael 13.8</t>
  </si>
  <si>
    <t xml:space="preserve">53 502</t>
  </si>
  <si>
    <t xml:space="preserve">53 503</t>
  </si>
  <si>
    <t xml:space="preserve">54 501</t>
  </si>
  <si>
    <t xml:space="preserve">Vijagual 13.8</t>
  </si>
  <si>
    <t xml:space="preserve">55 501</t>
  </si>
  <si>
    <t xml:space="preserve">San Alberto 13.8</t>
  </si>
  <si>
    <t xml:space="preserve">55 502</t>
  </si>
  <si>
    <t xml:space="preserve">55 503</t>
  </si>
  <si>
    <t xml:space="preserve">55 504</t>
  </si>
  <si>
    <t xml:space="preserve">56 501</t>
  </si>
  <si>
    <t xml:space="preserve">San Martin 13.8</t>
  </si>
  <si>
    <t xml:space="preserve">56 502</t>
  </si>
  <si>
    <t xml:space="preserve">56 503</t>
  </si>
  <si>
    <t xml:space="preserve">57 501</t>
  </si>
  <si>
    <t xml:space="preserve">Sabana de Torres 13.8</t>
  </si>
  <si>
    <t xml:space="preserve">57 502</t>
  </si>
  <si>
    <t xml:space="preserve">57 503</t>
  </si>
  <si>
    <t xml:space="preserve">58 511</t>
  </si>
  <si>
    <t xml:space="preserve">Buenos Aires 2 13.8</t>
  </si>
  <si>
    <t xml:space="preserve">58 512</t>
  </si>
  <si>
    <t xml:space="preserve">Buenos Aires 1 13.8</t>
  </si>
  <si>
    <t xml:space="preserve">58 514</t>
  </si>
  <si>
    <t xml:space="preserve">58 519</t>
  </si>
  <si>
    <t xml:space="preserve">58 520</t>
  </si>
  <si>
    <t xml:space="preserve">58 521</t>
  </si>
  <si>
    <t xml:space="preserve">58 522</t>
  </si>
  <si>
    <t xml:space="preserve">58 524</t>
  </si>
  <si>
    <t xml:space="preserve">59 501</t>
  </si>
  <si>
    <t xml:space="preserve">Santa Catalina 13.8</t>
  </si>
  <si>
    <t xml:space="preserve">59 502</t>
  </si>
  <si>
    <t xml:space="preserve">59 503</t>
  </si>
  <si>
    <t xml:space="preserve">60 501</t>
  </si>
  <si>
    <t xml:space="preserve">Buena Vista 13.8</t>
  </si>
  <si>
    <t xml:space="preserve">60 502</t>
  </si>
  <si>
    <t xml:space="preserve">60 503</t>
  </si>
  <si>
    <t xml:space="preserve">60 504</t>
  </si>
  <si>
    <t xml:space="preserve">60 505</t>
  </si>
  <si>
    <t xml:space="preserve">Lizama 13.8</t>
  </si>
  <si>
    <t xml:space="preserve">residencial</t>
  </si>
  <si>
    <t xml:space="preserve">si</t>
  </si>
  <si>
    <t xml:space="preserve">61 501</t>
  </si>
  <si>
    <t xml:space="preserve">61 502</t>
  </si>
  <si>
    <t xml:space="preserve">61 503</t>
  </si>
  <si>
    <t xml:space="preserve">62 507</t>
  </si>
  <si>
    <t xml:space="preserve">Parnaso 1 13.8</t>
  </si>
  <si>
    <t xml:space="preserve">62 508</t>
  </si>
  <si>
    <t xml:space="preserve">Parnaso 2 13.8</t>
  </si>
  <si>
    <t xml:space="preserve">62 509</t>
  </si>
  <si>
    <t xml:space="preserve">62 510</t>
  </si>
  <si>
    <t xml:space="preserve">63 501</t>
  </si>
  <si>
    <t xml:space="preserve">Feria 13.8</t>
  </si>
  <si>
    <t xml:space="preserve">64 515</t>
  </si>
  <si>
    <t xml:space="preserve">San Silvestre 13.8</t>
  </si>
  <si>
    <t xml:space="preserve">64 516</t>
  </si>
  <si>
    <t xml:space="preserve">64 517</t>
  </si>
  <si>
    <t xml:space="preserve">64 518</t>
  </si>
  <si>
    <t xml:space="preserve">64 519</t>
  </si>
  <si>
    <t xml:space="preserve">65 501</t>
  </si>
  <si>
    <t xml:space="preserve">San Vicente 13.8</t>
  </si>
  <si>
    <t xml:space="preserve">65 502</t>
  </si>
  <si>
    <t xml:space="preserve">65 503</t>
  </si>
  <si>
    <t xml:space="preserve">65 504</t>
  </si>
  <si>
    <t xml:space="preserve">65 505</t>
  </si>
  <si>
    <t xml:space="preserve">67 501</t>
  </si>
  <si>
    <t xml:space="preserve">Llanito 13.8</t>
  </si>
  <si>
    <t xml:space="preserve">67 502</t>
  </si>
  <si>
    <t xml:space="preserve">67 503</t>
  </si>
  <si>
    <t xml:space="preserve">68 501</t>
  </si>
  <si>
    <t xml:space="preserve">Cimitarra 13.8</t>
  </si>
  <si>
    <t xml:space="preserve">68 502</t>
  </si>
  <si>
    <t xml:space="preserve">68 503</t>
  </si>
  <si>
    <t xml:space="preserve">68 504</t>
  </si>
  <si>
    <t xml:space="preserve">69 501</t>
  </si>
  <si>
    <t xml:space="preserve">San Pablo 13.8</t>
  </si>
  <si>
    <t xml:space="preserve">69 502</t>
  </si>
  <si>
    <t xml:space="preserve">69 503</t>
  </si>
  <si>
    <t xml:space="preserve">69 504</t>
  </si>
  <si>
    <t xml:space="preserve">71 801</t>
  </si>
  <si>
    <t xml:space="preserve">Cantagallo 4.16</t>
  </si>
  <si>
    <t xml:space="preserve">71 802</t>
  </si>
  <si>
    <t xml:space="preserve">72 501</t>
  </si>
  <si>
    <t xml:space="preserve">Puerto Araujo 13.8</t>
  </si>
  <si>
    <t xml:space="preserve">72 502</t>
  </si>
  <si>
    <t xml:space="preserve">72 503</t>
  </si>
  <si>
    <t xml:space="preserve">72 504</t>
  </si>
  <si>
    <t xml:space="preserve">73 501</t>
  </si>
  <si>
    <t xml:space="preserve">Pozo Nutria 13.8</t>
  </si>
  <si>
    <t xml:space="preserve">73 502</t>
  </si>
  <si>
    <t xml:space="preserve">74 501</t>
  </si>
  <si>
    <t xml:space="preserve">Pte Sogamoso 13.8</t>
  </si>
  <si>
    <t xml:space="preserve">74 502</t>
  </si>
  <si>
    <t xml:space="preserve">74 503</t>
  </si>
  <si>
    <t xml:space="preserve">75 501</t>
  </si>
  <si>
    <t xml:space="preserve">KM8 13.8</t>
  </si>
  <si>
    <t xml:space="preserve">76 501</t>
  </si>
  <si>
    <t xml:space="preserve">Cienaga 13.8</t>
  </si>
  <si>
    <t xml:space="preserve">76 502</t>
  </si>
  <si>
    <t xml:space="preserve">77 501</t>
  </si>
  <si>
    <t xml:space="preserve">Berlin 13.8</t>
  </si>
  <si>
    <t xml:space="preserve">78 501</t>
  </si>
  <si>
    <t xml:space="preserve">Landazuri 13.8</t>
  </si>
  <si>
    <t xml:space="preserve">78 502</t>
  </si>
  <si>
    <t xml:space="preserve">78 503</t>
  </si>
  <si>
    <t xml:space="preserve">79 501</t>
  </si>
  <si>
    <t xml:space="preserve">San Gil 2 13.8</t>
  </si>
  <si>
    <t xml:space="preserve">79 502</t>
  </si>
  <si>
    <t xml:space="preserve">79 503</t>
  </si>
  <si>
    <t xml:space="preserve">79 504</t>
  </si>
  <si>
    <t xml:space="preserve">79 505</t>
  </si>
  <si>
    <t xml:space="preserve">79 506</t>
  </si>
  <si>
    <t xml:space="preserve">79 507</t>
  </si>
  <si>
    <t xml:space="preserve">79 508</t>
  </si>
  <si>
    <t xml:space="preserve">79 511</t>
  </si>
  <si>
    <t xml:space="preserve">81 501</t>
  </si>
  <si>
    <t xml:space="preserve">Mogotes 13,8</t>
  </si>
  <si>
    <t xml:space="preserve">81 502</t>
  </si>
  <si>
    <t xml:space="preserve">81 503</t>
  </si>
  <si>
    <t xml:space="preserve">81 504</t>
  </si>
  <si>
    <t xml:space="preserve">81 505</t>
  </si>
  <si>
    <t xml:space="preserve">Mogotes 13.8 </t>
  </si>
  <si>
    <t xml:space="preserve">82 501</t>
  </si>
  <si>
    <t xml:space="preserve">Socorro 13.8</t>
  </si>
  <si>
    <t xml:space="preserve">82 502</t>
  </si>
  <si>
    <t xml:space="preserve">82 503</t>
  </si>
  <si>
    <t xml:space="preserve">82 504</t>
  </si>
  <si>
    <t xml:space="preserve">82 505</t>
  </si>
  <si>
    <t xml:space="preserve">82 506</t>
  </si>
  <si>
    <t xml:space="preserve">82 507</t>
  </si>
  <si>
    <t xml:space="preserve">82 508</t>
  </si>
  <si>
    <t xml:space="preserve">83 501</t>
  </si>
  <si>
    <t xml:space="preserve">Vado Real 13.8</t>
  </si>
  <si>
    <t xml:space="preserve">83 502</t>
  </si>
  <si>
    <t xml:space="preserve">83 503</t>
  </si>
  <si>
    <t xml:space="preserve">84 501</t>
  </si>
  <si>
    <t xml:space="preserve">Oiba 13.8</t>
  </si>
  <si>
    <t xml:space="preserve">84 502</t>
  </si>
  <si>
    <t xml:space="preserve">84 503</t>
  </si>
  <si>
    <t xml:space="preserve">84 504</t>
  </si>
  <si>
    <t xml:space="preserve">85 501</t>
  </si>
  <si>
    <t xml:space="preserve">Contratación 13.8</t>
  </si>
  <si>
    <t xml:space="preserve">85 502</t>
  </si>
  <si>
    <t xml:space="preserve">85 503</t>
  </si>
  <si>
    <t xml:space="preserve">85 504</t>
  </si>
  <si>
    <t xml:space="preserve">86 501</t>
  </si>
  <si>
    <t xml:space="preserve">Charala 13.8</t>
  </si>
  <si>
    <t xml:space="preserve">86 502</t>
  </si>
  <si>
    <t xml:space="preserve">86 503</t>
  </si>
  <si>
    <t xml:space="preserve">86 504</t>
  </si>
  <si>
    <t xml:space="preserve">86 505</t>
  </si>
  <si>
    <t xml:space="preserve">88 501</t>
  </si>
  <si>
    <t xml:space="preserve">Barbosa 13.8</t>
  </si>
  <si>
    <t xml:space="preserve">88 502</t>
  </si>
  <si>
    <t xml:space="preserve">88 503</t>
  </si>
  <si>
    <t xml:space="preserve">88 504</t>
  </si>
  <si>
    <t xml:space="preserve">90 501</t>
  </si>
  <si>
    <t xml:space="preserve">Velez 13.8</t>
  </si>
  <si>
    <t xml:space="preserve">90 502</t>
  </si>
  <si>
    <t xml:space="preserve">90 503</t>
  </si>
  <si>
    <t xml:space="preserve">90 504</t>
  </si>
  <si>
    <t xml:space="preserve">90 506</t>
  </si>
  <si>
    <t xml:space="preserve">90 507</t>
  </si>
  <si>
    <t xml:space="preserve">91 501</t>
  </si>
  <si>
    <t xml:space="preserve">Yariguies 13,8</t>
  </si>
  <si>
    <t xml:space="preserve">91 502</t>
  </si>
  <si>
    <t xml:space="preserve">91 503</t>
  </si>
  <si>
    <t xml:space="preserve">91 504</t>
  </si>
  <si>
    <t xml:space="preserve">92 502</t>
  </si>
  <si>
    <t xml:space="preserve">Sucre 13.8</t>
  </si>
  <si>
    <t xml:space="preserve">92 503</t>
  </si>
  <si>
    <t xml:space="preserve">92 504</t>
  </si>
  <si>
    <t xml:space="preserve">92 505</t>
  </si>
  <si>
    <t xml:space="preserve">92 506</t>
  </si>
  <si>
    <t xml:space="preserve">92 507</t>
  </si>
  <si>
    <t xml:space="preserve">93 501</t>
  </si>
  <si>
    <t xml:space="preserve">San Andres 13.8</t>
  </si>
  <si>
    <t xml:space="preserve">93 502</t>
  </si>
  <si>
    <t xml:space="preserve">93 503</t>
  </si>
  <si>
    <t xml:space="preserve">93 504</t>
  </si>
  <si>
    <t xml:space="preserve">94 501</t>
  </si>
  <si>
    <t xml:space="preserve">Capitanejo 13.8</t>
  </si>
  <si>
    <t xml:space="preserve">94 502</t>
  </si>
  <si>
    <t xml:space="preserve">94 503</t>
  </si>
  <si>
    <t xml:space="preserve">94 504</t>
  </si>
  <si>
    <t xml:space="preserve">95 502</t>
  </si>
  <si>
    <t xml:space="preserve">Garcia Rovira 2 13.8</t>
  </si>
  <si>
    <t xml:space="preserve">95 504</t>
  </si>
  <si>
    <t xml:space="preserve">Garcia Rovira 1 13.8</t>
  </si>
  <si>
    <t xml:space="preserve">95 505</t>
  </si>
  <si>
    <t xml:space="preserve">95 506</t>
  </si>
  <si>
    <t xml:space="preserve">95 507</t>
  </si>
  <si>
    <t xml:space="preserve">95 508</t>
  </si>
  <si>
    <t xml:space="preserve">A1</t>
  </si>
  <si>
    <t xml:space="preserve">A2</t>
  </si>
  <si>
    <t xml:space="preserve">Avidesa Mc Pollo</t>
  </si>
  <si>
    <t xml:space="preserve">Industrial</t>
  </si>
  <si>
    <t xml:space="preserve">no</t>
  </si>
  <si>
    <t xml:space="preserve">Campo Acordionero</t>
  </si>
  <si>
    <t xml:space="preserve">Carga topocoro 13.8</t>
  </si>
  <si>
    <t xml:space="preserve">Carga topocoro 34.5</t>
  </si>
  <si>
    <t xml:space="preserve">General Load</t>
  </si>
  <si>
    <t xml:space="preserve">Load 401</t>
  </si>
  <si>
    <t xml:space="preserve">Load 402</t>
  </si>
  <si>
    <t xml:space="preserve">Load 403</t>
  </si>
  <si>
    <t xml:space="preserve">Load 407</t>
  </si>
  <si>
    <t xml:space="preserve">Lod 407.3</t>
  </si>
  <si>
    <t xml:space="preserve">Load 408</t>
  </si>
  <si>
    <t xml:space="preserve">Nodo 408.1</t>
  </si>
  <si>
    <t xml:space="preserve">Load 409</t>
  </si>
  <si>
    <t xml:space="preserve">Load 411</t>
  </si>
  <si>
    <t xml:space="preserve">Load 4110</t>
  </si>
  <si>
    <t xml:space="preserve">Load 417</t>
  </si>
  <si>
    <t xml:space="preserve">Load 418</t>
  </si>
  <si>
    <t xml:space="preserve">Load 421</t>
  </si>
  <si>
    <t xml:space="preserve">Load 422</t>
  </si>
  <si>
    <t xml:space="preserve">Nodo 422.2</t>
  </si>
  <si>
    <t xml:space="preserve">Load 423</t>
  </si>
  <si>
    <t xml:space="preserve">Nodo 423.3</t>
  </si>
  <si>
    <t xml:space="preserve">Load 425</t>
  </si>
  <si>
    <t xml:space="preserve">Load 426</t>
  </si>
  <si>
    <t xml:space="preserve">Load 427</t>
  </si>
  <si>
    <t xml:space="preserve">Nodo 427.1</t>
  </si>
  <si>
    <t xml:space="preserve">Load 429</t>
  </si>
  <si>
    <t xml:space="preserve">Load 430</t>
  </si>
  <si>
    <t xml:space="preserve">Load 431</t>
  </si>
  <si>
    <t xml:space="preserve">Load 432</t>
  </si>
  <si>
    <t xml:space="preserve">Agroince 34.5</t>
  </si>
  <si>
    <t xml:space="preserve">Load 434</t>
  </si>
  <si>
    <t xml:space="preserve">Load 436</t>
  </si>
  <si>
    <t xml:space="preserve">Load 438</t>
  </si>
  <si>
    <t xml:space="preserve">Load 439</t>
  </si>
  <si>
    <t xml:space="preserve">Load 440</t>
  </si>
  <si>
    <t xml:space="preserve">Bosque 34.5</t>
  </si>
  <si>
    <t xml:space="preserve">Load 442</t>
  </si>
  <si>
    <t xml:space="preserve">Load 443</t>
  </si>
  <si>
    <t xml:space="preserve">Load 450</t>
  </si>
  <si>
    <t xml:space="preserve">Load 451</t>
  </si>
  <si>
    <t xml:space="preserve">Load 456</t>
  </si>
  <si>
    <t xml:space="preserve">Load 457</t>
  </si>
  <si>
    <t xml:space="preserve">Load 460</t>
  </si>
  <si>
    <t xml:space="preserve">Load 461</t>
  </si>
  <si>
    <t xml:space="preserve">Parnaso 2 34.5 </t>
  </si>
  <si>
    <t xml:space="preserve">Load 467</t>
  </si>
  <si>
    <t xml:space="preserve">Load 471</t>
  </si>
  <si>
    <t xml:space="preserve">Load 472</t>
  </si>
  <si>
    <t xml:space="preserve">Load 474</t>
  </si>
  <si>
    <t xml:space="preserve">Load 477</t>
  </si>
  <si>
    <t xml:space="preserve">Terminal(68)</t>
  </si>
  <si>
    <t xml:space="preserve">Load 483</t>
  </si>
  <si>
    <t xml:space="preserve">Load 484</t>
  </si>
  <si>
    <t xml:space="preserve">Load 487</t>
  </si>
  <si>
    <t xml:space="preserve">Load 488</t>
  </si>
  <si>
    <t xml:space="preserve">Load 490</t>
  </si>
  <si>
    <t xml:space="preserve">Load 491</t>
  </si>
  <si>
    <t xml:space="preserve">Load 499</t>
  </si>
  <si>
    <t xml:space="preserve">Load Cachira</t>
  </si>
  <si>
    <t xml:space="preserve">Load Condor</t>
  </si>
  <si>
    <t xml:space="preserve">Load IslaVI</t>
  </si>
  <si>
    <t xml:space="preserve">Load Panachi</t>
  </si>
  <si>
    <t xml:space="preserve">Load Simiti</t>
  </si>
  <si>
    <t xml:space="preserve">Load T5</t>
  </si>
  <si>
    <t xml:space="preserve">Barranca 2 34.5</t>
  </si>
  <si>
    <t xml:space="preserve">Trincheras macpollo</t>
  </si>
  <si>
    <t xml:space="preserve">load nuevo araujo</t>
  </si>
  <si>
    <t xml:space="preserve">load oyala</t>
  </si>
  <si>
    <t xml:space="preserve">lod BSCONIA1</t>
  </si>
  <si>
    <t xml:space="preserve">Bosconia 115 kV</t>
  </si>
  <si>
    <t xml:space="preserve">lod STAROSA1</t>
  </si>
  <si>
    <t xml:space="preserve">Sta Rosa 115 kV</t>
  </si>
  <si>
    <t xml:space="preserve">Información General de Compensaciones</t>
  </si>
  <si>
    <t xml:space="preserve">C San Vicente</t>
  </si>
  <si>
    <t xml:space="preserve">Capacitor</t>
  </si>
  <si>
    <t xml:space="preserve">Paralelo</t>
  </si>
  <si>
    <t xml:space="preserve">Maniobrable</t>
  </si>
  <si>
    <t xml:space="preserve">C El Carmen</t>
  </si>
  <si>
    <t xml:space="preserve">C Zapatoca</t>
  </si>
  <si>
    <t xml:space="preserve">Información General de Compensaciones dinámicas</t>
  </si>
  <si>
    <t xml:space="preserve">Información General de dispositivos DFACTS</t>
  </si>
  <si>
    <t xml:space="preserve">1. LÍNEAS</t>
  </si>
  <si>
    <t xml:space="preserve">Clase</t>
  </si>
  <si>
    <t xml:space="preserve">GD</t>
  </si>
  <si>
    <t xml:space="preserve">AGPE con excedentes</t>
  </si>
  <si>
    <t xml:space="preserve">AGPE sin excedentes</t>
  </si>
  <si>
    <t xml:space="preserve">Tipo de Línea</t>
  </si>
  <si>
    <t xml:space="preserve">Recurso</t>
  </si>
  <si>
    <t xml:space="preserve">Solar</t>
  </si>
  <si>
    <t xml:space="preserve">Eólica</t>
  </si>
  <si>
    <t xml:space="preserve">Hidráulico</t>
  </si>
  <si>
    <t xml:space="preserve">Biomasa</t>
  </si>
  <si>
    <t xml:space="preserve">Geotérmica</t>
  </si>
  <si>
    <t xml:space="preserve">Térmica</t>
  </si>
  <si>
    <t xml:space="preserve">Subterránea</t>
  </si>
  <si>
    <t xml:space="preserve">Sol</t>
  </si>
  <si>
    <t xml:space="preserve">Viento</t>
  </si>
  <si>
    <t xml:space="preserve">Agua</t>
  </si>
  <si>
    <t xml:space="preserve">Cultivo Energético</t>
  </si>
  <si>
    <t xml:space="preserve">Vapor</t>
  </si>
  <si>
    <t xml:space="preserve">Carbón</t>
  </si>
  <si>
    <t xml:space="preserve">Otro</t>
  </si>
  <si>
    <t xml:space="preserve">2. Tr3</t>
  </si>
  <si>
    <t xml:space="preserve">Uso</t>
  </si>
  <si>
    <t xml:space="preserve">3. Tr2</t>
  </si>
  <si>
    <t xml:space="preserve">4. Subestaciones</t>
  </si>
  <si>
    <t xml:space="preserve">Doble barra</t>
  </si>
  <si>
    <t xml:space="preserve">Doble barra más seccionador de By-pass o paso directo</t>
  </si>
  <si>
    <t xml:space="preserve">Doble barra más seccionador de transferencia</t>
  </si>
  <si>
    <t xml:space="preserve">Doble barra con doble interruptor</t>
  </si>
  <si>
    <t xml:space="preserve">Mixto</t>
  </si>
  <si>
    <t xml:space="preserve">5. Demanda</t>
  </si>
  <si>
    <t xml:space="preserve">Comercial</t>
  </si>
  <si>
    <t xml:space="preserve">Residencial</t>
  </si>
  <si>
    <t xml:space="preserve">Oficial</t>
  </si>
  <si>
    <t xml:space="preserve">6. Compensación</t>
  </si>
  <si>
    <t xml:space="preserve">Tipo de conexión</t>
  </si>
  <si>
    <t xml:space="preserve">Serie</t>
  </si>
  <si>
    <t xml:space="preserve">Fijo</t>
  </si>
  <si>
    <t xml:space="preserve">En operación</t>
  </si>
  <si>
    <t xml:space="preserve">Reactor</t>
  </si>
  <si>
    <t xml:space="preserve">7. Compesación dinámica</t>
  </si>
  <si>
    <t xml:space="preserve">SVC</t>
  </si>
  <si>
    <t xml:space="preserve">STATCOM</t>
  </si>
  <si>
    <t xml:space="preserve">SC</t>
  </si>
  <si>
    <t xml:space="preserve">8. FACTS</t>
  </si>
  <si>
    <t xml:space="preserve">Sí </t>
  </si>
</sst>
</file>

<file path=xl/styles.xml><?xml version="1.0" encoding="utf-8"?>
<styleSheet xmlns="http://schemas.openxmlformats.org/spreadsheetml/2006/main">
  <numFmts count="4">
    <numFmt numFmtId="164" formatCode="General"/>
    <numFmt numFmtId="165" formatCode="_(* #,##0.00_);_(* \(#,##0.00\);_(* \-??_);_(@_)"/>
    <numFmt numFmtId="166" formatCode="dd/mm/yyyy"/>
    <numFmt numFmtId="167" formatCode="General"/>
  </numFmts>
  <fonts count="16">
    <font>
      <sz val="11"/>
      <color rgb="FF000000"/>
      <name val="Calibri"/>
      <family val="2"/>
      <charset val="1"/>
    </font>
    <font>
      <sz val="10"/>
      <name val="Arial"/>
      <family val="0"/>
    </font>
    <font>
      <sz val="10"/>
      <name val="Arial"/>
      <family val="0"/>
    </font>
    <font>
      <sz val="10"/>
      <name val="Arial"/>
      <family val="0"/>
    </font>
    <font>
      <sz val="11"/>
      <color rgb="FFFFFFFF"/>
      <name val="Calibri"/>
      <family val="2"/>
      <charset val="1"/>
    </font>
    <font>
      <sz val="11"/>
      <color rgb="FF9C6500"/>
      <name val="Calibri"/>
      <family val="2"/>
      <charset val="1"/>
    </font>
    <font>
      <sz val="10"/>
      <name val="Arial"/>
      <family val="2"/>
      <charset val="1"/>
    </font>
    <font>
      <b val="true"/>
      <sz val="18"/>
      <color rgb="FF44546A"/>
      <name val="Calibri Light"/>
      <family val="2"/>
      <charset val="1"/>
    </font>
    <font>
      <b val="true"/>
      <sz val="14"/>
      <color rgb="FF000000"/>
      <name val="Calibri"/>
      <family val="2"/>
      <charset val="1"/>
    </font>
    <font>
      <b val="true"/>
      <sz val="11"/>
      <color rgb="FF000000"/>
      <name val="Calibri"/>
      <family val="2"/>
      <charset val="1"/>
    </font>
    <font>
      <sz val="10"/>
      <color rgb="FF000000"/>
      <name val="Calibri"/>
      <family val="2"/>
      <charset val="1"/>
    </font>
    <font>
      <sz val="11"/>
      <name val="Calibri"/>
      <family val="2"/>
      <charset val="1"/>
    </font>
    <font>
      <i val="true"/>
      <sz val="11"/>
      <name val="Calibri"/>
      <family val="2"/>
      <charset val="1"/>
    </font>
    <font>
      <b val="true"/>
      <sz val="9"/>
      <color rgb="FFFFFFFF"/>
      <name val="Calibri"/>
      <family val="2"/>
      <charset val="1"/>
    </font>
    <font>
      <b val="true"/>
      <sz val="9"/>
      <color rgb="FF000000"/>
      <name val="Calibri"/>
      <family val="2"/>
      <charset val="1"/>
    </font>
    <font>
      <i val="true"/>
      <sz val="11"/>
      <color rgb="FF000000"/>
      <name val="Calibri"/>
      <family val="2"/>
      <charset val="1"/>
    </font>
  </fonts>
  <fills count="16">
    <fill>
      <patternFill patternType="none"/>
    </fill>
    <fill>
      <patternFill patternType="gray125"/>
    </fill>
    <fill>
      <patternFill patternType="solid">
        <fgColor rgb="FF8FAADC"/>
        <bgColor rgb="FF9DC3E6"/>
      </patternFill>
    </fill>
    <fill>
      <patternFill patternType="solid">
        <fgColor rgb="FFF4B183"/>
        <bgColor rgb="FFFFD966"/>
      </patternFill>
    </fill>
    <fill>
      <patternFill patternType="solid">
        <fgColor rgb="FFC9C9C9"/>
        <bgColor rgb="FFB4C7E7"/>
      </patternFill>
    </fill>
    <fill>
      <patternFill patternType="solid">
        <fgColor rgb="FFFFD966"/>
        <bgColor rgb="FFFFEB9C"/>
      </patternFill>
    </fill>
    <fill>
      <patternFill patternType="solid">
        <fgColor rgb="FF9DC3E6"/>
        <bgColor rgb="FFB4C7E7"/>
      </patternFill>
    </fill>
    <fill>
      <patternFill patternType="solid">
        <fgColor rgb="FFA9D18E"/>
        <bgColor rgb="FFC9C9C9"/>
      </patternFill>
    </fill>
    <fill>
      <patternFill patternType="solid">
        <fgColor rgb="FFFFEB9C"/>
        <bgColor rgb="FFFFFFCC"/>
      </patternFill>
    </fill>
    <fill>
      <patternFill patternType="solid">
        <fgColor rgb="FFB4C7E7"/>
        <bgColor rgb="FF9DC3E6"/>
      </patternFill>
    </fill>
    <fill>
      <patternFill patternType="solid">
        <fgColor rgb="FFFFFF00"/>
        <bgColor rgb="FFFFFF00"/>
      </patternFill>
    </fill>
    <fill>
      <patternFill patternType="solid">
        <fgColor rgb="FFFF0000"/>
        <bgColor rgb="FF800000"/>
      </patternFill>
    </fill>
    <fill>
      <patternFill patternType="solid">
        <fgColor rgb="FFFFFFFF"/>
        <bgColor rgb="FFFFFFCC"/>
      </patternFill>
    </fill>
    <fill>
      <patternFill patternType="solid">
        <fgColor rgb="FFD9D9D9"/>
        <bgColor rgb="FFC9C9C9"/>
      </patternFill>
    </fill>
    <fill>
      <patternFill patternType="solid">
        <fgColor rgb="FFE2F0D9"/>
        <bgColor rgb="FFDEEBF7"/>
      </patternFill>
    </fill>
    <fill>
      <patternFill patternType="solid">
        <fgColor rgb="FFDEEBF7"/>
        <bgColor rgb="FFE2F0D9"/>
      </patternFill>
    </fill>
  </fills>
  <borders count="30">
    <border diagonalUp="false" diagonalDown="false">
      <left/>
      <right/>
      <top/>
      <bottom/>
      <diagonal/>
    </border>
    <border diagonalUp="false" diagonalDown="false">
      <left style="medium"/>
      <right style="medium"/>
      <top style="medium"/>
      <bottom style="medium"/>
      <diagonal/>
    </border>
    <border diagonalUp="false" diagonalDown="false">
      <left/>
      <right/>
      <top style="thin"/>
      <bottom/>
      <diagonal/>
    </border>
    <border diagonalUp="false" diagonalDown="false">
      <left style="medium"/>
      <right style="medium"/>
      <top style="medium"/>
      <bottom/>
      <diagonal/>
    </border>
    <border diagonalUp="false" diagonalDown="false">
      <left/>
      <right style="thin"/>
      <top style="medium"/>
      <bottom style="thin"/>
      <diagonal/>
    </border>
    <border diagonalUp="false" diagonalDown="false">
      <left style="thin"/>
      <right style="medium"/>
      <top style="medium"/>
      <bottom style="thin"/>
      <diagonal/>
    </border>
    <border diagonalUp="false" diagonalDown="false">
      <left/>
      <right style="thin"/>
      <top style="thin"/>
      <bottom style="thin"/>
      <diagonal/>
    </border>
    <border diagonalUp="false" diagonalDown="false">
      <left style="thin"/>
      <right style="medium"/>
      <top style="thin"/>
      <bottom style="thin"/>
      <diagonal/>
    </border>
    <border diagonalUp="false" diagonalDown="false">
      <left style="medium"/>
      <right style="thin"/>
      <top style="medium"/>
      <bottom style="thin"/>
      <diagonal/>
    </border>
    <border diagonalUp="false" diagonalDown="false">
      <left style="medium"/>
      <right style="thin"/>
      <top style="thin"/>
      <bottom style="thin"/>
      <diagonal/>
    </border>
    <border diagonalUp="false" diagonalDown="false">
      <left style="medium"/>
      <right style="thin"/>
      <top style="thin"/>
      <bottom/>
      <diagonal/>
    </border>
    <border diagonalUp="false" diagonalDown="false">
      <left style="thin"/>
      <right style="medium"/>
      <top style="thin"/>
      <bottom/>
      <diagonal/>
    </border>
    <border diagonalUp="false" diagonalDown="false">
      <left/>
      <right style="thin"/>
      <top style="thin"/>
      <bottom/>
      <diagonal/>
    </border>
    <border diagonalUp="false" diagonalDown="false">
      <left/>
      <right style="thin"/>
      <top/>
      <bottom style="thin"/>
      <diagonal/>
    </border>
    <border diagonalUp="false" diagonalDown="false">
      <left style="thin"/>
      <right style="medium"/>
      <top/>
      <bottom style="thin"/>
      <diagonal/>
    </border>
    <border diagonalUp="false" diagonalDown="false">
      <left/>
      <right style="thin"/>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style="medium"/>
      <right/>
      <top style="medium"/>
      <bottom style="medium"/>
      <diagonal/>
    </border>
    <border diagonalUp="false" diagonalDown="false">
      <left style="medium"/>
      <right style="thin"/>
      <top/>
      <bottom style="thin"/>
      <diagonal/>
    </border>
    <border diagonalUp="false" diagonalDown="false">
      <left style="medium"/>
      <right style="thin"/>
      <top style="thin"/>
      <bottom style="medium"/>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medium"/>
      <right style="thin"/>
      <top/>
      <bottom/>
      <diagonal/>
    </border>
    <border diagonalUp="false" diagonalDown="false">
      <left style="thin"/>
      <right style="thin"/>
      <top style="thin"/>
      <bottom/>
      <diagonal/>
    </border>
    <border diagonalUp="false" diagonalDown="false">
      <left style="thin"/>
      <right/>
      <top style="thin"/>
      <bottom/>
      <diagonal/>
    </border>
    <border diagonalUp="false" diagonalDown="false">
      <left style="thin"/>
      <right style="thin"/>
      <top style="thin"/>
      <bottom style="medium"/>
      <diagonal/>
    </border>
    <border diagonalUp="false" diagonalDown="false">
      <left style="thin"/>
      <right/>
      <top style="thin"/>
      <bottom style="medium"/>
      <diagonal/>
    </border>
  </borders>
  <cellStyleXfs count="3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4" fillId="4" borderId="0" applyFont="true" applyBorder="false" applyAlignment="true" applyProtection="false">
      <alignment horizontal="general" vertical="bottom" textRotation="0" wrapText="false" indent="0" shrinkToFit="false"/>
    </xf>
    <xf numFmtId="164" fontId="4" fillId="5" borderId="0" applyFont="true" applyBorder="false" applyAlignment="true" applyProtection="false">
      <alignment horizontal="general" vertical="bottom" textRotation="0" wrapText="false" indent="0" shrinkToFit="false"/>
    </xf>
    <xf numFmtId="164" fontId="4" fillId="6" borderId="0" applyFont="true" applyBorder="false" applyAlignment="true" applyProtection="false">
      <alignment horizontal="general" vertical="bottom" textRotation="0" wrapText="false" indent="0" shrinkToFit="false"/>
    </xf>
    <xf numFmtId="164" fontId="4" fillId="7" borderId="0" applyFont="true" applyBorder="false" applyAlignment="true" applyProtection="false">
      <alignment horizontal="general" vertical="bottom" textRotation="0" wrapText="false" indent="0" shrinkToFit="false"/>
    </xf>
    <xf numFmtId="165" fontId="0" fillId="0" borderId="0" applyFont="true" applyBorder="false" applyAlignment="true" applyProtection="false">
      <alignment horizontal="general" vertical="bottom" textRotation="0" wrapText="false" indent="0" shrinkToFit="false"/>
    </xf>
    <xf numFmtId="164" fontId="5" fillId="8" borderId="0" applyFont="true" applyBorder="false" applyAlignment="true" applyProtection="false">
      <alignment horizontal="general" vertical="bottom" textRotation="0" wrapText="false" indent="0" shrinkToFit="false"/>
    </xf>
    <xf numFmtId="164" fontId="0"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false" applyAlignment="true" applyProtection="false">
      <alignment horizontal="general" vertical="bottom" textRotation="0" wrapText="false" indent="0" shrinkToFit="false"/>
    </xf>
  </cellStyleXfs>
  <cellXfs count="1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8" fillId="0" borderId="1" xfId="0" applyFont="true" applyBorder="true" applyAlignment="true" applyProtection="true">
      <alignment horizontal="center" vertical="center" textRotation="0" wrapText="true" indent="0" shrinkToFit="false"/>
      <protection locked="true" hidden="false"/>
    </xf>
    <xf numFmtId="164" fontId="8" fillId="0" borderId="0" xfId="0" applyFont="true" applyBorder="false" applyAlignment="true" applyProtection="true">
      <alignment horizontal="center" vertical="center" textRotation="0" wrapText="true" indent="0" shrinkToFit="false"/>
      <protection locked="true" hidden="false"/>
    </xf>
    <xf numFmtId="164" fontId="8" fillId="0" borderId="2" xfId="0" applyFont="true" applyBorder="true" applyAlignment="true" applyProtection="true">
      <alignment horizontal="center" vertical="center" textRotation="0" wrapText="true" indent="0" shrinkToFit="false"/>
      <protection locked="true" hidden="false"/>
    </xf>
    <xf numFmtId="164" fontId="9" fillId="9" borderId="1" xfId="0" applyFont="true" applyBorder="true" applyAlignment="true" applyProtection="true">
      <alignment horizontal="center" vertical="center" textRotation="0" wrapText="true" indent="0" shrinkToFit="false"/>
      <protection locked="true" hidden="false"/>
    </xf>
    <xf numFmtId="164" fontId="0" fillId="0" borderId="1" xfId="0" applyFont="true" applyBorder="true" applyAlignment="true" applyProtection="true">
      <alignment horizontal="left" vertical="center" textRotation="0" wrapText="true" indent="0" shrinkToFit="false"/>
      <protection locked="true" hidden="false"/>
    </xf>
    <xf numFmtId="164" fontId="10" fillId="0" borderId="0" xfId="0" applyFont="true" applyBorder="false" applyAlignment="true" applyProtection="true">
      <alignment horizontal="left" vertical="center" textRotation="0" wrapText="true" indent="0" shrinkToFit="false"/>
      <protection locked="true" hidden="false"/>
    </xf>
    <xf numFmtId="164" fontId="0" fillId="0" borderId="3" xfId="0" applyFont="true" applyBorder="true" applyAlignment="true" applyProtection="true">
      <alignment horizontal="center" vertical="center" textRotation="0" wrapText="true" indent="0" shrinkToFit="false"/>
      <protection locked="true" hidden="false"/>
    </xf>
    <xf numFmtId="164" fontId="0" fillId="0" borderId="4" xfId="0" applyFont="true" applyBorder="true" applyAlignment="true" applyProtection="true">
      <alignment horizontal="left" vertical="center" textRotation="0" wrapText="true" indent="0" shrinkToFit="false"/>
      <protection locked="true" hidden="false"/>
    </xf>
    <xf numFmtId="164" fontId="0" fillId="0" borderId="5" xfId="0" applyFont="true" applyBorder="true" applyAlignment="true" applyProtection="true">
      <alignment horizontal="left" vertical="center" textRotation="0" wrapText="true" indent="0" shrinkToFit="false"/>
      <protection locked="true" hidden="false"/>
    </xf>
    <xf numFmtId="164" fontId="11" fillId="0" borderId="6" xfId="0" applyFont="true" applyBorder="true" applyAlignment="true" applyProtection="true">
      <alignment horizontal="general" vertical="center" textRotation="0" wrapText="true" indent="0" shrinkToFit="false"/>
      <protection locked="true" hidden="false"/>
    </xf>
    <xf numFmtId="164" fontId="11" fillId="0" borderId="7" xfId="0" applyFont="true" applyBorder="true" applyAlignment="true" applyProtection="true">
      <alignment horizontal="general" vertical="center" textRotation="0" wrapText="true" indent="0" shrinkToFit="false"/>
      <protection locked="true" hidden="false"/>
    </xf>
    <xf numFmtId="164" fontId="11" fillId="10" borderId="6" xfId="0" applyFont="true" applyBorder="true" applyAlignment="true" applyProtection="true">
      <alignment horizontal="general" vertical="center" textRotation="0" wrapText="true" indent="0" shrinkToFit="false"/>
      <protection locked="true" hidden="false"/>
    </xf>
    <xf numFmtId="164" fontId="11" fillId="10" borderId="7" xfId="0" applyFont="true" applyBorder="true" applyAlignment="true" applyProtection="true">
      <alignment horizontal="general" vertical="center" textRotation="0" wrapText="true" indent="0" shrinkToFit="false"/>
      <protection locked="true" hidden="false"/>
    </xf>
    <xf numFmtId="164" fontId="0" fillId="10" borderId="6" xfId="0" applyFont="true" applyBorder="true" applyAlignment="true" applyProtection="true">
      <alignment horizontal="general" vertical="center" textRotation="0" wrapText="true" indent="0" shrinkToFit="false"/>
      <protection locked="true" hidden="false"/>
    </xf>
    <xf numFmtId="164" fontId="9" fillId="10" borderId="7" xfId="0" applyFont="true" applyBorder="true" applyAlignment="true" applyProtection="true">
      <alignment horizontal="general" vertical="center" textRotation="0" wrapText="true" indent="0" shrinkToFit="false"/>
      <protection locked="true" hidden="false"/>
    </xf>
    <xf numFmtId="164" fontId="0" fillId="0" borderId="1" xfId="0" applyFont="true" applyBorder="true" applyAlignment="true" applyProtection="true">
      <alignment horizontal="center" vertical="center" textRotation="0" wrapText="true" indent="0" shrinkToFit="false"/>
      <protection locked="true" hidden="false"/>
    </xf>
    <xf numFmtId="164" fontId="11" fillId="0" borderId="8" xfId="0" applyFont="true" applyBorder="true" applyAlignment="true" applyProtection="true">
      <alignment horizontal="left" vertical="center" textRotation="0" wrapText="true" indent="0" shrinkToFit="false"/>
      <protection locked="true" hidden="false"/>
    </xf>
    <xf numFmtId="164" fontId="11" fillId="0" borderId="5" xfId="0" applyFont="true" applyBorder="true" applyAlignment="true" applyProtection="true">
      <alignment horizontal="left" vertical="center" textRotation="0" wrapText="true" indent="0" shrinkToFit="false"/>
      <protection locked="true" hidden="false"/>
    </xf>
    <xf numFmtId="164" fontId="11" fillId="0" borderId="9" xfId="0" applyFont="true" applyBorder="true" applyAlignment="true" applyProtection="true">
      <alignment horizontal="left" vertical="center" textRotation="0" wrapText="true" indent="0" shrinkToFit="false"/>
      <protection locked="true" hidden="false"/>
    </xf>
    <xf numFmtId="164" fontId="11" fillId="0" borderId="7" xfId="0" applyFont="true" applyBorder="true" applyAlignment="true" applyProtection="true">
      <alignment horizontal="left" vertical="center" textRotation="0" wrapText="true" indent="0" shrinkToFit="false"/>
      <protection locked="true" hidden="false"/>
    </xf>
    <xf numFmtId="164" fontId="11" fillId="0" borderId="10" xfId="0" applyFont="true" applyBorder="true" applyAlignment="true" applyProtection="true">
      <alignment horizontal="left" vertical="center" textRotation="0" wrapText="true" indent="0" shrinkToFit="false"/>
      <protection locked="true" hidden="false"/>
    </xf>
    <xf numFmtId="164" fontId="11" fillId="0" borderId="11" xfId="0" applyFont="true" applyBorder="true" applyAlignment="true" applyProtection="true">
      <alignment horizontal="left" vertical="center" textRotation="0" wrapText="true" indent="0" shrinkToFit="false"/>
      <protection locked="true" hidden="false"/>
    </xf>
    <xf numFmtId="164" fontId="11" fillId="0" borderId="12" xfId="0" applyFont="true" applyBorder="true" applyAlignment="true" applyProtection="true">
      <alignment horizontal="general" vertical="center" textRotation="0" wrapText="true" indent="0" shrinkToFit="false"/>
      <protection locked="true" hidden="false"/>
    </xf>
    <xf numFmtId="164" fontId="11" fillId="0" borderId="11" xfId="0" applyFont="true" applyBorder="true" applyAlignment="true" applyProtection="true">
      <alignment horizontal="general" vertical="center" textRotation="0" wrapText="true" indent="0" shrinkToFit="false"/>
      <protection locked="true" hidden="false"/>
    </xf>
    <xf numFmtId="164" fontId="11" fillId="0" borderId="13" xfId="0" applyFont="true" applyBorder="true" applyAlignment="true" applyProtection="true">
      <alignment horizontal="left" vertical="center" textRotation="0" wrapText="true" indent="0" shrinkToFit="false"/>
      <protection locked="true" hidden="false"/>
    </xf>
    <xf numFmtId="164" fontId="11" fillId="0" borderId="6" xfId="0" applyFont="true" applyBorder="true" applyAlignment="true" applyProtection="true">
      <alignment horizontal="left" vertical="center" textRotation="0" wrapText="true" indent="0" shrinkToFit="false"/>
      <protection locked="true" hidden="false"/>
    </xf>
    <xf numFmtId="164" fontId="11" fillId="0" borderId="12" xfId="0" applyFont="true" applyBorder="true" applyAlignment="true" applyProtection="true">
      <alignment horizontal="left" vertical="center" textRotation="0" wrapText="true" indent="0" shrinkToFit="false"/>
      <protection locked="true" hidden="false"/>
    </xf>
    <xf numFmtId="164" fontId="11" fillId="0" borderId="4" xfId="0" applyFont="true" applyBorder="true" applyAlignment="true" applyProtection="true">
      <alignment horizontal="general" vertical="center" textRotation="0" wrapText="false" indent="0" shrinkToFit="false"/>
      <protection locked="true" hidden="false"/>
    </xf>
    <xf numFmtId="164" fontId="11" fillId="0" borderId="5" xfId="0" applyFont="true" applyBorder="true" applyAlignment="true" applyProtection="true">
      <alignment horizontal="general" vertical="center" textRotation="0" wrapText="true" indent="0" shrinkToFit="false"/>
      <protection locked="true" hidden="false"/>
    </xf>
    <xf numFmtId="164" fontId="11" fillId="0" borderId="13" xfId="0" applyFont="true" applyBorder="true" applyAlignment="true" applyProtection="true">
      <alignment horizontal="general" vertical="center" textRotation="0" wrapText="false" indent="0" shrinkToFit="false"/>
      <protection locked="true" hidden="false"/>
    </xf>
    <xf numFmtId="164" fontId="11" fillId="0" borderId="14" xfId="0" applyFont="true" applyBorder="true" applyAlignment="true" applyProtection="true">
      <alignment horizontal="general" vertical="center" textRotation="0" wrapText="true" indent="0" shrinkToFit="false"/>
      <protection locked="true" hidden="false"/>
    </xf>
    <xf numFmtId="164" fontId="11" fillId="11" borderId="14" xfId="0" applyFont="true" applyBorder="true" applyAlignment="true" applyProtection="true">
      <alignment horizontal="general" vertical="center" textRotation="0" wrapText="true" indent="0" shrinkToFit="false"/>
      <protection locked="true" hidden="false"/>
    </xf>
    <xf numFmtId="164" fontId="11" fillId="0" borderId="6" xfId="0" applyFont="true" applyBorder="true" applyAlignment="true" applyProtection="true">
      <alignment horizontal="general" vertical="center" textRotation="0" wrapText="false" indent="0" shrinkToFit="false"/>
      <protection locked="true" hidden="false"/>
    </xf>
    <xf numFmtId="164" fontId="11" fillId="11" borderId="7" xfId="0" applyFont="true" applyBorder="true" applyAlignment="true" applyProtection="true">
      <alignment horizontal="general" vertical="center" textRotation="0" wrapText="true" indent="0" shrinkToFit="false"/>
      <protection locked="true" hidden="false"/>
    </xf>
    <xf numFmtId="164" fontId="11" fillId="0" borderId="14" xfId="0" applyFont="true" applyBorder="true" applyAlignment="true" applyProtection="true">
      <alignment horizontal="left" vertical="center" textRotation="0" wrapText="true" indent="0" shrinkToFit="false"/>
      <protection locked="true" hidden="false"/>
    </xf>
    <xf numFmtId="164" fontId="11" fillId="0" borderId="9" xfId="0" applyFont="true" applyBorder="true" applyAlignment="true" applyProtection="true">
      <alignment horizontal="general" vertical="center" textRotation="0" wrapText="false" indent="0" shrinkToFit="false"/>
      <protection locked="true" hidden="false"/>
    </xf>
    <xf numFmtId="164" fontId="0" fillId="10" borderId="9" xfId="0" applyFont="true" applyBorder="true" applyAlignment="true" applyProtection="true">
      <alignment horizontal="general" vertical="center" textRotation="0" wrapText="false" indent="0" shrinkToFit="false"/>
      <protection locked="true" hidden="false"/>
    </xf>
    <xf numFmtId="164" fontId="0" fillId="11" borderId="12" xfId="0" applyFont="true" applyBorder="true" applyAlignment="true" applyProtection="true">
      <alignment horizontal="general" vertical="center" textRotation="0" wrapText="false" indent="0" shrinkToFit="false"/>
      <protection locked="true" hidden="false"/>
    </xf>
    <xf numFmtId="164" fontId="11" fillId="0" borderId="15" xfId="0" applyFont="true" applyBorder="true" applyAlignment="true" applyProtection="true">
      <alignment horizontal="general" vertical="center" textRotation="0" wrapText="true" indent="0" shrinkToFit="false"/>
      <protection locked="true" hidden="false"/>
    </xf>
    <xf numFmtId="164" fontId="11" fillId="0" borderId="16" xfId="0" applyFont="true" applyBorder="true" applyAlignment="true" applyProtection="true">
      <alignment horizontal="general" vertical="center" textRotation="0" wrapText="true" indent="0" shrinkToFit="false"/>
      <protection locked="true" hidden="false"/>
    </xf>
    <xf numFmtId="164" fontId="0" fillId="0" borderId="17" xfId="0" applyFont="true" applyBorder="true" applyAlignment="true" applyProtection="true">
      <alignment horizontal="center" vertical="center" textRotation="0" wrapText="true" indent="0" shrinkToFit="false"/>
      <protection locked="true" hidden="false"/>
    </xf>
    <xf numFmtId="164" fontId="0" fillId="0" borderId="18" xfId="0" applyFont="true" applyBorder="true" applyAlignment="true" applyProtection="true">
      <alignment horizontal="center" vertical="center" textRotation="0" wrapText="true" indent="0" shrinkToFit="false"/>
      <protection locked="true" hidden="false"/>
    </xf>
    <xf numFmtId="164" fontId="11" fillId="0" borderId="19" xfId="0" applyFont="true" applyBorder="true" applyAlignment="true" applyProtection="true">
      <alignment horizontal="general" vertical="center" textRotation="0" wrapText="true" indent="0" shrinkToFit="false"/>
      <protection locked="true" hidden="false"/>
    </xf>
    <xf numFmtId="164" fontId="11" fillId="0" borderId="9" xfId="0" applyFont="true" applyBorder="true" applyAlignment="true" applyProtection="true">
      <alignment horizontal="general" vertical="center" textRotation="0" wrapText="true" indent="0" shrinkToFit="false"/>
      <protection locked="true" hidden="false"/>
    </xf>
    <xf numFmtId="164" fontId="11" fillId="0" borderId="20" xfId="0" applyFont="true" applyBorder="true" applyAlignment="true" applyProtection="true">
      <alignment horizontal="general" vertical="center" textRotation="0" wrapText="true" indent="0" shrinkToFit="false"/>
      <protection locked="true" hidden="false"/>
    </xf>
    <xf numFmtId="164" fontId="11" fillId="12" borderId="19" xfId="0" applyFont="true" applyBorder="true" applyAlignment="true" applyProtection="true">
      <alignment horizontal="general" vertical="center" textRotation="0" wrapText="true" indent="0" shrinkToFit="false"/>
      <protection locked="true" hidden="false"/>
    </xf>
    <xf numFmtId="164" fontId="11" fillId="12" borderId="14" xfId="0" applyFont="true" applyBorder="true" applyAlignment="true" applyProtection="true">
      <alignment horizontal="general" vertical="center" textRotation="0" wrapText="true" indent="0" shrinkToFit="false"/>
      <protection locked="true" hidden="false"/>
    </xf>
    <xf numFmtId="164" fontId="11" fillId="0" borderId="10" xfId="0" applyFont="true" applyBorder="true" applyAlignment="true" applyProtection="true">
      <alignment horizontal="general" vertical="center"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center" textRotation="0" wrapText="false" indent="0" shrinkToFit="false"/>
      <protection locked="true" hidden="false"/>
    </xf>
    <xf numFmtId="164" fontId="9" fillId="13" borderId="1"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13" fillId="0" borderId="0" xfId="0" applyFont="true" applyBorder="false" applyAlignment="true" applyProtection="true">
      <alignment horizontal="center" vertical="center" textRotation="0" wrapText="false" indent="0" shrinkToFit="false"/>
      <protection locked="true" hidden="false"/>
    </xf>
    <xf numFmtId="164" fontId="14" fillId="13" borderId="1" xfId="0" applyFont="true" applyBorder="true" applyAlignment="true" applyProtection="true">
      <alignment horizontal="center" vertical="center" textRotation="0" wrapText="false" indent="0" shrinkToFit="false"/>
      <protection locked="true" hidden="false"/>
    </xf>
    <xf numFmtId="167" fontId="14" fillId="14" borderId="1" xfId="0" applyFont="true" applyBorder="true" applyAlignment="true" applyProtection="true">
      <alignment horizontal="center" vertical="center" textRotation="0" wrapText="true" indent="0" shrinkToFit="false"/>
      <protection locked="true" hidden="false"/>
    </xf>
    <xf numFmtId="164" fontId="14" fillId="0" borderId="0" xfId="0" applyFont="true" applyBorder="false" applyAlignment="true" applyProtection="true">
      <alignment horizontal="center" vertical="center" textRotation="0" wrapText="false" indent="0" shrinkToFit="false"/>
      <protection locked="true" hidden="false"/>
    </xf>
    <xf numFmtId="164" fontId="0" fillId="13" borderId="8" xfId="0" applyFont="false" applyBorder="true" applyAlignment="true" applyProtection="true">
      <alignment horizontal="center" vertical="bottom" textRotation="0" wrapText="false" indent="0" shrinkToFit="false"/>
      <protection locked="true" hidden="false"/>
    </xf>
    <xf numFmtId="164" fontId="0" fillId="14" borderId="21" xfId="0" applyFont="true" applyBorder="true" applyAlignment="true" applyProtection="true">
      <alignment horizontal="general" vertical="bottom" textRotation="0" wrapText="false" indent="0" shrinkToFit="false"/>
      <protection locked="true" hidden="false"/>
    </xf>
    <xf numFmtId="164" fontId="0" fillId="14" borderId="21" xfId="0" applyFont="false" applyBorder="true" applyAlignment="true" applyProtection="true">
      <alignment horizontal="general" vertical="bottom" textRotation="0" wrapText="false" indent="0" shrinkToFit="false"/>
      <protection locked="true" hidden="false"/>
    </xf>
    <xf numFmtId="164" fontId="0" fillId="14" borderId="22" xfId="0" applyFont="false" applyBorder="true" applyAlignment="true" applyProtection="true">
      <alignment horizontal="general" vertical="bottom" textRotation="0" wrapText="false" indent="0" shrinkToFit="false"/>
      <protection locked="true" hidden="false"/>
    </xf>
    <xf numFmtId="164" fontId="0" fillId="14" borderId="22" xfId="0" applyFont="true" applyBorder="true" applyAlignment="true" applyProtection="true">
      <alignment horizontal="general" vertical="bottom" textRotation="0" wrapText="false" indent="0" shrinkToFit="false"/>
      <protection locked="true" hidden="false"/>
    </xf>
    <xf numFmtId="166" fontId="0" fillId="14" borderId="22" xfId="0" applyFont="false" applyBorder="true" applyAlignment="true" applyProtection="true">
      <alignment horizontal="general" vertical="bottom" textRotation="0" wrapText="false" indent="0" shrinkToFit="false"/>
      <protection locked="true" hidden="false"/>
    </xf>
    <xf numFmtId="164" fontId="0" fillId="14" borderId="5" xfId="0" applyFont="false" applyBorder="true" applyAlignment="true" applyProtection="true">
      <alignment horizontal="general" vertical="bottom" textRotation="0" wrapText="false" indent="0" shrinkToFit="false"/>
      <protection locked="true" hidden="false"/>
    </xf>
    <xf numFmtId="164" fontId="0" fillId="13" borderId="9" xfId="0" applyFont="false" applyBorder="true" applyAlignment="true" applyProtection="true">
      <alignment horizontal="center" vertical="bottom" textRotation="0" wrapText="false" indent="0" shrinkToFit="false"/>
      <protection locked="true" hidden="false"/>
    </xf>
    <xf numFmtId="164" fontId="0" fillId="14" borderId="23" xfId="0" applyFont="true" applyBorder="true" applyAlignment="true" applyProtection="true">
      <alignment horizontal="general" vertical="bottom" textRotation="0" wrapText="false" indent="0" shrinkToFit="false"/>
      <protection locked="true" hidden="false"/>
    </xf>
    <xf numFmtId="164" fontId="0" fillId="14" borderId="23" xfId="0" applyFont="false" applyBorder="true" applyAlignment="true" applyProtection="true">
      <alignment horizontal="general" vertical="bottom" textRotation="0" wrapText="false" indent="0" shrinkToFit="false"/>
      <protection locked="true" hidden="false"/>
    </xf>
    <xf numFmtId="164" fontId="0" fillId="14" borderId="24" xfId="0" applyFont="false" applyBorder="true" applyAlignment="true" applyProtection="true">
      <alignment horizontal="general" vertical="bottom" textRotation="0" wrapText="false" indent="0" shrinkToFit="false"/>
      <protection locked="true" hidden="false"/>
    </xf>
    <xf numFmtId="164" fontId="0" fillId="14" borderId="24" xfId="0" applyFont="true" applyBorder="true" applyAlignment="true" applyProtection="true">
      <alignment horizontal="general" vertical="bottom" textRotation="0" wrapText="false" indent="0" shrinkToFit="false"/>
      <protection locked="true" hidden="false"/>
    </xf>
    <xf numFmtId="166" fontId="0" fillId="14" borderId="24" xfId="0" applyFont="false" applyBorder="true" applyAlignment="true" applyProtection="true">
      <alignment horizontal="general" vertical="bottom" textRotation="0" wrapText="false" indent="0" shrinkToFit="false"/>
      <protection locked="true" hidden="false"/>
    </xf>
    <xf numFmtId="164" fontId="0" fillId="14" borderId="7" xfId="0" applyFont="false" applyBorder="true" applyAlignment="true" applyProtection="true">
      <alignment horizontal="general" vertical="bottom" textRotation="0" wrapText="false" indent="0" shrinkToFit="false"/>
      <protection locked="true" hidden="false"/>
    </xf>
    <xf numFmtId="164" fontId="0" fillId="13" borderId="19" xfId="0" applyFont="false" applyBorder="true" applyAlignment="true" applyProtection="true">
      <alignment horizontal="center" vertical="bottom" textRotation="0" wrapText="false" indent="0" shrinkToFit="false"/>
      <protection locked="true" hidden="false"/>
    </xf>
    <xf numFmtId="164" fontId="0" fillId="13" borderId="25" xfId="0" applyFont="false" applyBorder="true" applyAlignment="true" applyProtection="true">
      <alignment horizontal="center" vertical="bottom" textRotation="0" wrapText="false" indent="0" shrinkToFit="false"/>
      <protection locked="true" hidden="false"/>
    </xf>
    <xf numFmtId="164" fontId="0" fillId="14" borderId="26" xfId="0" applyFont="true" applyBorder="true" applyAlignment="true" applyProtection="true">
      <alignment horizontal="general" vertical="bottom" textRotation="0" wrapText="false" indent="0" shrinkToFit="false"/>
      <protection locked="true" hidden="false"/>
    </xf>
    <xf numFmtId="164" fontId="0" fillId="14" borderId="26" xfId="0" applyFont="false" applyBorder="true" applyAlignment="true" applyProtection="true">
      <alignment horizontal="general" vertical="bottom" textRotation="0" wrapText="false" indent="0" shrinkToFit="false"/>
      <protection locked="true" hidden="false"/>
    </xf>
    <xf numFmtId="164" fontId="0" fillId="14" borderId="27" xfId="0" applyFont="false" applyBorder="true" applyAlignment="true" applyProtection="true">
      <alignment horizontal="general" vertical="bottom" textRotation="0" wrapText="false" indent="0" shrinkToFit="false"/>
      <protection locked="true" hidden="false"/>
    </xf>
    <xf numFmtId="164" fontId="0" fillId="14" borderId="27" xfId="0" applyFont="true" applyBorder="true" applyAlignment="true" applyProtection="true">
      <alignment horizontal="general" vertical="bottom" textRotation="0" wrapText="false" indent="0" shrinkToFit="false"/>
      <protection locked="true" hidden="false"/>
    </xf>
    <xf numFmtId="166" fontId="0" fillId="14" borderId="27" xfId="0" applyFont="false" applyBorder="true" applyAlignment="true" applyProtection="true">
      <alignment horizontal="general" vertical="bottom" textRotation="0" wrapText="false" indent="0" shrinkToFit="false"/>
      <protection locked="true" hidden="false"/>
    </xf>
    <xf numFmtId="164" fontId="0" fillId="14" borderId="11" xfId="0" applyFont="false" applyBorder="true" applyAlignment="true" applyProtection="true">
      <alignment horizontal="general" vertical="bottom" textRotation="0" wrapText="false" indent="0" shrinkToFit="false"/>
      <protection locked="true" hidden="false"/>
    </xf>
    <xf numFmtId="164" fontId="0" fillId="13" borderId="20" xfId="0" applyFont="true" applyBorder="true" applyAlignment="true" applyProtection="true">
      <alignment horizontal="center" vertical="bottom" textRotation="0" wrapText="false" indent="0" shrinkToFit="false"/>
      <protection locked="true" hidden="false"/>
    </xf>
    <xf numFmtId="164" fontId="0" fillId="14" borderId="28" xfId="0" applyFont="false" applyBorder="true" applyAlignment="true" applyProtection="true">
      <alignment horizontal="general" vertical="bottom" textRotation="0" wrapText="false" indent="0" shrinkToFit="false"/>
      <protection locked="true" hidden="false"/>
    </xf>
    <xf numFmtId="164" fontId="0" fillId="14" borderId="29" xfId="0" applyFont="false" applyBorder="true" applyAlignment="true" applyProtection="true">
      <alignment horizontal="general" vertical="bottom" textRotation="0" wrapText="false" indent="0" shrinkToFit="false"/>
      <protection locked="true" hidden="false"/>
    </xf>
    <xf numFmtId="166" fontId="0" fillId="14" borderId="29" xfId="0" applyFont="false" applyBorder="true" applyAlignment="true" applyProtection="true">
      <alignment horizontal="general" vertical="bottom" textRotation="0" wrapText="false" indent="0" shrinkToFit="false"/>
      <protection locked="true" hidden="false"/>
    </xf>
    <xf numFmtId="164" fontId="0" fillId="14" borderId="16" xfId="0" applyFont="false" applyBorder="true" applyAlignment="true" applyProtection="true">
      <alignment horizontal="general" vertical="bottom" textRotation="0" wrapText="false" indent="0" shrinkToFit="false"/>
      <protection locked="true" hidden="false"/>
    </xf>
    <xf numFmtId="167" fontId="14" fillId="14" borderId="3" xfId="0" applyFont="true" applyBorder="true" applyAlignment="true" applyProtection="true">
      <alignment horizontal="center" vertical="center" textRotation="0" wrapText="true" indent="0" shrinkToFit="false"/>
      <protection locked="true" hidden="false"/>
    </xf>
    <xf numFmtId="166" fontId="14" fillId="14" borderId="1" xfId="0" applyFont="true" applyBorder="true" applyAlignment="true" applyProtection="true">
      <alignment horizontal="center" vertical="center" textRotation="0" wrapText="true" indent="0" shrinkToFit="false"/>
      <protection locked="true" hidden="false"/>
    </xf>
    <xf numFmtId="164" fontId="14" fillId="14" borderId="1" xfId="0" applyFont="true" applyBorder="true" applyAlignment="true" applyProtection="true">
      <alignment horizontal="center" vertical="center" textRotation="0" wrapText="true" indent="0" shrinkToFit="false"/>
      <protection locked="true" hidden="false"/>
    </xf>
    <xf numFmtId="164" fontId="0" fillId="14" borderId="4" xfId="0" applyFont="false" applyBorder="true" applyAlignment="true" applyProtection="true">
      <alignment horizontal="general" vertical="bottom" textRotation="0" wrapText="false" indent="0" shrinkToFit="false"/>
      <protection locked="true" hidden="false"/>
    </xf>
    <xf numFmtId="164" fontId="0" fillId="14" borderId="14" xfId="0" applyFont="true" applyBorder="true" applyAlignment="true" applyProtection="true">
      <alignment horizontal="general" vertical="bottom" textRotation="0" wrapText="true" indent="0" shrinkToFit="false"/>
      <protection locked="true" hidden="false"/>
    </xf>
    <xf numFmtId="164" fontId="0" fillId="14" borderId="6" xfId="0" applyFont="false" applyBorder="true" applyAlignment="true" applyProtection="true">
      <alignment horizontal="general" vertical="bottom" textRotation="0" wrapText="false" indent="0" shrinkToFit="false"/>
      <protection locked="true" hidden="false"/>
    </xf>
    <xf numFmtId="164" fontId="0" fillId="14" borderId="7" xfId="0" applyFont="true" applyBorder="true" applyAlignment="true" applyProtection="true">
      <alignment horizontal="general" vertical="bottom" textRotation="0" wrapText="true" indent="0" shrinkToFit="false"/>
      <protection locked="true" hidden="false"/>
    </xf>
    <xf numFmtId="164" fontId="0" fillId="14" borderId="11" xfId="0" applyFont="false" applyBorder="true" applyAlignment="true" applyProtection="true">
      <alignment horizontal="general" vertical="bottom" textRotation="0" wrapText="true" indent="0" shrinkToFit="false"/>
      <protection locked="true" hidden="false"/>
    </xf>
    <xf numFmtId="164" fontId="0" fillId="14" borderId="23" xfId="0" applyFont="true" applyBorder="true" applyAlignment="true" applyProtection="true">
      <alignment horizontal="general" vertical="bottom" textRotation="0" wrapText="true" indent="0" shrinkToFit="false"/>
      <protection locked="true" hidden="false"/>
    </xf>
    <xf numFmtId="164" fontId="14" fillId="14" borderId="17" xfId="0" applyFont="true" applyBorder="true" applyAlignment="true" applyProtection="true">
      <alignment horizontal="center" vertical="center" textRotation="0" wrapText="true" indent="0" shrinkToFit="false"/>
      <protection locked="true" hidden="false"/>
    </xf>
    <xf numFmtId="166" fontId="14" fillId="14" borderId="17" xfId="0" applyFont="true" applyBorder="true" applyAlignment="true" applyProtection="true">
      <alignment horizontal="general" vertical="center" textRotation="0" wrapText="true" indent="0" shrinkToFit="false"/>
      <protection locked="true" hidden="false"/>
    </xf>
    <xf numFmtId="166" fontId="14" fillId="14" borderId="17" xfId="0" applyFont="true" applyBorder="true" applyAlignment="true" applyProtection="true">
      <alignment horizontal="center" vertical="center" textRotation="0" wrapText="true" indent="0" shrinkToFit="false"/>
      <protection locked="true" hidden="false"/>
    </xf>
    <xf numFmtId="167" fontId="0" fillId="14" borderId="21" xfId="0" applyFont="false" applyBorder="true" applyAlignment="true" applyProtection="true">
      <alignment horizontal="general" vertical="bottom" textRotation="0" wrapText="false" indent="0" shrinkToFit="false"/>
      <protection locked="true" hidden="false"/>
    </xf>
    <xf numFmtId="166" fontId="0" fillId="14" borderId="21" xfId="0" applyFont="false" applyBorder="true" applyAlignment="true" applyProtection="true">
      <alignment horizontal="general" vertical="bottom" textRotation="0" wrapText="false" indent="0" shrinkToFit="false"/>
      <protection locked="true" hidden="false"/>
    </xf>
    <xf numFmtId="166" fontId="0" fillId="14" borderId="22" xfId="0" applyFont="true" applyBorder="true" applyAlignment="true" applyProtection="true">
      <alignment horizontal="general" vertical="bottom" textRotation="0" wrapText="false" indent="0" shrinkToFit="false"/>
      <protection locked="true" hidden="false"/>
    </xf>
    <xf numFmtId="164" fontId="9" fillId="9" borderId="23" xfId="0" applyFont="true" applyBorder="true" applyAlignment="true" applyProtection="true">
      <alignment horizontal="center" vertical="bottom" textRotation="0" wrapText="false" indent="0" shrinkToFit="false"/>
      <protection locked="true" hidden="false"/>
    </xf>
    <xf numFmtId="164" fontId="15" fillId="15" borderId="23" xfId="0" applyFont="true" applyBorder="true" applyAlignment="true" applyProtection="true">
      <alignment horizontal="center"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0" fillId="0" borderId="23" xfId="0" applyFont="true" applyBorder="true" applyAlignment="true" applyProtection="true">
      <alignment horizontal="center" vertical="bottom" textRotation="0" wrapText="true" indent="0" shrinkToFit="false"/>
      <protection locked="true" hidden="false"/>
    </xf>
    <xf numFmtId="164" fontId="0" fillId="0" borderId="23" xfId="0" applyFont="true" applyBorder="true" applyAlignment="true" applyProtection="true">
      <alignment horizontal="center" vertical="bottom" textRotation="0" wrapText="false" indent="0" shrinkToFit="false"/>
      <protection locked="true" hidden="false"/>
    </xf>
    <xf numFmtId="164" fontId="15" fillId="15" borderId="23" xfId="0" applyFont="true" applyBorder="true" applyAlignment="true" applyProtection="true">
      <alignment horizontal="center" vertical="center" textRotation="0" wrapText="false" indent="0" shrinkToFit="false"/>
      <protection locked="true" hidden="false"/>
    </xf>
    <xf numFmtId="164" fontId="0" fillId="0" borderId="23" xfId="0" applyFont="true" applyBorder="true" applyAlignment="true" applyProtection="true">
      <alignment horizontal="center" vertical="center" textRotation="0" wrapText="false" indent="0" shrinkToFit="false"/>
      <protection locked="true" hidden="false"/>
    </xf>
  </cellXfs>
  <cellStyles count="18">
    <cellStyle name="Normal" xfId="0" builtinId="0"/>
    <cellStyle name="Comma" xfId="15" builtinId="3"/>
    <cellStyle name="Comma [0]" xfId="16" builtinId="6"/>
    <cellStyle name="Currency" xfId="17" builtinId="4"/>
    <cellStyle name="Currency [0]" xfId="18" builtinId="7"/>
    <cellStyle name="Percent" xfId="19" builtinId="5"/>
    <cellStyle name="60% - Accent1 2" xfId="20"/>
    <cellStyle name="60% - Accent2 2" xfId="21"/>
    <cellStyle name="60% - Accent3 2" xfId="22"/>
    <cellStyle name="60% - Accent4 2" xfId="23"/>
    <cellStyle name="60% - Accent5 2" xfId="24"/>
    <cellStyle name="60% - Accent6 2" xfId="25"/>
    <cellStyle name="Millares 2" xfId="26"/>
    <cellStyle name="Neutral 2" xfId="27"/>
    <cellStyle name="Normal 2" xfId="28"/>
    <cellStyle name="Normal 2 2" xfId="29"/>
    <cellStyle name="Normal 3" xfId="30"/>
    <cellStyle name="Title 2" xfId="31"/>
  </cellStyles>
  <dxfs count="6">
    <dxf>
      <font>
        <color rgb="FF9C5700"/>
      </font>
      <fill>
        <patternFill>
          <bgColor rgb="FFFFEB9C"/>
        </patternFill>
      </fill>
    </dxf>
    <dxf>
      <fill>
        <patternFill patternType="solid">
          <fgColor rgb="FFD9D9D9"/>
        </patternFill>
      </fill>
    </dxf>
    <dxf>
      <fill>
        <patternFill patternType="solid">
          <fgColor rgb="FF000000"/>
          <bgColor rgb="FFFFFFFF"/>
        </patternFill>
      </fill>
    </dxf>
    <dxf>
      <fill>
        <patternFill patternType="solid">
          <fgColor rgb="FFE2F0D9"/>
        </patternFill>
      </fill>
    </dxf>
    <dxf>
      <fill>
        <patternFill patternType="solid">
          <fgColor rgb="00FFFFFF"/>
        </patternFill>
      </fill>
    </dxf>
    <dxf>
      <fill>
        <patternFill patternType="solid">
          <fgColor rgb="FF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9C6500"/>
      <rgbColor rgb="FF800080"/>
      <rgbColor rgb="FF008080"/>
      <rgbColor rgb="FFC9C9C9"/>
      <rgbColor rgb="FF808080"/>
      <rgbColor rgb="FF8FAADC"/>
      <rgbColor rgb="FF993366"/>
      <rgbColor rgb="FFFFFFCC"/>
      <rgbColor rgb="FFDEEBF7"/>
      <rgbColor rgb="FF660066"/>
      <rgbColor rgb="FFFF8080"/>
      <rgbColor rgb="FF0066CC"/>
      <rgbColor rgb="FFB4C7E7"/>
      <rgbColor rgb="FF000080"/>
      <rgbColor rgb="FFFF00FF"/>
      <rgbColor rgb="FFFFFF00"/>
      <rgbColor rgb="FF00FFFF"/>
      <rgbColor rgb="FF800080"/>
      <rgbColor rgb="FF800000"/>
      <rgbColor rgb="FF008080"/>
      <rgbColor rgb="FF0000FF"/>
      <rgbColor rgb="FF00CCFF"/>
      <rgbColor rgb="FFD9D9D9"/>
      <rgbColor rgb="FFE2F0D9"/>
      <rgbColor rgb="FFFFEB9C"/>
      <rgbColor rgb="FF9DC3E6"/>
      <rgbColor rgb="FFF4B183"/>
      <rgbColor rgb="FFCC99FF"/>
      <rgbColor rgb="FFFFD966"/>
      <rgbColor rgb="FF3366FF"/>
      <rgbColor rgb="FF33CCCC"/>
      <rgbColor rgb="FFA9D18E"/>
      <rgbColor rgb="FFFFCC00"/>
      <rgbColor rgb="FFFF9900"/>
      <rgbColor rgb="FFFF6600"/>
      <rgbColor rgb="FF44546A"/>
      <rgbColor rgb="FF70AD47"/>
      <rgbColor rgb="FF003366"/>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externalLink" Target="externalLinks/externalLink1.xml"/><Relationship Id="rId13" Type="http://schemas.openxmlformats.org/officeDocument/2006/relationships/externalLink" Target="externalLinks/externalLink2.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externalLinks/_rels/externalLink1.xml.rels><?xml version="1.0" encoding="UTF-8"?>
<Relationships xmlns="http://schemas.openxmlformats.org/package/2006/relationships"><Relationship Id="rId1" Type="http://schemas.openxmlformats.org/officeDocument/2006/relationships/externalLinkPath" Target="../../../../C:/Users/aacosta/Downloads/Circular_002_Anexo.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Circular014-2022%20Anexo2_V5.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Manual de Uso"/>
      <sheetName val="Generalidades"/>
      <sheetName val="Solicitudes"/>
      <sheetName val="Listas Desplegables"/>
    </sheetNames>
    <sheetDataSet>
      <sheetData sheetId="0"/>
      <sheetData sheetId="1"/>
      <sheetData sheetId="2"/>
      <sheetData sheetId="3">
        <row r="3">
          <cell r="H3" t="str">
            <v>GD</v>
          </cell>
          <cell r="I3">
            <v>0</v>
          </cell>
          <cell r="J3">
            <v>100</v>
          </cell>
        </row>
        <row r="4">
          <cell r="H4" t="str">
            <v>AGPE con excedentes</v>
          </cell>
          <cell r="I4">
            <v>0</v>
          </cell>
          <cell r="J4">
            <v>1000</v>
          </cell>
        </row>
        <row r="5">
          <cell r="H5" t="str">
            <v>AGPE sin excedentes</v>
          </cell>
          <cell r="I5">
            <v>0</v>
          </cell>
          <cell r="J5">
            <v>1000</v>
          </cell>
        </row>
        <row r="6">
          <cell r="H6" t="str">
            <v>AGGE con excedentes</v>
          </cell>
          <cell r="I6">
            <v>1000.00001</v>
          </cell>
          <cell r="J6">
            <v>1E+040</v>
          </cell>
        </row>
        <row r="7">
          <cell r="H7" t="str">
            <v>AGGE sin excedentes</v>
          </cell>
          <cell r="I7">
            <v>1000.00001</v>
          </cell>
          <cell r="J7">
            <v>1E+040</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Manual de Uso"/>
      <sheetName val="1. Líneas"/>
      <sheetName val="2. Tr3 "/>
      <sheetName val="3. Tr2"/>
      <sheetName val="4. Subestaciones"/>
      <sheetName val="5. Demanda"/>
      <sheetName val="6. Compensacion"/>
      <sheetName val="7. Compensacion dinamica"/>
      <sheetName val="8. DFACTS"/>
      <sheetName val="9. Formato espacio físico"/>
      <sheetName val="Listas Desplegables"/>
    </sheetNames>
    <sheetDataSet>
      <sheetData sheetId="0"/>
      <sheetData sheetId="1"/>
      <sheetData sheetId="2"/>
      <sheetData sheetId="3"/>
      <sheetData sheetId="4"/>
      <sheetData sheetId="5">
        <row r="4">
          <cell r="D4" t="str">
            <v>Nombre</v>
          </cell>
          <cell r="E4" t="str">
            <v>Subestación</v>
          </cell>
          <cell r="F4" t="str">
            <v>Nivel de tensión [kV]</v>
          </cell>
          <cell r="G4" t="str">
            <v>Tipo</v>
          </cell>
          <cell r="H4" t="str">
            <v>Atendida Subestación Nivel IV</v>
          </cell>
          <cell r="I4" t="str">
            <v>En Operación</v>
          </cell>
          <cell r="J4" t="str">
            <v>FPO</v>
          </cell>
        </row>
        <row r="6">
          <cell r="D6" t="str">
            <v>04 501</v>
          </cell>
          <cell r="E6" t="str">
            <v>Bellavista 13.8</v>
          </cell>
          <cell r="F6">
            <v>13.8</v>
          </cell>
          <cell r="G6" t="str">
            <v>residencial</v>
          </cell>
          <cell r="H6" t="str">
            <v>Bucaramanga 115 kV</v>
          </cell>
          <cell r="I6" t="str">
            <v>Sí</v>
          </cell>
        </row>
        <row r="7">
          <cell r="D7" t="str">
            <v>04 502</v>
          </cell>
          <cell r="E7" t="str">
            <v>Bellavista 13.8</v>
          </cell>
          <cell r="F7">
            <v>13.8</v>
          </cell>
          <cell r="G7" t="str">
            <v>residencial</v>
          </cell>
          <cell r="H7" t="str">
            <v>Bucaramanga 115 kV</v>
          </cell>
          <cell r="I7" t="str">
            <v>Sí</v>
          </cell>
        </row>
        <row r="8">
          <cell r="D8" t="str">
            <v>05 502</v>
          </cell>
          <cell r="E8" t="str">
            <v>Villas 13.8</v>
          </cell>
          <cell r="F8">
            <v>13.8</v>
          </cell>
          <cell r="G8" t="str">
            <v>residencial</v>
          </cell>
          <cell r="H8" t="str">
            <v>Bucaramanga 115 kV</v>
          </cell>
          <cell r="I8" t="str">
            <v>Sí</v>
          </cell>
        </row>
        <row r="9">
          <cell r="D9" t="str">
            <v>07 501</v>
          </cell>
          <cell r="E9" t="str">
            <v>Cocos 13.8</v>
          </cell>
          <cell r="F9">
            <v>13.8</v>
          </cell>
          <cell r="G9" t="str">
            <v>residencial</v>
          </cell>
          <cell r="H9" t="str">
            <v>Palenque 115 kV
Real de Minas 115 kV</v>
          </cell>
          <cell r="I9" t="str">
            <v>Sí</v>
          </cell>
        </row>
        <row r="10">
          <cell r="D10" t="str">
            <v>07 502</v>
          </cell>
          <cell r="E10" t="str">
            <v>Cocos 13.8</v>
          </cell>
          <cell r="F10">
            <v>13.8</v>
          </cell>
          <cell r="G10" t="str">
            <v>residencial</v>
          </cell>
          <cell r="H10" t="str">
            <v>Palenque 115 kV
Real de Minas 115 kV</v>
          </cell>
          <cell r="I10" t="str">
            <v>Sí</v>
          </cell>
        </row>
        <row r="11">
          <cell r="D11" t="str">
            <v>08 501</v>
          </cell>
          <cell r="E11" t="str">
            <v>Bucarica 1 13.8</v>
          </cell>
          <cell r="F11">
            <v>13.8</v>
          </cell>
          <cell r="G11" t="str">
            <v>residencial</v>
          </cell>
          <cell r="H11" t="str">
            <v>Bucaramanga 115 kV</v>
          </cell>
          <cell r="I11" t="str">
            <v>Sí</v>
          </cell>
        </row>
        <row r="12">
          <cell r="D12" t="str">
            <v>08 502</v>
          </cell>
          <cell r="E12" t="str">
            <v>Bucarica 1 13.8</v>
          </cell>
          <cell r="F12">
            <v>13.8</v>
          </cell>
          <cell r="G12" t="str">
            <v>residencial</v>
          </cell>
          <cell r="H12" t="str">
            <v>Bucaramanga 115 kV</v>
          </cell>
          <cell r="I12" t="str">
            <v>Sí</v>
          </cell>
        </row>
        <row r="13">
          <cell r="D13" t="str">
            <v>08 503</v>
          </cell>
          <cell r="E13" t="str">
            <v>Bucarica 1 13.8</v>
          </cell>
          <cell r="F13">
            <v>13.8</v>
          </cell>
          <cell r="G13" t="str">
            <v>residencial</v>
          </cell>
          <cell r="H13" t="str">
            <v>Bucaramanga 115 kV</v>
          </cell>
          <cell r="I13" t="str">
            <v>Sí</v>
          </cell>
        </row>
        <row r="14">
          <cell r="D14" t="str">
            <v>08 504</v>
          </cell>
          <cell r="E14" t="str">
            <v>Bucarica 2 13.8</v>
          </cell>
          <cell r="F14">
            <v>13.8</v>
          </cell>
          <cell r="G14" t="str">
            <v>residencial</v>
          </cell>
          <cell r="H14" t="str">
            <v>Bucaramanga 115 kV</v>
          </cell>
          <cell r="I14" t="str">
            <v>Sí</v>
          </cell>
        </row>
        <row r="15">
          <cell r="D15" t="str">
            <v>08 505</v>
          </cell>
          <cell r="E15" t="str">
            <v>Bucarica 2 13.8</v>
          </cell>
          <cell r="F15">
            <v>13.8</v>
          </cell>
          <cell r="G15" t="str">
            <v>residencial</v>
          </cell>
          <cell r="H15" t="str">
            <v>Bucaramanga 115 kV</v>
          </cell>
          <cell r="I15" t="str">
            <v>Sí</v>
          </cell>
        </row>
        <row r="16">
          <cell r="D16" t="str">
            <v>08 506</v>
          </cell>
          <cell r="E16" t="str">
            <v>Bucarica 2 13.8</v>
          </cell>
          <cell r="F16">
            <v>13.8</v>
          </cell>
          <cell r="G16" t="str">
            <v>residencial</v>
          </cell>
          <cell r="H16" t="str">
            <v>Bucaramanga 115 kV</v>
          </cell>
          <cell r="I16" t="str">
            <v>Sí</v>
          </cell>
        </row>
        <row r="17">
          <cell r="D17" t="str">
            <v>09 501</v>
          </cell>
          <cell r="E17" t="str">
            <v>Realminas 4 13.8</v>
          </cell>
          <cell r="F17">
            <v>13.8</v>
          </cell>
          <cell r="G17" t="str">
            <v>residencial</v>
          </cell>
          <cell r="H17" t="str">
            <v>Real de Minas 115 kV</v>
          </cell>
          <cell r="I17" t="str">
            <v>Sí</v>
          </cell>
        </row>
        <row r="18">
          <cell r="D18" t="str">
            <v>09 502</v>
          </cell>
          <cell r="E18" t="str">
            <v>Realminas 2 13.8</v>
          </cell>
          <cell r="F18">
            <v>13.8</v>
          </cell>
          <cell r="G18" t="str">
            <v>residencial</v>
          </cell>
          <cell r="H18" t="str">
            <v>Real de Minas 115 kV</v>
          </cell>
          <cell r="I18" t="str">
            <v>Sí</v>
          </cell>
        </row>
        <row r="19">
          <cell r="D19" t="str">
            <v>09 503</v>
          </cell>
          <cell r="E19" t="str">
            <v>Realminas 2 13.8</v>
          </cell>
          <cell r="F19">
            <v>13.8</v>
          </cell>
          <cell r="G19" t="str">
            <v>residencial</v>
          </cell>
          <cell r="H19" t="str">
            <v>Real de Minas 115 kV</v>
          </cell>
          <cell r="I19" t="str">
            <v>Sí</v>
          </cell>
        </row>
        <row r="20">
          <cell r="D20" t="str">
            <v>09 504</v>
          </cell>
          <cell r="E20" t="str">
            <v>Realminas 2 13.8</v>
          </cell>
          <cell r="F20">
            <v>13.8</v>
          </cell>
          <cell r="G20" t="str">
            <v>residencial</v>
          </cell>
          <cell r="H20" t="str">
            <v>Real de Minas 115 kV</v>
          </cell>
          <cell r="I20" t="str">
            <v>Sí</v>
          </cell>
        </row>
        <row r="21">
          <cell r="D21" t="str">
            <v>09 505</v>
          </cell>
          <cell r="E21" t="str">
            <v>Realminas 2 13.8</v>
          </cell>
          <cell r="F21">
            <v>13.8</v>
          </cell>
          <cell r="G21" t="str">
            <v>residencial</v>
          </cell>
          <cell r="H21" t="str">
            <v>Real de Minas 115 kV</v>
          </cell>
          <cell r="I21" t="str">
            <v>Sí</v>
          </cell>
        </row>
        <row r="22">
          <cell r="D22" t="str">
            <v>09 506</v>
          </cell>
          <cell r="E22" t="str">
            <v>Realminas 4 13.8</v>
          </cell>
          <cell r="F22">
            <v>13.8</v>
          </cell>
          <cell r="G22" t="str">
            <v>residencial</v>
          </cell>
          <cell r="H22" t="str">
            <v>Real de Minas 115 kV</v>
          </cell>
          <cell r="I22" t="str">
            <v>Sí</v>
          </cell>
        </row>
        <row r="23">
          <cell r="D23" t="str">
            <v>09 507</v>
          </cell>
          <cell r="E23" t="str">
            <v>Realminas 4 13.8</v>
          </cell>
          <cell r="F23">
            <v>13.8</v>
          </cell>
          <cell r="G23" t="str">
            <v>industrial</v>
          </cell>
          <cell r="H23" t="str">
            <v>Real de Minas 115 kV</v>
          </cell>
          <cell r="I23" t="str">
            <v>Sí</v>
          </cell>
        </row>
        <row r="24">
          <cell r="D24" t="str">
            <v>09 508</v>
          </cell>
          <cell r="E24" t="str">
            <v>Realminas 4 13.8</v>
          </cell>
          <cell r="F24">
            <v>13.8</v>
          </cell>
          <cell r="G24" t="str">
            <v>residencial</v>
          </cell>
          <cell r="H24" t="str">
            <v>Real de Minas 115 kV</v>
          </cell>
          <cell r="I24" t="str">
            <v>Sí</v>
          </cell>
        </row>
        <row r="25">
          <cell r="D25" t="str">
            <v>10 501</v>
          </cell>
          <cell r="E25" t="str">
            <v>Conucos 1 13.8</v>
          </cell>
          <cell r="F25">
            <v>13.8</v>
          </cell>
          <cell r="G25" t="str">
            <v>residencial</v>
          </cell>
          <cell r="H25" t="str">
            <v>Conucos 115 kV</v>
          </cell>
          <cell r="I25" t="str">
            <v>Sí</v>
          </cell>
        </row>
        <row r="26">
          <cell r="D26" t="str">
            <v>10 502</v>
          </cell>
          <cell r="E26" t="str">
            <v>Conucos 1 13.8</v>
          </cell>
          <cell r="F26">
            <v>13.8</v>
          </cell>
          <cell r="G26" t="str">
            <v>residencial</v>
          </cell>
          <cell r="H26" t="str">
            <v>Conucos 115 kV</v>
          </cell>
          <cell r="I26" t="str">
            <v>Sí</v>
          </cell>
        </row>
        <row r="27">
          <cell r="D27" t="str">
            <v>10 503</v>
          </cell>
          <cell r="E27" t="str">
            <v>Conucos 2 13.8</v>
          </cell>
          <cell r="F27">
            <v>13.8</v>
          </cell>
          <cell r="G27" t="str">
            <v>industrial</v>
          </cell>
          <cell r="H27" t="str">
            <v>Conucos 115 kV</v>
          </cell>
          <cell r="I27" t="str">
            <v>Sí</v>
          </cell>
        </row>
        <row r="28">
          <cell r="D28" t="str">
            <v>10 504</v>
          </cell>
          <cell r="E28" t="str">
            <v>Conucos 2 13.8</v>
          </cell>
          <cell r="F28">
            <v>13.8</v>
          </cell>
          <cell r="G28" t="str">
            <v>industrial</v>
          </cell>
          <cell r="H28" t="str">
            <v>Conucos 115 kV</v>
          </cell>
          <cell r="I28" t="str">
            <v>Sí</v>
          </cell>
        </row>
        <row r="29">
          <cell r="D29" t="str">
            <v>10 505</v>
          </cell>
          <cell r="E29" t="str">
            <v>Conucos 1 13.8</v>
          </cell>
          <cell r="F29">
            <v>13.8</v>
          </cell>
          <cell r="G29" t="str">
            <v>residencial</v>
          </cell>
          <cell r="H29" t="str">
            <v>Conucos 115 kV</v>
          </cell>
          <cell r="I29" t="str">
            <v>Sí</v>
          </cell>
        </row>
        <row r="30">
          <cell r="D30" t="str">
            <v>10 506</v>
          </cell>
          <cell r="E30" t="str">
            <v>Conucos 2 13.8</v>
          </cell>
          <cell r="F30">
            <v>13.8</v>
          </cell>
          <cell r="G30" t="str">
            <v>residencial</v>
          </cell>
          <cell r="H30" t="str">
            <v>Conucos 115 kV</v>
          </cell>
          <cell r="I30" t="str">
            <v>Sí</v>
          </cell>
        </row>
        <row r="31">
          <cell r="D31" t="str">
            <v>10 507</v>
          </cell>
          <cell r="E31" t="str">
            <v>Conucos 1 13.8</v>
          </cell>
          <cell r="F31">
            <v>13.8</v>
          </cell>
          <cell r="G31" t="str">
            <v>residencial</v>
          </cell>
          <cell r="H31" t="str">
            <v>Conucos 115 kV</v>
          </cell>
          <cell r="I31" t="str">
            <v>Sí</v>
          </cell>
        </row>
        <row r="32">
          <cell r="D32" t="str">
            <v>10 508</v>
          </cell>
          <cell r="E32" t="str">
            <v>Conucos 2 13.8</v>
          </cell>
          <cell r="F32">
            <v>13.8</v>
          </cell>
          <cell r="G32" t="str">
            <v>residencial</v>
          </cell>
          <cell r="H32" t="str">
            <v>Conucos 115 kV</v>
          </cell>
          <cell r="I32" t="str">
            <v>Sí</v>
          </cell>
        </row>
        <row r="33">
          <cell r="D33" t="str">
            <v>10 509</v>
          </cell>
          <cell r="E33" t="str">
            <v>Conucos 2 13.8</v>
          </cell>
          <cell r="F33">
            <v>13.8</v>
          </cell>
          <cell r="G33" t="str">
            <v>residencial</v>
          </cell>
          <cell r="H33" t="str">
            <v>Conucos 115 kV</v>
          </cell>
          <cell r="I33" t="str">
            <v>Sí</v>
          </cell>
        </row>
        <row r="34">
          <cell r="D34" t="str">
            <v>10 510</v>
          </cell>
          <cell r="E34" t="str">
            <v>Conucos 2 13.8</v>
          </cell>
          <cell r="F34">
            <v>13.8</v>
          </cell>
          <cell r="G34" t="str">
            <v>residencial</v>
          </cell>
          <cell r="H34" t="str">
            <v>Conucos 115 kV</v>
          </cell>
          <cell r="I34" t="str">
            <v>Sí</v>
          </cell>
        </row>
        <row r="35">
          <cell r="D35" t="str">
            <v>10 511</v>
          </cell>
          <cell r="E35" t="str">
            <v>Conucos 1 13.8</v>
          </cell>
          <cell r="F35">
            <v>13.8</v>
          </cell>
          <cell r="G35" t="str">
            <v>residencial</v>
          </cell>
          <cell r="H35" t="str">
            <v>Conucos 115 kV</v>
          </cell>
          <cell r="I35" t="str">
            <v>Sí</v>
          </cell>
        </row>
        <row r="36">
          <cell r="D36" t="str">
            <v>10 512</v>
          </cell>
          <cell r="E36" t="str">
            <v>Conucos 2 13.8</v>
          </cell>
          <cell r="F36">
            <v>13.8</v>
          </cell>
          <cell r="G36" t="str">
            <v>residencial</v>
          </cell>
          <cell r="H36" t="str">
            <v>Conucos 115 kV</v>
          </cell>
          <cell r="I36" t="str">
            <v>Sí</v>
          </cell>
        </row>
        <row r="37">
          <cell r="D37" t="str">
            <v>10 513</v>
          </cell>
          <cell r="E37" t="str">
            <v>Conucos 1 13.8</v>
          </cell>
          <cell r="F37">
            <v>13.8</v>
          </cell>
          <cell r="G37" t="str">
            <v>residencial</v>
          </cell>
          <cell r="H37" t="str">
            <v>Conucos 115 kV</v>
          </cell>
          <cell r="I37" t="str">
            <v>Sí</v>
          </cell>
        </row>
        <row r="38">
          <cell r="D38" t="str">
            <v>10 514</v>
          </cell>
          <cell r="E38" t="str">
            <v>Conucos 1 13.8</v>
          </cell>
          <cell r="F38">
            <v>13.8</v>
          </cell>
          <cell r="G38" t="str">
            <v>residencial</v>
          </cell>
          <cell r="H38" t="str">
            <v>Conucos 115 kV</v>
          </cell>
          <cell r="I38" t="str">
            <v>Sí</v>
          </cell>
        </row>
        <row r="39">
          <cell r="D39" t="str">
            <v>10 515</v>
          </cell>
          <cell r="E39" t="str">
            <v>Conucos 1 13.8</v>
          </cell>
          <cell r="F39">
            <v>13.8</v>
          </cell>
          <cell r="G39" t="str">
            <v>Industrial</v>
          </cell>
          <cell r="H39" t="str">
            <v>Conucos 115 kV</v>
          </cell>
          <cell r="I39" t="str">
            <v>Sí</v>
          </cell>
        </row>
        <row r="40">
          <cell r="D40" t="str">
            <v>11 501</v>
          </cell>
          <cell r="E40" t="str">
            <v>Caneyes 2 13.8</v>
          </cell>
          <cell r="F40">
            <v>13.8</v>
          </cell>
          <cell r="G40" t="str">
            <v>residencial</v>
          </cell>
          <cell r="H40" t="str">
            <v>Palenque 115 kV</v>
          </cell>
          <cell r="I40" t="str">
            <v>Sí</v>
          </cell>
        </row>
        <row r="41">
          <cell r="D41" t="str">
            <v>11 502</v>
          </cell>
          <cell r="E41" t="str">
            <v>Caneyes 2 13.8</v>
          </cell>
          <cell r="F41">
            <v>13.8</v>
          </cell>
          <cell r="G41" t="str">
            <v>residencial</v>
          </cell>
          <cell r="H41" t="str">
            <v>Palenque 115 kV</v>
          </cell>
          <cell r="I41" t="str">
            <v>Sí</v>
          </cell>
        </row>
        <row r="42">
          <cell r="D42" t="str">
            <v>11 503</v>
          </cell>
          <cell r="E42" t="str">
            <v>Caneyes 1 13.8</v>
          </cell>
          <cell r="F42">
            <v>13.8</v>
          </cell>
          <cell r="G42" t="str">
            <v>industrial</v>
          </cell>
          <cell r="H42" t="str">
            <v>Palenque 115 kV</v>
          </cell>
          <cell r="I42" t="str">
            <v>Sí</v>
          </cell>
        </row>
        <row r="43">
          <cell r="D43" t="str">
            <v>11 504</v>
          </cell>
          <cell r="E43" t="str">
            <v>Caneyes 1 13.8</v>
          </cell>
          <cell r="F43">
            <v>13.8</v>
          </cell>
          <cell r="G43" t="str">
            <v>residencial</v>
          </cell>
          <cell r="H43" t="str">
            <v>Palenque 115 kV</v>
          </cell>
          <cell r="I43" t="str">
            <v>Sí</v>
          </cell>
        </row>
        <row r="44">
          <cell r="D44" t="str">
            <v>11 505</v>
          </cell>
          <cell r="E44" t="str">
            <v>Caneyes 1 13.8</v>
          </cell>
          <cell r="F44">
            <v>13.8</v>
          </cell>
          <cell r="G44" t="str">
            <v>residencial</v>
          </cell>
          <cell r="H44" t="str">
            <v>Palenque 115 kV</v>
          </cell>
          <cell r="I44" t="str">
            <v>Sí</v>
          </cell>
        </row>
        <row r="45">
          <cell r="D45" t="str">
            <v>12 501</v>
          </cell>
          <cell r="E45" t="str">
            <v>Bosque 13.8</v>
          </cell>
          <cell r="F45">
            <v>13.8</v>
          </cell>
          <cell r="G45" t="str">
            <v>residencial</v>
          </cell>
          <cell r="H45" t="str">
            <v>Florida 115 kV
Rio Frio 115 kV</v>
          </cell>
          <cell r="I45" t="str">
            <v>Sí</v>
          </cell>
        </row>
        <row r="46">
          <cell r="D46" t="str">
            <v>12 502</v>
          </cell>
          <cell r="E46" t="str">
            <v>Bosque 13.8</v>
          </cell>
          <cell r="F46">
            <v>13.8</v>
          </cell>
          <cell r="G46" t="str">
            <v>residencial</v>
          </cell>
          <cell r="H46" t="str">
            <v>Florida 115 kV
Rio Frio 115 kV</v>
          </cell>
          <cell r="I46" t="str">
            <v>Sí</v>
          </cell>
        </row>
        <row r="47">
          <cell r="D47" t="str">
            <v>12 503</v>
          </cell>
          <cell r="E47" t="str">
            <v>Bosque 13.8</v>
          </cell>
          <cell r="F47">
            <v>13.8</v>
          </cell>
          <cell r="G47" t="str">
            <v>residencial</v>
          </cell>
          <cell r="H47" t="str">
            <v>Florida 115 kV
Rio Frio 115 kV</v>
          </cell>
          <cell r="I47" t="str">
            <v>Sí</v>
          </cell>
        </row>
        <row r="48">
          <cell r="D48" t="str">
            <v>12 504</v>
          </cell>
          <cell r="E48" t="str">
            <v>Bosque 13.8</v>
          </cell>
          <cell r="F48">
            <v>13.8</v>
          </cell>
          <cell r="G48" t="str">
            <v>residencial</v>
          </cell>
          <cell r="H48" t="str">
            <v>Florida 115 kV
Rio Frio 115 kV</v>
          </cell>
          <cell r="I48" t="str">
            <v>Sí</v>
          </cell>
        </row>
        <row r="49">
          <cell r="D49" t="str">
            <v>12 505</v>
          </cell>
          <cell r="E49" t="str">
            <v>Bosque 13.8</v>
          </cell>
          <cell r="F49">
            <v>13.8</v>
          </cell>
          <cell r="G49" t="str">
            <v>residencial</v>
          </cell>
          <cell r="H49" t="str">
            <v>Florida 115 kV
Rio Frio 115 kV</v>
          </cell>
          <cell r="I49" t="str">
            <v>Sí</v>
          </cell>
        </row>
        <row r="50">
          <cell r="D50" t="str">
            <v>12 506</v>
          </cell>
          <cell r="E50" t="str">
            <v>Bosque 13.8</v>
          </cell>
          <cell r="F50">
            <v>13.8</v>
          </cell>
          <cell r="G50" t="str">
            <v>residencial</v>
          </cell>
          <cell r="H50" t="str">
            <v>Florida 115 kV
Rio Frio 115 kV</v>
          </cell>
          <cell r="I50" t="str">
            <v>Sí</v>
          </cell>
        </row>
        <row r="51">
          <cell r="D51" t="str">
            <v>12 507</v>
          </cell>
          <cell r="E51" t="str">
            <v>Bosque 13.8</v>
          </cell>
          <cell r="F51">
            <v>13.8</v>
          </cell>
          <cell r="G51" t="str">
            <v>residencial</v>
          </cell>
          <cell r="H51" t="str">
            <v>Florida 115 kV
Rio Frio 115 kV</v>
          </cell>
          <cell r="I51" t="str">
            <v>Sí</v>
          </cell>
        </row>
        <row r="52">
          <cell r="D52" t="str">
            <v>12 508</v>
          </cell>
          <cell r="E52" t="str">
            <v>Bosque 13.8</v>
          </cell>
          <cell r="F52">
            <v>13.8</v>
          </cell>
          <cell r="G52" t="str">
            <v>Industrial</v>
          </cell>
          <cell r="H52" t="str">
            <v>Florida 115 kV
Rio Frio 115 kV</v>
          </cell>
          <cell r="I52" t="str">
            <v>Sí</v>
          </cell>
        </row>
        <row r="53">
          <cell r="D53" t="str">
            <v>12 509</v>
          </cell>
          <cell r="E53" t="str">
            <v>Bosque 13.8</v>
          </cell>
          <cell r="F53">
            <v>13.8</v>
          </cell>
          <cell r="G53" t="str">
            <v>Industrial</v>
          </cell>
          <cell r="H53" t="str">
            <v>Florida 115 kV
Rio Frio 115 kV</v>
          </cell>
          <cell r="I53" t="str">
            <v>Sí</v>
          </cell>
        </row>
        <row r="54">
          <cell r="D54" t="str">
            <v>13 501</v>
          </cell>
          <cell r="E54" t="str">
            <v>Carmen 13.8</v>
          </cell>
          <cell r="F54">
            <v>13.8</v>
          </cell>
          <cell r="G54" t="str">
            <v>residencial</v>
          </cell>
          <cell r="H54" t="str">
            <v>Lizama 115 kV</v>
          </cell>
          <cell r="I54" t="str">
            <v>Sí</v>
          </cell>
        </row>
        <row r="55">
          <cell r="D55" t="str">
            <v>13 502</v>
          </cell>
          <cell r="E55" t="str">
            <v>Carmen 13.8</v>
          </cell>
          <cell r="F55">
            <v>13.8</v>
          </cell>
          <cell r="G55" t="str">
            <v>residencial</v>
          </cell>
          <cell r="H55" t="str">
            <v>Lizama 115 kV</v>
          </cell>
          <cell r="I55" t="str">
            <v>Sí</v>
          </cell>
        </row>
        <row r="56">
          <cell r="D56" t="str">
            <v>13 503</v>
          </cell>
          <cell r="E56" t="str">
            <v>Carmen 13.8</v>
          </cell>
          <cell r="F56">
            <v>13.8</v>
          </cell>
          <cell r="G56" t="str">
            <v>residencial</v>
          </cell>
          <cell r="H56" t="str">
            <v>Lizama 115 kV</v>
          </cell>
          <cell r="I56" t="str">
            <v>Sí</v>
          </cell>
        </row>
        <row r="57">
          <cell r="D57" t="str">
            <v>13 504</v>
          </cell>
          <cell r="E57" t="str">
            <v>Carmen 13.8</v>
          </cell>
          <cell r="F57">
            <v>13.8</v>
          </cell>
          <cell r="G57" t="str">
            <v>residencial</v>
          </cell>
          <cell r="H57" t="str">
            <v>Lizama 115 kV</v>
          </cell>
          <cell r="I57" t="str">
            <v>Sí</v>
          </cell>
        </row>
        <row r="58">
          <cell r="D58" t="str">
            <v>14 501</v>
          </cell>
          <cell r="E58" t="str">
            <v>Cero 13.8</v>
          </cell>
          <cell r="F58">
            <v>13.8</v>
          </cell>
          <cell r="G58" t="str">
            <v>residencial</v>
          </cell>
          <cell r="H58" t="str">
            <v>Palos 115 kV</v>
          </cell>
          <cell r="I58" t="str">
            <v>Sí</v>
          </cell>
        </row>
        <row r="59">
          <cell r="D59" t="str">
            <v>14 502</v>
          </cell>
          <cell r="E59" t="str">
            <v>Cero 13.8</v>
          </cell>
          <cell r="F59">
            <v>13.8</v>
          </cell>
          <cell r="G59" t="str">
            <v>residencial</v>
          </cell>
          <cell r="H59" t="str">
            <v>Palos 115 kV</v>
          </cell>
          <cell r="I59" t="str">
            <v>Sí</v>
          </cell>
        </row>
        <row r="60">
          <cell r="D60" t="str">
            <v>17 501</v>
          </cell>
          <cell r="E60" t="str">
            <v>Esperanza 13.8</v>
          </cell>
          <cell r="F60">
            <v>13.8</v>
          </cell>
          <cell r="G60" t="str">
            <v>residencial</v>
          </cell>
          <cell r="H60" t="str">
            <v>San Alberto 115 kV</v>
          </cell>
          <cell r="I60" t="str">
            <v>Sí</v>
          </cell>
        </row>
        <row r="61">
          <cell r="D61" t="str">
            <v>17 502</v>
          </cell>
          <cell r="E61" t="str">
            <v>Esperanza 13.8</v>
          </cell>
          <cell r="F61">
            <v>13.8</v>
          </cell>
          <cell r="G61" t="str">
            <v>residencial</v>
          </cell>
          <cell r="H61" t="str">
            <v>San Alberto 115 kV</v>
          </cell>
          <cell r="I61" t="str">
            <v>Sí</v>
          </cell>
        </row>
        <row r="62">
          <cell r="D62" t="str">
            <v>18 501</v>
          </cell>
          <cell r="E62" t="str">
            <v>Rio Frio 13.8</v>
          </cell>
          <cell r="F62">
            <v>13.8</v>
          </cell>
          <cell r="G62" t="str">
            <v>residencial</v>
          </cell>
          <cell r="H62" t="str">
            <v>Rio Frio 115 kV</v>
          </cell>
          <cell r="I62" t="str">
            <v>Sí</v>
          </cell>
        </row>
        <row r="63">
          <cell r="D63" t="str">
            <v>18 502</v>
          </cell>
          <cell r="E63" t="str">
            <v>Rio Frio 13.8</v>
          </cell>
          <cell r="F63">
            <v>13.8</v>
          </cell>
          <cell r="G63" t="str">
            <v>residencial</v>
          </cell>
          <cell r="H63" t="str">
            <v>Rio Frio 115 kV</v>
          </cell>
          <cell r="I63" t="str">
            <v>Sí</v>
          </cell>
        </row>
        <row r="64">
          <cell r="D64" t="str">
            <v>18 503</v>
          </cell>
          <cell r="E64" t="str">
            <v>Rio Frio 13.8</v>
          </cell>
          <cell r="F64">
            <v>13.8</v>
          </cell>
          <cell r="G64" t="str">
            <v>residencial</v>
          </cell>
          <cell r="H64" t="str">
            <v>Rio Frio 115 kV</v>
          </cell>
          <cell r="I64" t="str">
            <v>Sí</v>
          </cell>
        </row>
        <row r="65">
          <cell r="D65" t="str">
            <v>18 504</v>
          </cell>
          <cell r="E65" t="str">
            <v>Rio Frio 13.8</v>
          </cell>
          <cell r="F65">
            <v>13.8</v>
          </cell>
          <cell r="G65" t="str">
            <v>residencial</v>
          </cell>
          <cell r="H65" t="str">
            <v>Rio Frio 115 kV</v>
          </cell>
          <cell r="I65" t="str">
            <v>Sí</v>
          </cell>
        </row>
        <row r="66">
          <cell r="D66" t="str">
            <v>20 501</v>
          </cell>
          <cell r="E66" t="str">
            <v>Norte 1 13.8</v>
          </cell>
          <cell r="F66">
            <v>13.8</v>
          </cell>
          <cell r="G66" t="str">
            <v>industrial</v>
          </cell>
          <cell r="H66" t="str">
            <v>Palenque 115 kV
Real de Minas 115 kV</v>
          </cell>
          <cell r="I66" t="str">
            <v>Sí</v>
          </cell>
        </row>
        <row r="67">
          <cell r="D67" t="str">
            <v>20 502</v>
          </cell>
          <cell r="E67" t="str">
            <v>Norte 1 13.8</v>
          </cell>
          <cell r="F67">
            <v>13.8</v>
          </cell>
          <cell r="G67" t="str">
            <v>industrial</v>
          </cell>
          <cell r="H67" t="str">
            <v>Palenque 115 kV
Real de Minas 115 kV</v>
          </cell>
          <cell r="I67" t="str">
            <v>Sí</v>
          </cell>
        </row>
        <row r="68">
          <cell r="D68" t="str">
            <v>20 503</v>
          </cell>
          <cell r="E68" t="str">
            <v>Norte 1 13.8</v>
          </cell>
          <cell r="F68">
            <v>13.8</v>
          </cell>
          <cell r="G68" t="str">
            <v>residencial</v>
          </cell>
          <cell r="H68" t="str">
            <v>Palenque 115 kV
Real de Minas 115 kV</v>
          </cell>
          <cell r="I68" t="str">
            <v>Sí</v>
          </cell>
        </row>
        <row r="69">
          <cell r="D69" t="str">
            <v>20 504</v>
          </cell>
          <cell r="E69" t="str">
            <v>Norte 2 13.8</v>
          </cell>
          <cell r="F69">
            <v>13.8</v>
          </cell>
          <cell r="G69" t="str">
            <v>industrial</v>
          </cell>
          <cell r="H69" t="str">
            <v>Palos 115 kV</v>
          </cell>
          <cell r="I69" t="str">
            <v>Sí</v>
          </cell>
        </row>
        <row r="70">
          <cell r="D70" t="str">
            <v>20 505</v>
          </cell>
          <cell r="E70" t="str">
            <v>Norte 2 13.8</v>
          </cell>
          <cell r="F70">
            <v>13.8</v>
          </cell>
          <cell r="G70" t="str">
            <v>residencial</v>
          </cell>
          <cell r="H70" t="str">
            <v>Palos 115 kV</v>
          </cell>
          <cell r="I70" t="str">
            <v>Sí</v>
          </cell>
        </row>
        <row r="71">
          <cell r="D71" t="str">
            <v>20 506</v>
          </cell>
          <cell r="E71" t="str">
            <v>Norte 2 13.8</v>
          </cell>
          <cell r="F71">
            <v>13.8</v>
          </cell>
          <cell r="G71" t="str">
            <v>residencial</v>
          </cell>
          <cell r="H71" t="str">
            <v>Palos 115 kV</v>
          </cell>
          <cell r="I71" t="str">
            <v>Sí</v>
          </cell>
        </row>
        <row r="72">
          <cell r="D72" t="str">
            <v>20 507</v>
          </cell>
          <cell r="E72" t="str">
            <v>Norte 2 13.8</v>
          </cell>
          <cell r="F72">
            <v>13.8</v>
          </cell>
          <cell r="G72" t="str">
            <v>residencial</v>
          </cell>
          <cell r="H72" t="str">
            <v>Palos 115 kV</v>
          </cell>
          <cell r="I72" t="str">
            <v>Sí</v>
          </cell>
        </row>
        <row r="73">
          <cell r="D73" t="str">
            <v>20 508</v>
          </cell>
          <cell r="E73" t="str">
            <v>Norte 2 13.8</v>
          </cell>
          <cell r="F73">
            <v>13.8</v>
          </cell>
          <cell r="G73" t="str">
            <v>residencial</v>
          </cell>
          <cell r="H73" t="str">
            <v>Palos 115 kV</v>
          </cell>
          <cell r="I73" t="str">
            <v>Sí</v>
          </cell>
        </row>
        <row r="74">
          <cell r="D74" t="str">
            <v>207 501</v>
          </cell>
          <cell r="E74" t="str">
            <v>Provincia de Soto 13.8</v>
          </cell>
          <cell r="F74">
            <v>13.8</v>
          </cell>
          <cell r="G74" t="str">
            <v>industrial</v>
          </cell>
          <cell r="H74" t="str">
            <v>Conucos 115 kV</v>
          </cell>
          <cell r="I74" t="str">
            <v>Sí</v>
          </cell>
        </row>
        <row r="75">
          <cell r="D75" t="str">
            <v>21 501</v>
          </cell>
          <cell r="E75" t="str">
            <v>Hamacas 13.8</v>
          </cell>
          <cell r="F75">
            <v>13.8</v>
          </cell>
          <cell r="G75" t="str">
            <v>residencial</v>
          </cell>
          <cell r="H75" t="str">
            <v>Palos 115 kV</v>
          </cell>
          <cell r="I75" t="str">
            <v>Sí</v>
          </cell>
        </row>
        <row r="76">
          <cell r="D76" t="str">
            <v>21 502</v>
          </cell>
          <cell r="E76" t="str">
            <v>Hamacas 13.8</v>
          </cell>
          <cell r="F76">
            <v>13.8</v>
          </cell>
          <cell r="G76" t="str">
            <v>residencial</v>
          </cell>
          <cell r="H76" t="str">
            <v>Palos 115 kV</v>
          </cell>
          <cell r="I76" t="str">
            <v>Sí</v>
          </cell>
        </row>
        <row r="77">
          <cell r="D77" t="str">
            <v>22 501</v>
          </cell>
          <cell r="E77" t="str">
            <v>Palos 13.8</v>
          </cell>
          <cell r="F77">
            <v>13.8</v>
          </cell>
          <cell r="G77" t="str">
            <v>residencial</v>
          </cell>
          <cell r="H77" t="str">
            <v>Palos 115 kV</v>
          </cell>
          <cell r="I77" t="str">
            <v>Sí</v>
          </cell>
        </row>
        <row r="78">
          <cell r="D78" t="str">
            <v>22 502</v>
          </cell>
          <cell r="E78" t="str">
            <v>Palos 13.8</v>
          </cell>
          <cell r="F78">
            <v>13.8</v>
          </cell>
          <cell r="G78" t="str">
            <v>residencial</v>
          </cell>
          <cell r="H78" t="str">
            <v>Palos 115 kV</v>
          </cell>
          <cell r="I78" t="str">
            <v>Sí</v>
          </cell>
        </row>
        <row r="79">
          <cell r="D79" t="str">
            <v>22 503</v>
          </cell>
          <cell r="E79" t="str">
            <v>Palos 13.8</v>
          </cell>
          <cell r="F79">
            <v>13.8</v>
          </cell>
          <cell r="G79" t="str">
            <v>residencial</v>
          </cell>
          <cell r="H79" t="str">
            <v>Palos 115 kV</v>
          </cell>
          <cell r="I79" t="str">
            <v>Sí</v>
          </cell>
        </row>
        <row r="80">
          <cell r="D80" t="str">
            <v>22 504</v>
          </cell>
          <cell r="E80" t="str">
            <v>Palos 13.8</v>
          </cell>
          <cell r="F80">
            <v>13.8</v>
          </cell>
          <cell r="G80" t="str">
            <v>residencial</v>
          </cell>
          <cell r="H80" t="str">
            <v>Palos 115 kV</v>
          </cell>
          <cell r="I80" t="str">
            <v>Sí</v>
          </cell>
        </row>
        <row r="81">
          <cell r="D81" t="str">
            <v>24 501</v>
          </cell>
          <cell r="E81" t="str">
            <v>PalenqueT2 13.8</v>
          </cell>
          <cell r="F81">
            <v>13.8</v>
          </cell>
          <cell r="G81" t="str">
            <v>residencial</v>
          </cell>
          <cell r="H81" t="str">
            <v>Palenque 115 kV</v>
          </cell>
          <cell r="I81" t="str">
            <v>Sí</v>
          </cell>
        </row>
        <row r="82">
          <cell r="D82" t="str">
            <v>24 502</v>
          </cell>
          <cell r="E82" t="str">
            <v>PalenqueT2 13.8</v>
          </cell>
          <cell r="F82">
            <v>13.8</v>
          </cell>
          <cell r="G82" t="str">
            <v>industrial</v>
          </cell>
          <cell r="H82" t="str">
            <v>Palenque 115 kV</v>
          </cell>
          <cell r="I82" t="str">
            <v>Sí</v>
          </cell>
        </row>
        <row r="83">
          <cell r="D83" t="str">
            <v>24 503</v>
          </cell>
          <cell r="E83" t="str">
            <v>PalenqueT2 13.8</v>
          </cell>
          <cell r="F83">
            <v>13.8</v>
          </cell>
          <cell r="G83" t="str">
            <v>industrial</v>
          </cell>
          <cell r="H83" t="str">
            <v>Palenque 115 kV</v>
          </cell>
          <cell r="I83" t="str">
            <v>Sí</v>
          </cell>
        </row>
        <row r="84">
          <cell r="D84" t="str">
            <v>24 504</v>
          </cell>
          <cell r="E84" t="str">
            <v>Palenque 7 13.8</v>
          </cell>
          <cell r="F84">
            <v>13.8</v>
          </cell>
          <cell r="G84" t="str">
            <v>residencial</v>
          </cell>
          <cell r="H84" t="str">
            <v>Palenque 115 kV</v>
          </cell>
          <cell r="I84" t="str">
            <v>Sí</v>
          </cell>
        </row>
        <row r="85">
          <cell r="D85" t="str">
            <v>24 505</v>
          </cell>
          <cell r="E85" t="str">
            <v>Palenque 7 13.8</v>
          </cell>
          <cell r="F85">
            <v>13.8</v>
          </cell>
          <cell r="G85" t="str">
            <v>industrial</v>
          </cell>
          <cell r="H85" t="str">
            <v>Palenque 115 kV</v>
          </cell>
          <cell r="I85" t="str">
            <v>Sí</v>
          </cell>
        </row>
        <row r="86">
          <cell r="D86" t="str">
            <v>25 501</v>
          </cell>
          <cell r="E86" t="str">
            <v>California 13.8</v>
          </cell>
          <cell r="F86">
            <v>13.8</v>
          </cell>
          <cell r="G86" t="str">
            <v>residencial</v>
          </cell>
          <cell r="H86" t="str">
            <v>Palos 115 kV</v>
          </cell>
          <cell r="I86" t="str">
            <v>Sí</v>
          </cell>
        </row>
        <row r="87">
          <cell r="D87" t="str">
            <v>25 502</v>
          </cell>
          <cell r="E87" t="str">
            <v>California 13.8</v>
          </cell>
          <cell r="F87">
            <v>13.8</v>
          </cell>
          <cell r="G87" t="str">
            <v>residencial</v>
          </cell>
          <cell r="H87" t="str">
            <v>Palos 115 kV</v>
          </cell>
          <cell r="I87" t="str">
            <v>Sí</v>
          </cell>
        </row>
        <row r="88">
          <cell r="D88" t="str">
            <v>25 503</v>
          </cell>
          <cell r="E88" t="str">
            <v>California 13.8</v>
          </cell>
          <cell r="F88">
            <v>13.8</v>
          </cell>
          <cell r="G88" t="str">
            <v>residencial</v>
          </cell>
          <cell r="H88" t="str">
            <v>Palos 115 kV</v>
          </cell>
          <cell r="I88" t="str">
            <v>Sí</v>
          </cell>
        </row>
        <row r="89">
          <cell r="D89" t="str">
            <v>26 501</v>
          </cell>
          <cell r="E89" t="str">
            <v>Principal 2 13.8</v>
          </cell>
          <cell r="F89">
            <v>13.8</v>
          </cell>
          <cell r="G89" t="str">
            <v>industrial</v>
          </cell>
          <cell r="H89" t="str">
            <v>Principal 115 kV</v>
          </cell>
          <cell r="I89" t="str">
            <v>Sí</v>
          </cell>
        </row>
        <row r="90">
          <cell r="D90" t="str">
            <v>26 502</v>
          </cell>
          <cell r="E90" t="str">
            <v>Principal 2 13.8</v>
          </cell>
          <cell r="F90">
            <v>13.8</v>
          </cell>
          <cell r="G90" t="str">
            <v>residencial</v>
          </cell>
          <cell r="H90" t="str">
            <v>Principal 115 kV</v>
          </cell>
          <cell r="I90" t="str">
            <v>Sí</v>
          </cell>
        </row>
        <row r="91">
          <cell r="D91" t="str">
            <v>26 503</v>
          </cell>
          <cell r="E91" t="str">
            <v>Principal 2 13.8</v>
          </cell>
          <cell r="F91">
            <v>13.8</v>
          </cell>
          <cell r="G91" t="str">
            <v>residencial</v>
          </cell>
          <cell r="H91" t="str">
            <v>Principal 115 kV</v>
          </cell>
          <cell r="I91" t="str">
            <v>Sí</v>
          </cell>
        </row>
        <row r="92">
          <cell r="D92" t="str">
            <v>26 504</v>
          </cell>
          <cell r="E92" t="str">
            <v>Principal 13.8kV</v>
          </cell>
          <cell r="F92">
            <v>13.8</v>
          </cell>
          <cell r="G92" t="str">
            <v>industrial</v>
          </cell>
          <cell r="H92" t="str">
            <v>Principal 115 kV</v>
          </cell>
          <cell r="I92" t="str">
            <v>Sí</v>
          </cell>
        </row>
        <row r="93">
          <cell r="D93" t="str">
            <v>26 505</v>
          </cell>
          <cell r="E93" t="str">
            <v>Principal 13.8kV</v>
          </cell>
          <cell r="F93">
            <v>13.8</v>
          </cell>
          <cell r="G93" t="str">
            <v>residencial</v>
          </cell>
          <cell r="H93" t="str">
            <v>Principal 115 kV</v>
          </cell>
          <cell r="I93" t="str">
            <v>Sí</v>
          </cell>
        </row>
        <row r="94">
          <cell r="D94" t="str">
            <v>26 506</v>
          </cell>
          <cell r="E94" t="str">
            <v>Principal 2 13.8</v>
          </cell>
          <cell r="F94">
            <v>13.8</v>
          </cell>
          <cell r="G94" t="str">
            <v>residencial</v>
          </cell>
          <cell r="H94" t="str">
            <v>Principal 115 kV</v>
          </cell>
          <cell r="I94" t="str">
            <v>Sí</v>
          </cell>
        </row>
        <row r="95">
          <cell r="D95" t="str">
            <v>26 507</v>
          </cell>
          <cell r="E95" t="str">
            <v>Principal 13.8kV</v>
          </cell>
          <cell r="F95">
            <v>13.8</v>
          </cell>
          <cell r="G95" t="str">
            <v>residencial</v>
          </cell>
          <cell r="H95" t="str">
            <v>Principal 115 kV</v>
          </cell>
          <cell r="I95" t="str">
            <v>Sí</v>
          </cell>
        </row>
        <row r="96">
          <cell r="D96" t="str">
            <v>26 508</v>
          </cell>
          <cell r="E96" t="str">
            <v>Principal 13.8kV</v>
          </cell>
          <cell r="F96">
            <v>13.8</v>
          </cell>
          <cell r="G96" t="str">
            <v>residencial</v>
          </cell>
          <cell r="H96" t="str">
            <v>Principal 115 kV</v>
          </cell>
          <cell r="I96" t="str">
            <v>Sí</v>
          </cell>
        </row>
        <row r="97">
          <cell r="D97" t="str">
            <v>26 509</v>
          </cell>
          <cell r="E97" t="str">
            <v>Principal 2 13.8</v>
          </cell>
          <cell r="F97">
            <v>13.8</v>
          </cell>
          <cell r="G97" t="str">
            <v>residencial</v>
          </cell>
          <cell r="H97" t="str">
            <v>Principal 115 kV</v>
          </cell>
          <cell r="I97" t="str">
            <v>Sí</v>
          </cell>
        </row>
        <row r="98">
          <cell r="D98" t="str">
            <v>26 510</v>
          </cell>
          <cell r="E98" t="str">
            <v>Principal 13.8kV</v>
          </cell>
          <cell r="F98">
            <v>13.8</v>
          </cell>
          <cell r="G98" t="str">
            <v>residencial</v>
          </cell>
          <cell r="H98" t="str">
            <v>Principal 115 kV</v>
          </cell>
          <cell r="I98" t="str">
            <v>Sí</v>
          </cell>
        </row>
        <row r="99">
          <cell r="D99" t="str">
            <v>27 601</v>
          </cell>
          <cell r="E99" t="str">
            <v>Matanza 11.4</v>
          </cell>
          <cell r="F99">
            <v>11.4</v>
          </cell>
          <cell r="G99" t="str">
            <v>residencial</v>
          </cell>
          <cell r="H99" t="str">
            <v>Palos 115 kV</v>
          </cell>
          <cell r="I99" t="str">
            <v>Sí</v>
          </cell>
        </row>
        <row r="100">
          <cell r="D100" t="str">
            <v>27 603</v>
          </cell>
          <cell r="E100" t="str">
            <v>Matanza 11.4</v>
          </cell>
          <cell r="F100">
            <v>11.4</v>
          </cell>
          <cell r="G100" t="str">
            <v>residencial</v>
          </cell>
          <cell r="H100" t="str">
            <v>Palos 115 kV</v>
          </cell>
          <cell r="I100" t="str">
            <v>Sí</v>
          </cell>
        </row>
        <row r="101">
          <cell r="D101" t="str">
            <v>28 501</v>
          </cell>
          <cell r="E101" t="str">
            <v>Sur 1 13.8</v>
          </cell>
          <cell r="F101">
            <v>13.8</v>
          </cell>
          <cell r="G101" t="str">
            <v>industrial</v>
          </cell>
          <cell r="H101" t="str">
            <v>Palenque 115 kV
Real de Minas 115 kV</v>
          </cell>
          <cell r="I101" t="str">
            <v>Sí</v>
          </cell>
        </row>
        <row r="102">
          <cell r="D102" t="str">
            <v>28 502</v>
          </cell>
          <cell r="E102" t="str">
            <v>Sur 1 13.8</v>
          </cell>
          <cell r="F102">
            <v>13.8</v>
          </cell>
          <cell r="G102" t="str">
            <v>industrial</v>
          </cell>
          <cell r="H102" t="str">
            <v>Palenque 115 kV
Real de Minas 115 kV</v>
          </cell>
          <cell r="I102" t="str">
            <v>Sí</v>
          </cell>
        </row>
        <row r="103">
          <cell r="D103" t="str">
            <v>28 503</v>
          </cell>
          <cell r="E103" t="str">
            <v>Sur 1 13.8</v>
          </cell>
          <cell r="F103">
            <v>13.8</v>
          </cell>
          <cell r="G103" t="str">
            <v>residencial</v>
          </cell>
          <cell r="H103" t="str">
            <v>Palenque 115 kV
Real de Minas 115 kV</v>
          </cell>
          <cell r="I103" t="str">
            <v>Sí</v>
          </cell>
        </row>
        <row r="104">
          <cell r="D104" t="str">
            <v>28 504</v>
          </cell>
          <cell r="E104" t="str">
            <v>Sur 1 13.8</v>
          </cell>
          <cell r="F104">
            <v>13.8</v>
          </cell>
          <cell r="G104" t="str">
            <v>residencial</v>
          </cell>
          <cell r="H104" t="str">
            <v>Palenque 115 kV
Real de Minas 115 kV</v>
          </cell>
          <cell r="I104" t="str">
            <v>Sí</v>
          </cell>
        </row>
        <row r="105">
          <cell r="D105" t="str">
            <v>28 505</v>
          </cell>
          <cell r="E105" t="str">
            <v>Sur 2 13.8</v>
          </cell>
          <cell r="F105">
            <v>13.8</v>
          </cell>
          <cell r="G105" t="str">
            <v>residencial</v>
          </cell>
          <cell r="H105" t="str">
            <v>Palenque 115 kV
Real de Minas 115 kV</v>
          </cell>
          <cell r="I105" t="str">
            <v>Sí</v>
          </cell>
        </row>
        <row r="106">
          <cell r="D106" t="str">
            <v>28 506</v>
          </cell>
          <cell r="E106" t="str">
            <v>Sur 2 13.8</v>
          </cell>
          <cell r="F106">
            <v>13.8</v>
          </cell>
          <cell r="G106" t="str">
            <v>industrial</v>
          </cell>
          <cell r="H106" t="str">
            <v>Palenque 115 kV
Real de Minas 115 kV</v>
          </cell>
          <cell r="I106" t="str">
            <v>Sí</v>
          </cell>
        </row>
        <row r="107">
          <cell r="D107" t="str">
            <v>28 507</v>
          </cell>
          <cell r="E107" t="str">
            <v>Sur 2 13.8</v>
          </cell>
          <cell r="F107">
            <v>13.8</v>
          </cell>
          <cell r="G107" t="str">
            <v>residencial</v>
          </cell>
          <cell r="H107" t="str">
            <v>Palenque 115 kV
Real de Minas 115 kV</v>
          </cell>
          <cell r="I107" t="str">
            <v>Sí</v>
          </cell>
        </row>
        <row r="108">
          <cell r="D108" t="str">
            <v>28 508</v>
          </cell>
          <cell r="E108" t="str">
            <v>Sur 2 13.8</v>
          </cell>
          <cell r="F108">
            <v>13.8</v>
          </cell>
          <cell r="G108" t="str">
            <v>industrial</v>
          </cell>
          <cell r="H108" t="str">
            <v>Palenque 115 kV
Real de Minas 115 kV</v>
          </cell>
          <cell r="I108" t="str">
            <v>Sí</v>
          </cell>
        </row>
        <row r="109">
          <cell r="D109" t="str">
            <v>28 509</v>
          </cell>
          <cell r="E109" t="str">
            <v>Sur 2 13.8</v>
          </cell>
          <cell r="F109">
            <v>13.8</v>
          </cell>
          <cell r="G109" t="str">
            <v>industrial</v>
          </cell>
          <cell r="H109" t="str">
            <v>Palenque 115 kV
Real de Minas 115 kV</v>
          </cell>
          <cell r="I109" t="str">
            <v>Sí</v>
          </cell>
        </row>
        <row r="110">
          <cell r="D110" t="str">
            <v>28 510</v>
          </cell>
          <cell r="E110" t="str">
            <v>Sur 2 13.8</v>
          </cell>
          <cell r="F110">
            <v>13.8</v>
          </cell>
          <cell r="G110" t="str">
            <v>residencial</v>
          </cell>
          <cell r="H110" t="str">
            <v>Palenque 115 kV
Real de Minas 115 kV</v>
          </cell>
          <cell r="I110" t="str">
            <v>Sí</v>
          </cell>
        </row>
        <row r="111">
          <cell r="D111" t="str">
            <v>29 501</v>
          </cell>
          <cell r="E111" t="str">
            <v>San Marcos 13.8</v>
          </cell>
          <cell r="F111">
            <v>13.8</v>
          </cell>
          <cell r="G111" t="str">
            <v>residencial</v>
          </cell>
          <cell r="H111" t="str">
            <v>Piedecuesta 115 kV</v>
          </cell>
          <cell r="I111" t="str">
            <v>No</v>
          </cell>
          <cell r="J111">
            <v>46752</v>
          </cell>
        </row>
        <row r="112">
          <cell r="D112" t="str">
            <v>29 502</v>
          </cell>
          <cell r="E112" t="str">
            <v>San Marcos 13.8</v>
          </cell>
          <cell r="F112">
            <v>13.8</v>
          </cell>
          <cell r="G112" t="str">
            <v>residencial</v>
          </cell>
          <cell r="H112" t="str">
            <v>Piedecuesta 115 kV</v>
          </cell>
          <cell r="I112" t="str">
            <v>No</v>
          </cell>
          <cell r="J112">
            <v>46752</v>
          </cell>
        </row>
        <row r="113">
          <cell r="D113" t="str">
            <v>29 503</v>
          </cell>
          <cell r="E113" t="str">
            <v>San Marcos 13.8</v>
          </cell>
          <cell r="F113">
            <v>13.8</v>
          </cell>
          <cell r="G113" t="str">
            <v>residencial</v>
          </cell>
          <cell r="H113" t="str">
            <v>Piedecuesta 115 kV</v>
          </cell>
          <cell r="I113" t="str">
            <v>No</v>
          </cell>
          <cell r="J113">
            <v>46752</v>
          </cell>
        </row>
        <row r="114">
          <cell r="D114" t="str">
            <v>30 501</v>
          </cell>
          <cell r="E114" t="str">
            <v>Paseo del puente 13.8</v>
          </cell>
          <cell r="F114">
            <v>13.8</v>
          </cell>
          <cell r="G114" t="str">
            <v>residencial</v>
          </cell>
          <cell r="H114" t="str">
            <v>Piedecuesta 115 kV</v>
          </cell>
          <cell r="I114" t="str">
            <v>No</v>
          </cell>
          <cell r="J114">
            <v>46752</v>
          </cell>
        </row>
        <row r="115">
          <cell r="D115" t="str">
            <v>30 502</v>
          </cell>
          <cell r="E115" t="str">
            <v>Paseo del puente 13.8</v>
          </cell>
          <cell r="F115">
            <v>13.8</v>
          </cell>
          <cell r="G115" t="str">
            <v>residencial</v>
          </cell>
          <cell r="H115" t="str">
            <v>Piedecuesta 115 kV</v>
          </cell>
          <cell r="I115" t="str">
            <v>No</v>
          </cell>
          <cell r="J115">
            <v>46752</v>
          </cell>
        </row>
        <row r="116">
          <cell r="D116" t="str">
            <v>30 503</v>
          </cell>
          <cell r="E116" t="str">
            <v>Paseo del puente 13.8</v>
          </cell>
          <cell r="F116">
            <v>13.8</v>
          </cell>
          <cell r="G116" t="str">
            <v>residencial</v>
          </cell>
          <cell r="H116" t="str">
            <v>Piedecuesta 115 kV</v>
          </cell>
          <cell r="I116" t="str">
            <v>No</v>
          </cell>
          <cell r="J116">
            <v>46752</v>
          </cell>
        </row>
        <row r="117">
          <cell r="D117" t="str">
            <v>32 501</v>
          </cell>
          <cell r="E117" t="str">
            <v>LLano grande 13.8</v>
          </cell>
          <cell r="F117">
            <v>13.8</v>
          </cell>
          <cell r="G117" t="str">
            <v>residencial</v>
          </cell>
          <cell r="H117" t="str">
            <v>Palenque 115 kV
Real de Minas 115 kV</v>
          </cell>
          <cell r="I117" t="str">
            <v>Sí</v>
          </cell>
        </row>
        <row r="118">
          <cell r="D118" t="str">
            <v>32 502</v>
          </cell>
          <cell r="E118" t="str">
            <v>LLano grande 13.8</v>
          </cell>
          <cell r="F118">
            <v>13.8</v>
          </cell>
          <cell r="G118" t="str">
            <v>residencial</v>
          </cell>
          <cell r="H118" t="str">
            <v>Palenque 115 kV
Real de Minas 115 kV</v>
          </cell>
          <cell r="I118" t="str">
            <v>Sí</v>
          </cell>
        </row>
        <row r="119">
          <cell r="D119" t="str">
            <v>33 501</v>
          </cell>
          <cell r="E119" t="str">
            <v>Palmas 13.8</v>
          </cell>
          <cell r="F119">
            <v>13.8</v>
          </cell>
          <cell r="G119" t="str">
            <v>residencial</v>
          </cell>
          <cell r="H119" t="str">
            <v>Generacion palmas</v>
          </cell>
          <cell r="I119" t="str">
            <v>Sí</v>
          </cell>
        </row>
        <row r="120">
          <cell r="D120" t="str">
            <v>33 502</v>
          </cell>
          <cell r="E120" t="str">
            <v>Palmas 13.8</v>
          </cell>
          <cell r="F120">
            <v>13.8</v>
          </cell>
          <cell r="G120" t="str">
            <v>residencial</v>
          </cell>
          <cell r="H120" t="str">
            <v>Generacion palmas</v>
          </cell>
          <cell r="I120" t="str">
            <v>Sí</v>
          </cell>
        </row>
        <row r="121">
          <cell r="D121" t="str">
            <v>33 503</v>
          </cell>
          <cell r="E121" t="str">
            <v>Palmas 13.8</v>
          </cell>
          <cell r="F121">
            <v>13.8</v>
          </cell>
          <cell r="G121" t="str">
            <v>residencial</v>
          </cell>
          <cell r="H121" t="str">
            <v>Generacion palmas</v>
          </cell>
          <cell r="I121" t="str">
            <v>Sí</v>
          </cell>
        </row>
        <row r="122">
          <cell r="D122" t="str">
            <v>34 503</v>
          </cell>
          <cell r="E122" t="str">
            <v>Cabecera 13.8</v>
          </cell>
          <cell r="F122">
            <v>13.8</v>
          </cell>
          <cell r="G122" t="str">
            <v>residencial</v>
          </cell>
          <cell r="H122" t="str">
            <v>Piedecuesta 115 kV</v>
          </cell>
          <cell r="I122" t="str">
            <v>Sí</v>
          </cell>
        </row>
        <row r="123">
          <cell r="D123" t="str">
            <v>35 501</v>
          </cell>
          <cell r="E123" t="str">
            <v>Mesa 13.8</v>
          </cell>
          <cell r="F123">
            <v>13.8</v>
          </cell>
          <cell r="G123" t="str">
            <v>residencial</v>
          </cell>
          <cell r="H123" t="str">
            <v>Piedecuesta 115 kV</v>
          </cell>
          <cell r="I123" t="str">
            <v>Sí</v>
          </cell>
        </row>
        <row r="124">
          <cell r="D124" t="str">
            <v>35 502</v>
          </cell>
          <cell r="E124" t="str">
            <v>Mesa 13.8</v>
          </cell>
          <cell r="F124">
            <v>13.8</v>
          </cell>
          <cell r="G124" t="str">
            <v>residencial</v>
          </cell>
          <cell r="H124" t="str">
            <v>Piedecuesta 115 kV</v>
          </cell>
          <cell r="I124" t="str">
            <v>Sí</v>
          </cell>
        </row>
        <row r="125">
          <cell r="D125" t="str">
            <v>36 501</v>
          </cell>
          <cell r="E125" t="str">
            <v>Acuarela 13.8</v>
          </cell>
          <cell r="F125">
            <v>13.8</v>
          </cell>
          <cell r="G125" t="str">
            <v>residencial</v>
          </cell>
          <cell r="H125" t="str">
            <v>Piedecuesta 115 kV</v>
          </cell>
          <cell r="I125" t="str">
            <v>Sí</v>
          </cell>
        </row>
        <row r="126">
          <cell r="D126" t="str">
            <v>36 502</v>
          </cell>
          <cell r="E126" t="str">
            <v>Acuarela 13.8</v>
          </cell>
          <cell r="F126">
            <v>13.8</v>
          </cell>
          <cell r="G126" t="str">
            <v>residencial</v>
          </cell>
          <cell r="H126" t="str">
            <v>Piedecuesta 115 kV</v>
          </cell>
          <cell r="I126" t="str">
            <v>Sí</v>
          </cell>
        </row>
        <row r="127">
          <cell r="D127" t="str">
            <v>36 503</v>
          </cell>
          <cell r="E127" t="str">
            <v>Acuarela 13.8</v>
          </cell>
          <cell r="F127">
            <v>13.8</v>
          </cell>
          <cell r="G127" t="str">
            <v>residencial</v>
          </cell>
          <cell r="H127" t="str">
            <v>Piedecuesta 115 kV</v>
          </cell>
          <cell r="I127" t="str">
            <v>Sí</v>
          </cell>
        </row>
        <row r="128">
          <cell r="D128" t="str">
            <v>37 501</v>
          </cell>
          <cell r="E128" t="str">
            <v>San Cristobal 13.8</v>
          </cell>
          <cell r="F128">
            <v>13.8</v>
          </cell>
          <cell r="G128" t="str">
            <v>residencial</v>
          </cell>
          <cell r="H128" t="str">
            <v>Piedecuesta 115 kV</v>
          </cell>
          <cell r="I128" t="str">
            <v>Sí</v>
          </cell>
        </row>
        <row r="129">
          <cell r="D129" t="str">
            <v>37 502</v>
          </cell>
          <cell r="E129" t="str">
            <v>San Cristobal 13.8</v>
          </cell>
          <cell r="F129">
            <v>13.8</v>
          </cell>
          <cell r="G129" t="str">
            <v>residencial</v>
          </cell>
          <cell r="H129" t="str">
            <v>Piedecuesta 115 kV</v>
          </cell>
          <cell r="I129" t="str">
            <v>Sí</v>
          </cell>
        </row>
        <row r="130">
          <cell r="D130" t="str">
            <v>37 503</v>
          </cell>
          <cell r="E130" t="str">
            <v>San Cristobal 13.8</v>
          </cell>
          <cell r="F130">
            <v>13.8</v>
          </cell>
          <cell r="G130" t="str">
            <v>residencial</v>
          </cell>
          <cell r="H130" t="str">
            <v>Piedecuesta 115 kV</v>
          </cell>
          <cell r="I130" t="str">
            <v>Sí</v>
          </cell>
        </row>
        <row r="131">
          <cell r="D131" t="str">
            <v>37 504</v>
          </cell>
          <cell r="E131" t="str">
            <v>San Cristobal 13.8</v>
          </cell>
          <cell r="F131">
            <v>13.8</v>
          </cell>
          <cell r="G131" t="str">
            <v>residencial</v>
          </cell>
          <cell r="H131" t="str">
            <v>Piedecuesta 115 kV</v>
          </cell>
          <cell r="I131" t="str">
            <v>Sí</v>
          </cell>
        </row>
        <row r="132">
          <cell r="D132" t="str">
            <v>38 502</v>
          </cell>
          <cell r="E132" t="str">
            <v>Chicamocha 13.8</v>
          </cell>
          <cell r="F132">
            <v>13.8</v>
          </cell>
          <cell r="G132" t="str">
            <v>residencial</v>
          </cell>
          <cell r="H132" t="str">
            <v>Piedecuesta 115 kV</v>
          </cell>
          <cell r="I132" t="str">
            <v>Sí</v>
          </cell>
        </row>
        <row r="133">
          <cell r="D133" t="str">
            <v>39 501</v>
          </cell>
          <cell r="E133" t="str">
            <v>Lebrija 2 13.8</v>
          </cell>
          <cell r="F133">
            <v>13.8</v>
          </cell>
          <cell r="G133" t="str">
            <v>residencial</v>
          </cell>
          <cell r="H133" t="str">
            <v>Palenque 115 kV</v>
          </cell>
          <cell r="I133" t="str">
            <v>Sí</v>
          </cell>
        </row>
        <row r="134">
          <cell r="D134" t="str">
            <v>39 502</v>
          </cell>
          <cell r="E134" t="str">
            <v>Lebrija 1 13.8</v>
          </cell>
          <cell r="F134">
            <v>13.8</v>
          </cell>
          <cell r="G134" t="str">
            <v>residencial</v>
          </cell>
          <cell r="H134" t="str">
            <v>Palenque 115 kV</v>
          </cell>
          <cell r="I134" t="str">
            <v>Sí</v>
          </cell>
        </row>
        <row r="135">
          <cell r="D135" t="str">
            <v>39 503</v>
          </cell>
          <cell r="E135" t="str">
            <v>Lebrija 1 13.8</v>
          </cell>
          <cell r="F135">
            <v>13.8</v>
          </cell>
          <cell r="G135" t="str">
            <v>industrial</v>
          </cell>
          <cell r="H135" t="str">
            <v>Palenque 115 kV</v>
          </cell>
          <cell r="I135" t="str">
            <v>Sí</v>
          </cell>
        </row>
        <row r="136">
          <cell r="D136" t="str">
            <v>41 501</v>
          </cell>
          <cell r="E136" t="str">
            <v>Granja 13.8</v>
          </cell>
          <cell r="F136">
            <v>13.8</v>
          </cell>
          <cell r="G136" t="str">
            <v>residencial</v>
          </cell>
          <cell r="H136" t="str">
            <v>Florida 115 kV
Piedecuesta 115 kV</v>
          </cell>
          <cell r="I136" t="str">
            <v>Sí</v>
          </cell>
        </row>
        <row r="137">
          <cell r="D137" t="str">
            <v>41 502</v>
          </cell>
          <cell r="E137" t="str">
            <v>Granja 13.8</v>
          </cell>
          <cell r="F137">
            <v>13.8</v>
          </cell>
          <cell r="G137" t="str">
            <v>residencial</v>
          </cell>
          <cell r="H137" t="str">
            <v>Florida 115 kV
Piedecuesta 115 kV</v>
          </cell>
          <cell r="I137" t="str">
            <v>Sí</v>
          </cell>
        </row>
        <row r="138">
          <cell r="D138" t="str">
            <v>41 503</v>
          </cell>
          <cell r="E138" t="str">
            <v>Granja 13.8</v>
          </cell>
          <cell r="F138">
            <v>13.8</v>
          </cell>
          <cell r="G138" t="str">
            <v>residencial</v>
          </cell>
          <cell r="H138" t="str">
            <v>Florida 115 kV
Piedecuesta 115 kV</v>
          </cell>
          <cell r="I138" t="str">
            <v>Sí</v>
          </cell>
        </row>
        <row r="139">
          <cell r="D139" t="str">
            <v>41 504</v>
          </cell>
          <cell r="E139" t="str">
            <v>Granja 13.8</v>
          </cell>
          <cell r="F139">
            <v>13.8</v>
          </cell>
          <cell r="G139" t="str">
            <v>Industrial</v>
          </cell>
          <cell r="H139" t="str">
            <v>Florida 115 kV
Piedecuesta 115 kV</v>
          </cell>
          <cell r="I139" t="str">
            <v>Sí</v>
          </cell>
        </row>
        <row r="140">
          <cell r="D140" t="str">
            <v>41 505</v>
          </cell>
          <cell r="E140" t="str">
            <v>Granja 13.8</v>
          </cell>
          <cell r="F140">
            <v>13.8</v>
          </cell>
          <cell r="G140" t="str">
            <v>residencial</v>
          </cell>
          <cell r="H140" t="str">
            <v>Florida 115 kV
Piedecuesta 115 kV</v>
          </cell>
          <cell r="I140" t="str">
            <v>Sí</v>
          </cell>
        </row>
        <row r="141">
          <cell r="D141" t="str">
            <v>42 501</v>
          </cell>
          <cell r="E141" t="str">
            <v>Florida 13.8</v>
          </cell>
          <cell r="F141">
            <v>13.8</v>
          </cell>
          <cell r="G141" t="str">
            <v>residencial</v>
          </cell>
          <cell r="H141" t="str">
            <v>Florida 115 kV</v>
          </cell>
          <cell r="I141" t="str">
            <v>Sí</v>
          </cell>
        </row>
        <row r="142">
          <cell r="D142" t="str">
            <v>42 502</v>
          </cell>
          <cell r="E142" t="str">
            <v>Florida 13.8</v>
          </cell>
          <cell r="F142">
            <v>13.8</v>
          </cell>
          <cell r="G142" t="str">
            <v>residencial</v>
          </cell>
          <cell r="H142" t="str">
            <v>Florida 115 kV</v>
          </cell>
          <cell r="I142" t="str">
            <v>Sí</v>
          </cell>
        </row>
        <row r="143">
          <cell r="D143" t="str">
            <v>42 503</v>
          </cell>
          <cell r="E143" t="str">
            <v>Florida 13.8</v>
          </cell>
          <cell r="F143">
            <v>13.8</v>
          </cell>
          <cell r="G143" t="str">
            <v>residencial</v>
          </cell>
          <cell r="H143" t="str">
            <v>Florida 115 kV</v>
          </cell>
          <cell r="I143" t="str">
            <v>Sí</v>
          </cell>
        </row>
        <row r="144">
          <cell r="D144" t="str">
            <v>42 504</v>
          </cell>
          <cell r="E144" t="str">
            <v>Florida 13.8</v>
          </cell>
          <cell r="F144">
            <v>13.8</v>
          </cell>
          <cell r="G144" t="str">
            <v>residencial</v>
          </cell>
          <cell r="H144" t="str">
            <v>Florida 115 kV</v>
          </cell>
          <cell r="I144" t="str">
            <v>Sí</v>
          </cell>
        </row>
        <row r="145">
          <cell r="D145" t="str">
            <v>45 501</v>
          </cell>
          <cell r="E145" t="str">
            <v>Cafe Corriendo 13.8</v>
          </cell>
          <cell r="F145">
            <v>13.8</v>
          </cell>
          <cell r="G145" t="str">
            <v>residencial</v>
          </cell>
          <cell r="H145" t="str">
            <v>San Alberto 115 kV</v>
          </cell>
          <cell r="I145" t="str">
            <v>Sí</v>
          </cell>
        </row>
        <row r="146">
          <cell r="D146" t="str">
            <v>47 501</v>
          </cell>
          <cell r="E146" t="str">
            <v>Rionegro 13.8</v>
          </cell>
          <cell r="F146">
            <v>13.8</v>
          </cell>
          <cell r="G146" t="str">
            <v>residencial</v>
          </cell>
          <cell r="H146" t="str">
            <v>Palos 115 kV</v>
          </cell>
          <cell r="I146" t="str">
            <v>Sí</v>
          </cell>
        </row>
        <row r="147">
          <cell r="D147" t="str">
            <v>47 502</v>
          </cell>
          <cell r="E147" t="str">
            <v>Rionegro 13.8</v>
          </cell>
          <cell r="F147">
            <v>13.8</v>
          </cell>
          <cell r="G147" t="str">
            <v>residencial</v>
          </cell>
          <cell r="H147" t="str">
            <v>Palos 115 kV</v>
          </cell>
          <cell r="I147" t="str">
            <v>Sí</v>
          </cell>
        </row>
        <row r="148">
          <cell r="D148" t="str">
            <v>47 503</v>
          </cell>
          <cell r="E148" t="str">
            <v>Rionegro 13.8</v>
          </cell>
          <cell r="F148">
            <v>13.8</v>
          </cell>
          <cell r="G148" t="str">
            <v>residencial</v>
          </cell>
          <cell r="H148" t="str">
            <v>Palos 115 kV</v>
          </cell>
          <cell r="I148" t="str">
            <v>Sí</v>
          </cell>
        </row>
        <row r="149">
          <cell r="D149" t="str">
            <v>48 501</v>
          </cell>
          <cell r="E149" t="str">
            <v>Trincheras 13.8</v>
          </cell>
          <cell r="F149">
            <v>13.8</v>
          </cell>
          <cell r="G149" t="str">
            <v>residencial</v>
          </cell>
          <cell r="H149" t="str">
            <v>Palos 115 kV</v>
          </cell>
          <cell r="I149" t="str">
            <v>Sí</v>
          </cell>
        </row>
        <row r="150">
          <cell r="D150" t="str">
            <v>48 502</v>
          </cell>
          <cell r="E150" t="str">
            <v>Trincheras 13.8</v>
          </cell>
          <cell r="F150">
            <v>13.8</v>
          </cell>
          <cell r="G150" t="str">
            <v>residencial</v>
          </cell>
          <cell r="H150" t="str">
            <v>Palos 115 kV</v>
          </cell>
          <cell r="I150" t="str">
            <v>Sí</v>
          </cell>
        </row>
        <row r="151">
          <cell r="D151" t="str">
            <v>48 503</v>
          </cell>
          <cell r="E151" t="str">
            <v>Trincheras 13.8</v>
          </cell>
          <cell r="F151">
            <v>13.8</v>
          </cell>
          <cell r="G151" t="str">
            <v>residencial</v>
          </cell>
          <cell r="H151" t="str">
            <v>Palos 115 kV</v>
          </cell>
          <cell r="I151" t="str">
            <v>Sí</v>
          </cell>
        </row>
        <row r="152">
          <cell r="D152" t="str">
            <v>48 504</v>
          </cell>
          <cell r="E152" t="str">
            <v>Trincheras 13.8</v>
          </cell>
          <cell r="F152">
            <v>13.8</v>
          </cell>
          <cell r="G152" t="str">
            <v>residencial</v>
          </cell>
          <cell r="H152" t="str">
            <v>Palos 115 kV</v>
          </cell>
          <cell r="I152" t="str">
            <v>Sí</v>
          </cell>
        </row>
        <row r="153">
          <cell r="D153" t="str">
            <v>49 501</v>
          </cell>
          <cell r="E153" t="str">
            <v>Laguna 13.8</v>
          </cell>
          <cell r="F153">
            <v>13.8</v>
          </cell>
          <cell r="G153" t="str">
            <v>residencial</v>
          </cell>
          <cell r="H153" t="str">
            <v>Palos 115 kV</v>
          </cell>
          <cell r="I153" t="str">
            <v>Sí</v>
          </cell>
        </row>
        <row r="154">
          <cell r="D154" t="str">
            <v>50 501</v>
          </cell>
          <cell r="E154" t="str">
            <v>Zapatoca 13.8</v>
          </cell>
          <cell r="F154">
            <v>13.8</v>
          </cell>
          <cell r="G154" t="str">
            <v>residencial</v>
          </cell>
          <cell r="H154" t="str">
            <v>Palenque 115 kV
Real de Minas 115 kV</v>
          </cell>
          <cell r="I154" t="str">
            <v>Sí</v>
          </cell>
        </row>
        <row r="155">
          <cell r="D155" t="str">
            <v>50 502</v>
          </cell>
          <cell r="E155" t="str">
            <v>Zapatoca 13.8</v>
          </cell>
          <cell r="F155">
            <v>13.8</v>
          </cell>
          <cell r="G155" t="str">
            <v>residencial</v>
          </cell>
          <cell r="H155" t="str">
            <v>Palenque 115 kV
Real de Minas 115 kV</v>
          </cell>
          <cell r="I155" t="str">
            <v>Sí</v>
          </cell>
        </row>
        <row r="156">
          <cell r="D156" t="str">
            <v>52 501</v>
          </cell>
          <cell r="E156" t="str">
            <v>Cuchilla del Ramo 13.8</v>
          </cell>
          <cell r="F156">
            <v>13.8</v>
          </cell>
          <cell r="G156" t="str">
            <v>residencial</v>
          </cell>
          <cell r="H156" t="str">
            <v>Palenque 115 kV
Real de Minas 115 kV</v>
          </cell>
          <cell r="I156" t="str">
            <v>Sí</v>
          </cell>
        </row>
        <row r="157">
          <cell r="D157" t="str">
            <v>53 501</v>
          </cell>
          <cell r="E157" t="str">
            <v>San Rafael 13.8</v>
          </cell>
          <cell r="F157">
            <v>13.8</v>
          </cell>
          <cell r="G157" t="str">
            <v>residencial</v>
          </cell>
          <cell r="H157" t="str">
            <v>Sabana de Torres 115 kV</v>
          </cell>
          <cell r="I157" t="str">
            <v>Sí</v>
          </cell>
        </row>
        <row r="158">
          <cell r="D158" t="str">
            <v>53 502</v>
          </cell>
          <cell r="E158" t="str">
            <v>San Rafael 13.8</v>
          </cell>
          <cell r="F158">
            <v>13.8</v>
          </cell>
          <cell r="G158" t="str">
            <v>residencial</v>
          </cell>
          <cell r="H158" t="str">
            <v>Sabana de Torres 115 kV</v>
          </cell>
          <cell r="I158" t="str">
            <v>Sí</v>
          </cell>
        </row>
        <row r="159">
          <cell r="D159" t="str">
            <v>53 503</v>
          </cell>
          <cell r="E159" t="str">
            <v>San Rafael 13.8</v>
          </cell>
          <cell r="F159">
            <v>13.8</v>
          </cell>
          <cell r="G159" t="str">
            <v>industrial</v>
          </cell>
          <cell r="H159" t="str">
            <v>Sabana de Torres 115 kV</v>
          </cell>
          <cell r="I159" t="str">
            <v>Sí</v>
          </cell>
        </row>
        <row r="160">
          <cell r="D160" t="str">
            <v>54 501</v>
          </cell>
          <cell r="E160" t="str">
            <v>Vijagual 13.8</v>
          </cell>
          <cell r="F160">
            <v>13.8</v>
          </cell>
          <cell r="G160" t="str">
            <v>residencial</v>
          </cell>
          <cell r="H160" t="str">
            <v>San Alberto 115 kV</v>
          </cell>
          <cell r="I160" t="str">
            <v>Sí</v>
          </cell>
        </row>
        <row r="161">
          <cell r="D161" t="str">
            <v>55 501</v>
          </cell>
          <cell r="E161" t="str">
            <v>San Alberto 13.8</v>
          </cell>
          <cell r="F161">
            <v>13.8</v>
          </cell>
          <cell r="G161" t="str">
            <v>residencial</v>
          </cell>
          <cell r="H161" t="str">
            <v>San Alberto 115 kV</v>
          </cell>
          <cell r="I161" t="str">
            <v>Sí</v>
          </cell>
        </row>
        <row r="162">
          <cell r="D162" t="str">
            <v>55 502</v>
          </cell>
          <cell r="E162" t="str">
            <v>San Alberto 13.8</v>
          </cell>
          <cell r="F162">
            <v>13.8</v>
          </cell>
          <cell r="G162" t="str">
            <v>residencial</v>
          </cell>
          <cell r="H162" t="str">
            <v>San Alberto 115 kV</v>
          </cell>
          <cell r="I162" t="str">
            <v>Sí</v>
          </cell>
        </row>
        <row r="163">
          <cell r="D163" t="str">
            <v>55 503</v>
          </cell>
          <cell r="E163" t="str">
            <v>San Alberto 13.8</v>
          </cell>
          <cell r="F163">
            <v>13.8</v>
          </cell>
          <cell r="G163" t="str">
            <v>residencial</v>
          </cell>
          <cell r="H163" t="str">
            <v>San Alberto 115 kV</v>
          </cell>
          <cell r="I163" t="str">
            <v>Sí</v>
          </cell>
        </row>
        <row r="164">
          <cell r="D164" t="str">
            <v>55 504</v>
          </cell>
          <cell r="E164" t="str">
            <v>San Alberto 13.8</v>
          </cell>
          <cell r="F164">
            <v>13.8</v>
          </cell>
          <cell r="G164" t="str">
            <v>residencial</v>
          </cell>
          <cell r="H164" t="str">
            <v>San Alberto 115 kV</v>
          </cell>
          <cell r="I164" t="str">
            <v>Sí</v>
          </cell>
        </row>
        <row r="165">
          <cell r="D165" t="str">
            <v>56 501</v>
          </cell>
          <cell r="E165" t="str">
            <v>San Martin 13.8</v>
          </cell>
          <cell r="F165">
            <v>13.8</v>
          </cell>
          <cell r="G165" t="str">
            <v>residencial</v>
          </cell>
          <cell r="H165" t="str">
            <v>San Alberto 115 kV</v>
          </cell>
          <cell r="I165" t="str">
            <v>Sí</v>
          </cell>
        </row>
        <row r="166">
          <cell r="D166" t="str">
            <v>56 502</v>
          </cell>
          <cell r="E166" t="str">
            <v>San Martin 13.8</v>
          </cell>
          <cell r="F166">
            <v>13.8</v>
          </cell>
          <cell r="G166" t="str">
            <v>residencial</v>
          </cell>
          <cell r="H166" t="str">
            <v>San Alberto 115 kV</v>
          </cell>
          <cell r="I166" t="str">
            <v>Sí</v>
          </cell>
        </row>
        <row r="167">
          <cell r="D167" t="str">
            <v>56 503</v>
          </cell>
          <cell r="E167" t="str">
            <v>San Martin 13.8</v>
          </cell>
          <cell r="F167">
            <v>13.8</v>
          </cell>
          <cell r="G167" t="str">
            <v>residencial</v>
          </cell>
          <cell r="H167" t="str">
            <v>San Alberto 115 kV</v>
          </cell>
          <cell r="I167" t="str">
            <v>Sí</v>
          </cell>
        </row>
        <row r="168">
          <cell r="D168" t="str">
            <v>57 501</v>
          </cell>
          <cell r="E168" t="str">
            <v>Sabana de Torres 13.8</v>
          </cell>
          <cell r="F168">
            <v>13.8</v>
          </cell>
          <cell r="G168" t="str">
            <v>residencial</v>
          </cell>
          <cell r="H168" t="str">
            <v>Sabana de Torres 115 kV</v>
          </cell>
          <cell r="I168" t="str">
            <v>Sí</v>
          </cell>
        </row>
        <row r="169">
          <cell r="D169" t="str">
            <v>57 502</v>
          </cell>
          <cell r="E169" t="str">
            <v>Sabana de Torres 13.8</v>
          </cell>
          <cell r="F169">
            <v>13.8</v>
          </cell>
          <cell r="G169" t="str">
            <v>residencial</v>
          </cell>
          <cell r="H169" t="str">
            <v>Sabana de Torres 115 kV</v>
          </cell>
          <cell r="I169" t="str">
            <v>Sí</v>
          </cell>
        </row>
        <row r="170">
          <cell r="D170" t="str">
            <v>57 503</v>
          </cell>
          <cell r="E170" t="str">
            <v>Sabana de Torres 13.8</v>
          </cell>
          <cell r="F170">
            <v>13.8</v>
          </cell>
          <cell r="G170" t="str">
            <v>residencial</v>
          </cell>
          <cell r="H170" t="str">
            <v>Sabana de Torres 115 kV</v>
          </cell>
          <cell r="I170" t="str">
            <v>Sí</v>
          </cell>
        </row>
        <row r="171">
          <cell r="D171" t="str">
            <v>58 511</v>
          </cell>
          <cell r="E171" t="str">
            <v>Buenos Aires 2 13.8</v>
          </cell>
          <cell r="F171">
            <v>13.8</v>
          </cell>
          <cell r="G171" t="str">
            <v>residencial</v>
          </cell>
          <cell r="H171" t="str">
            <v>Buenavista 115 kV
San Silvestre 115 kV
Barranca 115 kV</v>
          </cell>
          <cell r="I171" t="str">
            <v>Sí</v>
          </cell>
        </row>
        <row r="172">
          <cell r="D172" t="str">
            <v>58 512</v>
          </cell>
          <cell r="E172" t="str">
            <v>Buenos Aires 1 13.8</v>
          </cell>
          <cell r="F172">
            <v>13.8</v>
          </cell>
          <cell r="G172" t="str">
            <v>industrial</v>
          </cell>
          <cell r="H172" t="str">
            <v>Buenavista 115 kV
San Silvestre 115 kV
Barranca 115 kV</v>
          </cell>
          <cell r="I172" t="str">
            <v>Sí</v>
          </cell>
        </row>
        <row r="173">
          <cell r="D173" t="str">
            <v>58 514</v>
          </cell>
          <cell r="E173" t="str">
            <v>Buenos Aires 2 13.8</v>
          </cell>
          <cell r="F173">
            <v>13.8</v>
          </cell>
          <cell r="G173" t="str">
            <v>residencial</v>
          </cell>
          <cell r="H173" t="str">
            <v>Buenavista 115 kV
San Silvestre 115 kV
Barranca 115 kV</v>
          </cell>
          <cell r="I173" t="str">
            <v>Sí</v>
          </cell>
        </row>
        <row r="174">
          <cell r="D174" t="str">
            <v>58 519</v>
          </cell>
          <cell r="E174" t="str">
            <v>Buenos Aires 1 13.8</v>
          </cell>
          <cell r="F174">
            <v>13.8</v>
          </cell>
          <cell r="G174" t="str">
            <v>residencial</v>
          </cell>
          <cell r="H174" t="str">
            <v>Buenavista 115 kV
San Silvestre 115 kV
Barranca 115 kV</v>
          </cell>
          <cell r="I174" t="str">
            <v>Sí</v>
          </cell>
        </row>
        <row r="175">
          <cell r="D175" t="str">
            <v>58 520</v>
          </cell>
          <cell r="E175" t="str">
            <v>Buenos Aires 2 13.8</v>
          </cell>
          <cell r="F175">
            <v>13.8</v>
          </cell>
          <cell r="G175" t="str">
            <v>industrial</v>
          </cell>
          <cell r="H175" t="str">
            <v>Buenavista 115 kV
San Silvestre 115 kV
Barranca 115 kV</v>
          </cell>
          <cell r="I175" t="str">
            <v>Sí</v>
          </cell>
        </row>
        <row r="176">
          <cell r="D176" t="str">
            <v>58 521</v>
          </cell>
          <cell r="E176" t="str">
            <v>Buenos Aires 2 13.8</v>
          </cell>
          <cell r="F176">
            <v>13.8</v>
          </cell>
          <cell r="G176" t="str">
            <v>industrial</v>
          </cell>
          <cell r="H176" t="str">
            <v>Buenavista 115 kV
San Silvestre 115 kV
Barranca 115 kV</v>
          </cell>
          <cell r="I176" t="str">
            <v>Sí</v>
          </cell>
        </row>
        <row r="177">
          <cell r="D177" t="str">
            <v>58 522</v>
          </cell>
          <cell r="E177" t="str">
            <v>Buenos Aires 1 13.8</v>
          </cell>
          <cell r="F177">
            <v>13.8</v>
          </cell>
          <cell r="G177" t="str">
            <v>residencial</v>
          </cell>
          <cell r="H177" t="str">
            <v>Buenavista 115 kV
San Silvestre 115 kV
Barranca 115 kV</v>
          </cell>
          <cell r="I177" t="str">
            <v>Sí</v>
          </cell>
        </row>
        <row r="178">
          <cell r="D178" t="str">
            <v>58 524</v>
          </cell>
          <cell r="E178" t="str">
            <v>Buenos Aires 1 13.8</v>
          </cell>
          <cell r="F178">
            <v>13.8</v>
          </cell>
          <cell r="G178" t="str">
            <v>residencial</v>
          </cell>
          <cell r="H178" t="str">
            <v>Buenavista 115 kV
San Silvestre 115 kV
Barranca 115 kV</v>
          </cell>
          <cell r="I178" t="str">
            <v>Sí</v>
          </cell>
        </row>
        <row r="179">
          <cell r="D179" t="str">
            <v>59 501</v>
          </cell>
          <cell r="E179" t="str">
            <v>Santa Catalina 13.8</v>
          </cell>
          <cell r="F179">
            <v>13.8</v>
          </cell>
          <cell r="G179" t="str">
            <v>residencial</v>
          </cell>
          <cell r="H179" t="str">
            <v>Sabana de Torres 115 kV</v>
          </cell>
          <cell r="I179" t="str">
            <v>Sí</v>
          </cell>
        </row>
        <row r="180">
          <cell r="D180" t="str">
            <v>59 502</v>
          </cell>
          <cell r="E180" t="str">
            <v>Santa Catalina 13.8</v>
          </cell>
          <cell r="F180">
            <v>13.8</v>
          </cell>
          <cell r="G180" t="str">
            <v>residencial</v>
          </cell>
          <cell r="H180" t="str">
            <v>Sabana de Torres 115 kV</v>
          </cell>
          <cell r="I180" t="str">
            <v>Sí</v>
          </cell>
        </row>
        <row r="181">
          <cell r="D181" t="str">
            <v>59 503</v>
          </cell>
          <cell r="E181" t="str">
            <v>Santa Catalina 13.8</v>
          </cell>
          <cell r="F181">
            <v>13.8</v>
          </cell>
          <cell r="G181" t="str">
            <v>residencial</v>
          </cell>
          <cell r="H181" t="str">
            <v>Sabana de Torres 115 kV</v>
          </cell>
          <cell r="I181" t="str">
            <v>Sí</v>
          </cell>
        </row>
        <row r="182">
          <cell r="D182" t="str">
            <v>60 501</v>
          </cell>
          <cell r="E182" t="str">
            <v>Buena Vista 13.8</v>
          </cell>
          <cell r="F182">
            <v>13.8</v>
          </cell>
          <cell r="G182" t="str">
            <v>residencial</v>
          </cell>
          <cell r="H182" t="str">
            <v>Buenavista 115 kV</v>
          </cell>
          <cell r="I182" t="str">
            <v>Sí</v>
          </cell>
        </row>
        <row r="183">
          <cell r="D183" t="str">
            <v>60 502</v>
          </cell>
          <cell r="E183" t="str">
            <v>Buena Vista 13.8</v>
          </cell>
          <cell r="F183">
            <v>13.8</v>
          </cell>
          <cell r="G183" t="str">
            <v>residencial</v>
          </cell>
          <cell r="H183" t="str">
            <v>Buenavista 115 kV</v>
          </cell>
          <cell r="I183" t="str">
            <v>Sí</v>
          </cell>
        </row>
        <row r="184">
          <cell r="D184" t="str">
            <v>60 503</v>
          </cell>
          <cell r="E184" t="str">
            <v>Buena Vista 13.8</v>
          </cell>
          <cell r="F184">
            <v>13.8</v>
          </cell>
          <cell r="G184" t="str">
            <v>residencial</v>
          </cell>
          <cell r="H184" t="str">
            <v>Buenavista 115 kV</v>
          </cell>
          <cell r="I184" t="str">
            <v>Sí</v>
          </cell>
        </row>
        <row r="185">
          <cell r="D185" t="str">
            <v>60 504</v>
          </cell>
          <cell r="E185" t="str">
            <v>Buena Vista 13.8</v>
          </cell>
          <cell r="F185">
            <v>13.8</v>
          </cell>
          <cell r="G185" t="str">
            <v>residencial</v>
          </cell>
          <cell r="H185" t="str">
            <v>Buenavista 115 kV</v>
          </cell>
          <cell r="I185" t="str">
            <v>Sí</v>
          </cell>
        </row>
        <row r="186">
          <cell r="D186" t="str">
            <v>61 501</v>
          </cell>
          <cell r="E186" t="str">
            <v>Lizama 13.8</v>
          </cell>
          <cell r="F186">
            <v>13.8</v>
          </cell>
          <cell r="G186" t="str">
            <v>residencial</v>
          </cell>
          <cell r="H186" t="str">
            <v>Lizama 115 kV</v>
          </cell>
          <cell r="I186" t="str">
            <v>Sí</v>
          </cell>
        </row>
        <row r="187">
          <cell r="D187" t="str">
            <v>61 502</v>
          </cell>
          <cell r="E187" t="str">
            <v>Lizama 13.8</v>
          </cell>
          <cell r="F187">
            <v>13.8</v>
          </cell>
          <cell r="G187" t="str">
            <v>residencial</v>
          </cell>
          <cell r="H187" t="str">
            <v>Lizama 115 kV</v>
          </cell>
          <cell r="I187" t="str">
            <v>Sí</v>
          </cell>
        </row>
        <row r="188">
          <cell r="D188" t="str">
            <v>61 503</v>
          </cell>
          <cell r="E188" t="str">
            <v>Lizama 13.8</v>
          </cell>
          <cell r="F188">
            <v>13.8</v>
          </cell>
          <cell r="G188" t="str">
            <v>residencial</v>
          </cell>
          <cell r="H188" t="str">
            <v>Lizama 115 kV</v>
          </cell>
          <cell r="I188" t="str">
            <v>Sí</v>
          </cell>
        </row>
        <row r="189">
          <cell r="D189" t="str">
            <v>62 507</v>
          </cell>
          <cell r="E189" t="str">
            <v>Parnaso 1 13.8</v>
          </cell>
          <cell r="F189">
            <v>13.8</v>
          </cell>
          <cell r="G189" t="str">
            <v>residencial</v>
          </cell>
          <cell r="H189" t="str">
            <v>San Silvestre 115 kV
Barranca 115 kV</v>
          </cell>
          <cell r="I189" t="str">
            <v>Sí</v>
          </cell>
        </row>
        <row r="190">
          <cell r="D190" t="str">
            <v>62 508</v>
          </cell>
          <cell r="E190" t="str">
            <v>Parnaso 2 13.8</v>
          </cell>
          <cell r="F190">
            <v>13.8</v>
          </cell>
          <cell r="G190" t="str">
            <v>residencial</v>
          </cell>
          <cell r="H190" t="str">
            <v>San Silvestre 115 kV
Barranca 115 kV</v>
          </cell>
          <cell r="I190" t="str">
            <v>Sí</v>
          </cell>
        </row>
        <row r="191">
          <cell r="D191" t="str">
            <v>62 509</v>
          </cell>
          <cell r="E191" t="str">
            <v>Parnaso 2 13.8</v>
          </cell>
          <cell r="F191">
            <v>13.8</v>
          </cell>
          <cell r="G191" t="str">
            <v>residencial</v>
          </cell>
          <cell r="H191" t="str">
            <v>San Silvestre 115 kV
Barranca 115 kV</v>
          </cell>
          <cell r="I191" t="str">
            <v>Sí</v>
          </cell>
        </row>
        <row r="192">
          <cell r="D192" t="str">
            <v>62 510</v>
          </cell>
          <cell r="E192" t="str">
            <v>Parnaso 1 13.8</v>
          </cell>
          <cell r="F192">
            <v>13.8</v>
          </cell>
          <cell r="G192" t="str">
            <v>residencial</v>
          </cell>
          <cell r="H192" t="str">
            <v>San Silvestre 115 kV
Barranca 115 kV</v>
          </cell>
          <cell r="I192" t="str">
            <v>Sí</v>
          </cell>
        </row>
        <row r="193">
          <cell r="D193" t="str">
            <v>63 501</v>
          </cell>
          <cell r="E193" t="str">
            <v>Feria 13.8</v>
          </cell>
          <cell r="F193">
            <v>13.8</v>
          </cell>
          <cell r="G193" t="str">
            <v>residencial</v>
          </cell>
          <cell r="H193" t="str">
            <v>Puerto Wilches 115 kV</v>
          </cell>
          <cell r="I193" t="str">
            <v>Sí</v>
          </cell>
        </row>
        <row r="194">
          <cell r="D194" t="str">
            <v>64 515</v>
          </cell>
          <cell r="E194" t="str">
            <v>San Silvestre 13.8</v>
          </cell>
          <cell r="F194">
            <v>13.8</v>
          </cell>
          <cell r="G194" t="str">
            <v>residencial</v>
          </cell>
          <cell r="H194" t="str">
            <v>San Silvestre 115 kV</v>
          </cell>
          <cell r="I194" t="str">
            <v>Sí</v>
          </cell>
        </row>
        <row r="195">
          <cell r="D195" t="str">
            <v>64 516</v>
          </cell>
          <cell r="E195" t="str">
            <v>San Silvestre 13.8</v>
          </cell>
          <cell r="F195">
            <v>13.8</v>
          </cell>
          <cell r="G195" t="str">
            <v>residencial</v>
          </cell>
          <cell r="H195" t="str">
            <v>San Silvestre 115 kV</v>
          </cell>
          <cell r="I195" t="str">
            <v>Sí</v>
          </cell>
        </row>
        <row r="196">
          <cell r="D196" t="str">
            <v>64 517</v>
          </cell>
          <cell r="E196" t="str">
            <v>San Silvestre 13.8</v>
          </cell>
          <cell r="F196">
            <v>13.8</v>
          </cell>
          <cell r="G196" t="str">
            <v>residencial</v>
          </cell>
          <cell r="H196" t="str">
            <v>San Silvestre 115 kV</v>
          </cell>
          <cell r="I196" t="str">
            <v>Sí</v>
          </cell>
        </row>
        <row r="197">
          <cell r="D197" t="str">
            <v>64 518</v>
          </cell>
          <cell r="E197" t="str">
            <v>San Silvestre 13.8</v>
          </cell>
          <cell r="F197">
            <v>13.8</v>
          </cell>
          <cell r="G197" t="str">
            <v>residencial</v>
          </cell>
          <cell r="H197" t="str">
            <v>San Silvestre 115 kV</v>
          </cell>
          <cell r="I197" t="str">
            <v>Sí</v>
          </cell>
        </row>
        <row r="198">
          <cell r="D198" t="str">
            <v>64 519</v>
          </cell>
          <cell r="E198" t="str">
            <v>San Silvestre 13.8</v>
          </cell>
          <cell r="F198">
            <v>13.8</v>
          </cell>
          <cell r="G198" t="str">
            <v>residencial</v>
          </cell>
          <cell r="H198" t="str">
            <v>San Silvestre 115 kV</v>
          </cell>
          <cell r="I198" t="str">
            <v>Sí</v>
          </cell>
        </row>
        <row r="199">
          <cell r="D199" t="str">
            <v>65 501</v>
          </cell>
          <cell r="E199" t="str">
            <v>San Vicente 13.8</v>
          </cell>
          <cell r="F199">
            <v>13.8</v>
          </cell>
          <cell r="G199" t="str">
            <v>residencial</v>
          </cell>
          <cell r="H199" t="str">
            <v>Real de Minas 115 kV 
Palenque 115 kV</v>
          </cell>
          <cell r="I199" t="str">
            <v>Sí</v>
          </cell>
        </row>
        <row r="200">
          <cell r="D200" t="str">
            <v>65 502</v>
          </cell>
          <cell r="E200" t="str">
            <v>San Vicente 13.8</v>
          </cell>
          <cell r="F200">
            <v>13.8</v>
          </cell>
          <cell r="G200" t="str">
            <v>residencial</v>
          </cell>
          <cell r="H200" t="str">
            <v>Real de Minas 115 kV 
Palenque 115 kV</v>
          </cell>
          <cell r="I200" t="str">
            <v>Sí</v>
          </cell>
        </row>
        <row r="201">
          <cell r="D201" t="str">
            <v>65 503</v>
          </cell>
          <cell r="E201" t="str">
            <v>San Vicente 13.8</v>
          </cell>
          <cell r="F201">
            <v>13.8</v>
          </cell>
          <cell r="G201" t="str">
            <v>residencial</v>
          </cell>
          <cell r="H201" t="str">
            <v>Real de Minas 115 kV 
Palenque 115 kV</v>
          </cell>
          <cell r="I201" t="str">
            <v>Sí</v>
          </cell>
        </row>
        <row r="202">
          <cell r="D202" t="str">
            <v>65 504</v>
          </cell>
          <cell r="E202" t="str">
            <v>San Vicente 13.8</v>
          </cell>
          <cell r="F202">
            <v>13.8</v>
          </cell>
          <cell r="G202" t="str">
            <v>residencial</v>
          </cell>
          <cell r="H202" t="str">
            <v>Real de Minas 115 kV 
Palenque 115 kV</v>
          </cell>
          <cell r="I202" t="str">
            <v>Sí</v>
          </cell>
        </row>
        <row r="203">
          <cell r="D203" t="str">
            <v>65 505</v>
          </cell>
          <cell r="E203" t="str">
            <v>San Vicente 13.8</v>
          </cell>
          <cell r="F203">
            <v>13.8</v>
          </cell>
          <cell r="G203" t="str">
            <v>residencial</v>
          </cell>
          <cell r="H203" t="str">
            <v>Real de Minas 115 kV 
Palenque 115 kV</v>
          </cell>
          <cell r="I203" t="str">
            <v>Sí</v>
          </cell>
        </row>
        <row r="204">
          <cell r="D204" t="str">
            <v>67 501</v>
          </cell>
          <cell r="E204" t="str">
            <v>Llanito 13.8</v>
          </cell>
          <cell r="F204">
            <v>13.8</v>
          </cell>
          <cell r="G204" t="str">
            <v>residencial</v>
          </cell>
          <cell r="H204" t="str">
            <v>Barranca 115 kV</v>
          </cell>
          <cell r="I204" t="str">
            <v>Sí</v>
          </cell>
        </row>
        <row r="205">
          <cell r="D205" t="str">
            <v>67 502</v>
          </cell>
          <cell r="E205" t="str">
            <v>Llanito 13.8</v>
          </cell>
          <cell r="F205">
            <v>13.8</v>
          </cell>
          <cell r="G205" t="str">
            <v>residencial</v>
          </cell>
          <cell r="H205" t="str">
            <v>Barranca 115 kV</v>
          </cell>
          <cell r="I205" t="str">
            <v>Sí</v>
          </cell>
        </row>
        <row r="206">
          <cell r="D206" t="str">
            <v>67 503</v>
          </cell>
          <cell r="E206" t="str">
            <v>Llanito 13.8</v>
          </cell>
          <cell r="F206">
            <v>13.8</v>
          </cell>
          <cell r="G206" t="str">
            <v>residencial</v>
          </cell>
          <cell r="H206" t="str">
            <v>Barranca 115 kV</v>
          </cell>
          <cell r="I206" t="str">
            <v>Sí</v>
          </cell>
        </row>
        <row r="207">
          <cell r="D207" t="str">
            <v>68 501</v>
          </cell>
          <cell r="E207" t="str">
            <v>Cimitarra 13.8</v>
          </cell>
          <cell r="F207">
            <v>13.8</v>
          </cell>
          <cell r="G207" t="str">
            <v>residencial</v>
          </cell>
          <cell r="H207" t="str">
            <v>Cimitarra 115 kV</v>
          </cell>
          <cell r="I207" t="str">
            <v>Sí</v>
          </cell>
        </row>
        <row r="208">
          <cell r="D208" t="str">
            <v>68 502</v>
          </cell>
          <cell r="E208" t="str">
            <v>Cimitarra 13.8</v>
          </cell>
          <cell r="F208">
            <v>13.8</v>
          </cell>
          <cell r="G208" t="str">
            <v>residencial</v>
          </cell>
          <cell r="H208" t="str">
            <v>Cimitarra 115 kV</v>
          </cell>
          <cell r="I208" t="str">
            <v>Sí</v>
          </cell>
        </row>
        <row r="209">
          <cell r="D209" t="str">
            <v>68 503</v>
          </cell>
          <cell r="E209" t="str">
            <v>Cimitarra 13.8</v>
          </cell>
          <cell r="F209">
            <v>13.8</v>
          </cell>
          <cell r="G209" t="str">
            <v>residencial</v>
          </cell>
          <cell r="H209" t="str">
            <v>Cimitarra 115 kV</v>
          </cell>
          <cell r="I209" t="str">
            <v>Sí</v>
          </cell>
        </row>
        <row r="210">
          <cell r="D210" t="str">
            <v>68 504</v>
          </cell>
          <cell r="E210" t="str">
            <v>Cimitarra 13.8</v>
          </cell>
          <cell r="F210">
            <v>13.8</v>
          </cell>
          <cell r="G210" t="str">
            <v>residencial</v>
          </cell>
          <cell r="H210" t="str">
            <v>Cimitarra 115 kV</v>
          </cell>
          <cell r="I210" t="str">
            <v>Sí</v>
          </cell>
        </row>
        <row r="211">
          <cell r="D211" t="str">
            <v>69 501</v>
          </cell>
          <cell r="E211" t="str">
            <v>San Pablo 13.8</v>
          </cell>
          <cell r="F211">
            <v>13.8</v>
          </cell>
          <cell r="G211" t="str">
            <v>residencial</v>
          </cell>
          <cell r="H211" t="str">
            <v>Puerto Wilches 115 kV</v>
          </cell>
          <cell r="I211" t="str">
            <v>Sí</v>
          </cell>
        </row>
        <row r="212">
          <cell r="D212" t="str">
            <v>69 502</v>
          </cell>
          <cell r="E212" t="str">
            <v>San Pablo 13.8</v>
          </cell>
          <cell r="F212">
            <v>13.8</v>
          </cell>
          <cell r="G212" t="str">
            <v>residencial</v>
          </cell>
          <cell r="H212" t="str">
            <v>Puerto Wilches 115 kV</v>
          </cell>
          <cell r="I212" t="str">
            <v>Sí</v>
          </cell>
        </row>
        <row r="213">
          <cell r="D213" t="str">
            <v>69 503</v>
          </cell>
          <cell r="E213" t="str">
            <v>San Pablo 13.8</v>
          </cell>
          <cell r="F213">
            <v>13.8</v>
          </cell>
          <cell r="G213" t="str">
            <v>residencial</v>
          </cell>
          <cell r="H213" t="str">
            <v>Puerto Wilches 115 kV</v>
          </cell>
          <cell r="I213" t="str">
            <v>Sí</v>
          </cell>
        </row>
        <row r="214">
          <cell r="D214" t="str">
            <v>69 504</v>
          </cell>
          <cell r="E214" t="str">
            <v>San Pablo 13.8</v>
          </cell>
          <cell r="F214">
            <v>13.8</v>
          </cell>
          <cell r="G214" t="str">
            <v>residencial</v>
          </cell>
          <cell r="H214" t="str">
            <v>Puerto Wilches 115 kV</v>
          </cell>
          <cell r="I214" t="str">
            <v>Sí</v>
          </cell>
        </row>
        <row r="215">
          <cell r="D215" t="str">
            <v>71 801</v>
          </cell>
          <cell r="E215" t="str">
            <v>Cantagallo 4.16</v>
          </cell>
          <cell r="F215">
            <v>34.5</v>
          </cell>
          <cell r="G215" t="str">
            <v>residencial</v>
          </cell>
          <cell r="H215" t="str">
            <v>Puerto Wilches 115 kV</v>
          </cell>
          <cell r="I215" t="str">
            <v>Sí</v>
          </cell>
        </row>
        <row r="216">
          <cell r="D216" t="str">
            <v>71 802</v>
          </cell>
          <cell r="E216" t="str">
            <v>Cantagallo 4.16</v>
          </cell>
          <cell r="F216">
            <v>34.5</v>
          </cell>
          <cell r="G216" t="str">
            <v>residencial</v>
          </cell>
          <cell r="H216" t="str">
            <v>Puerto Wilches 115 kV</v>
          </cell>
          <cell r="I216" t="str">
            <v>Sí</v>
          </cell>
        </row>
        <row r="217">
          <cell r="D217" t="str">
            <v>72 501</v>
          </cell>
          <cell r="E217" t="str">
            <v>Puerto Araujo 13.8</v>
          </cell>
          <cell r="F217">
            <v>13.8</v>
          </cell>
          <cell r="G217" t="str">
            <v>residencial</v>
          </cell>
          <cell r="H217" t="str">
            <v>Cimitarra 115 kV</v>
          </cell>
          <cell r="I217" t="str">
            <v>Sí</v>
          </cell>
        </row>
        <row r="218">
          <cell r="D218" t="str">
            <v>72 502</v>
          </cell>
          <cell r="E218" t="str">
            <v>Puerto Araujo 13.8</v>
          </cell>
          <cell r="F218">
            <v>13.8</v>
          </cell>
          <cell r="G218" t="str">
            <v>residencial</v>
          </cell>
          <cell r="H218" t="str">
            <v>Cimitarra 115 kV</v>
          </cell>
          <cell r="I218" t="str">
            <v>Sí</v>
          </cell>
        </row>
        <row r="219">
          <cell r="D219" t="str">
            <v>72 503</v>
          </cell>
          <cell r="E219" t="str">
            <v>Puerto Araujo 13.8</v>
          </cell>
          <cell r="F219">
            <v>13.8</v>
          </cell>
          <cell r="G219" t="str">
            <v>residencial</v>
          </cell>
          <cell r="H219" t="str">
            <v>Cimitarra 115 kV</v>
          </cell>
          <cell r="I219" t="str">
            <v>Sí</v>
          </cell>
        </row>
        <row r="220">
          <cell r="D220" t="str">
            <v>72 504</v>
          </cell>
          <cell r="E220" t="str">
            <v>Puerto Araujo 13.8</v>
          </cell>
          <cell r="F220">
            <v>13.8</v>
          </cell>
          <cell r="G220" t="str">
            <v>residencial</v>
          </cell>
          <cell r="H220" t="str">
            <v>Cimitarra 115 kV</v>
          </cell>
          <cell r="I220" t="str">
            <v>Sí</v>
          </cell>
        </row>
        <row r="221">
          <cell r="D221" t="str">
            <v>73 501</v>
          </cell>
          <cell r="E221" t="str">
            <v>Pozo Nutria 13.8</v>
          </cell>
          <cell r="F221">
            <v>13.8</v>
          </cell>
          <cell r="G221" t="str">
            <v>residencial</v>
          </cell>
          <cell r="H221" t="str">
            <v>Lizama 115 kV</v>
          </cell>
          <cell r="I221" t="str">
            <v>Sí</v>
          </cell>
        </row>
        <row r="222">
          <cell r="D222" t="str">
            <v>73 502</v>
          </cell>
          <cell r="E222" t="str">
            <v>Pozo Nutria 13.8</v>
          </cell>
          <cell r="F222">
            <v>13.8</v>
          </cell>
          <cell r="G222" t="str">
            <v>residencial</v>
          </cell>
          <cell r="H222" t="str">
            <v>Lizama 115 kV</v>
          </cell>
          <cell r="I222" t="str">
            <v>Sí</v>
          </cell>
        </row>
        <row r="223">
          <cell r="D223" t="str">
            <v>74 501</v>
          </cell>
          <cell r="E223" t="str">
            <v>Pte Sogamoso 13.8</v>
          </cell>
          <cell r="F223">
            <v>13.8</v>
          </cell>
          <cell r="G223" t="str">
            <v>residencial</v>
          </cell>
          <cell r="H223" t="str">
            <v>Barranca 115 kV</v>
          </cell>
          <cell r="I223" t="str">
            <v>Sí</v>
          </cell>
        </row>
        <row r="224">
          <cell r="D224" t="str">
            <v>74 502</v>
          </cell>
          <cell r="E224" t="str">
            <v>Pte Sogamoso 13.8</v>
          </cell>
          <cell r="F224">
            <v>13.8</v>
          </cell>
          <cell r="G224" t="str">
            <v>residencial</v>
          </cell>
          <cell r="H224" t="str">
            <v>Barranca 115 kV</v>
          </cell>
          <cell r="I224" t="str">
            <v>Sí</v>
          </cell>
        </row>
        <row r="225">
          <cell r="D225" t="str">
            <v>74 503</v>
          </cell>
          <cell r="E225" t="str">
            <v>Pte Sogamoso 13.8</v>
          </cell>
          <cell r="F225">
            <v>13.8</v>
          </cell>
          <cell r="G225" t="str">
            <v>residencial</v>
          </cell>
          <cell r="H225" t="str">
            <v>Barranca 115 kV</v>
          </cell>
          <cell r="I225" t="str">
            <v>Sí</v>
          </cell>
        </row>
        <row r="226">
          <cell r="D226" t="str">
            <v>75 501</v>
          </cell>
          <cell r="E226" t="str">
            <v>KM8 13.8</v>
          </cell>
          <cell r="F226">
            <v>13.8</v>
          </cell>
          <cell r="G226" t="str">
            <v>residencial</v>
          </cell>
          <cell r="H226" t="str">
            <v>Puerto Wilches 115 kV</v>
          </cell>
          <cell r="I226" t="str">
            <v>Sí</v>
          </cell>
        </row>
        <row r="227">
          <cell r="D227" t="str">
            <v>76 501</v>
          </cell>
          <cell r="E227" t="str">
            <v>Cienaga 13.8</v>
          </cell>
          <cell r="F227">
            <v>13.8</v>
          </cell>
          <cell r="G227" t="str">
            <v>residencial</v>
          </cell>
          <cell r="H227" t="str">
            <v>Puerto Wilches 115 kV</v>
          </cell>
          <cell r="I227" t="str">
            <v>Sí</v>
          </cell>
        </row>
        <row r="228">
          <cell r="D228" t="str">
            <v>76 502</v>
          </cell>
          <cell r="E228" t="str">
            <v>Cienaga 13.8</v>
          </cell>
          <cell r="F228">
            <v>13.8</v>
          </cell>
          <cell r="G228" t="str">
            <v>residencial</v>
          </cell>
          <cell r="H228" t="str">
            <v>Puerto Wilches 115 kV</v>
          </cell>
          <cell r="I228" t="str">
            <v>Sí</v>
          </cell>
        </row>
        <row r="229">
          <cell r="D229" t="str">
            <v>77 501</v>
          </cell>
          <cell r="E229" t="str">
            <v>Berlin 13.8</v>
          </cell>
          <cell r="F229">
            <v>13.8</v>
          </cell>
          <cell r="G229" t="str">
            <v>residencial</v>
          </cell>
          <cell r="H229" t="str">
            <v>Barranca 115 kV</v>
          </cell>
          <cell r="I229" t="str">
            <v>Sí</v>
          </cell>
        </row>
        <row r="230">
          <cell r="D230" t="str">
            <v>78 501</v>
          </cell>
          <cell r="E230" t="str">
            <v>Landazuri 13.8</v>
          </cell>
          <cell r="F230">
            <v>13.8</v>
          </cell>
          <cell r="G230" t="str">
            <v>residencial</v>
          </cell>
          <cell r="H230" t="str">
            <v>Cimitarra 115 kV</v>
          </cell>
          <cell r="I230" t="str">
            <v>Sí</v>
          </cell>
        </row>
        <row r="231">
          <cell r="D231" t="str">
            <v>78 502</v>
          </cell>
          <cell r="E231" t="str">
            <v>Landazuri 13.8</v>
          </cell>
          <cell r="F231">
            <v>13.8</v>
          </cell>
          <cell r="G231" t="str">
            <v>residencial</v>
          </cell>
          <cell r="H231" t="str">
            <v>Cimitarra 115 kV</v>
          </cell>
          <cell r="I231" t="str">
            <v>Sí</v>
          </cell>
        </row>
        <row r="232">
          <cell r="D232" t="str">
            <v>78 503</v>
          </cell>
          <cell r="E232" t="str">
            <v>Landazuri 13.8</v>
          </cell>
          <cell r="F232">
            <v>13.8</v>
          </cell>
          <cell r="G232" t="str">
            <v>residencial</v>
          </cell>
          <cell r="H232" t="str">
            <v>Cimitarra 115 kV</v>
          </cell>
          <cell r="I232" t="str">
            <v>Sí</v>
          </cell>
        </row>
        <row r="233">
          <cell r="D233" t="str">
            <v>79 501</v>
          </cell>
          <cell r="E233" t="str">
            <v>San Gil 2 13.8</v>
          </cell>
          <cell r="F233">
            <v>13.8</v>
          </cell>
          <cell r="G233" t="str">
            <v>industrial</v>
          </cell>
          <cell r="H233" t="str">
            <v>San Gil 115 kV</v>
          </cell>
          <cell r="I233" t="str">
            <v>Sí</v>
          </cell>
        </row>
        <row r="234">
          <cell r="D234" t="str">
            <v>79 502</v>
          </cell>
          <cell r="E234" t="str">
            <v>San Gil 2 13.8</v>
          </cell>
          <cell r="F234">
            <v>13.8</v>
          </cell>
          <cell r="G234" t="str">
            <v>residencial</v>
          </cell>
          <cell r="H234" t="str">
            <v>San Gil 115 kV</v>
          </cell>
          <cell r="I234" t="str">
            <v>Sí</v>
          </cell>
        </row>
        <row r="235">
          <cell r="D235" t="str">
            <v>79 503</v>
          </cell>
          <cell r="E235" t="str">
            <v>San Gil 2 13.8</v>
          </cell>
          <cell r="F235">
            <v>13.8</v>
          </cell>
          <cell r="G235" t="str">
            <v>residencial</v>
          </cell>
          <cell r="H235" t="str">
            <v>San Gil 115 kV</v>
          </cell>
          <cell r="I235" t="str">
            <v>Sí</v>
          </cell>
        </row>
        <row r="236">
          <cell r="D236" t="str">
            <v>79 504</v>
          </cell>
          <cell r="E236" t="str">
            <v>San Gil 2 13.8</v>
          </cell>
          <cell r="F236">
            <v>13.8</v>
          </cell>
          <cell r="G236" t="str">
            <v>residencial</v>
          </cell>
          <cell r="H236" t="str">
            <v>San Gil 115 kV</v>
          </cell>
          <cell r="I236" t="str">
            <v>Sí</v>
          </cell>
        </row>
        <row r="237">
          <cell r="D237" t="str">
            <v>79 505</v>
          </cell>
          <cell r="E237" t="str">
            <v>San Gil 2 13.8</v>
          </cell>
          <cell r="F237">
            <v>13.8</v>
          </cell>
          <cell r="G237" t="str">
            <v>residencial</v>
          </cell>
          <cell r="H237" t="str">
            <v>San Gil 115 kV</v>
          </cell>
          <cell r="I237" t="str">
            <v>Sí</v>
          </cell>
        </row>
        <row r="238">
          <cell r="D238" t="str">
            <v>79 506</v>
          </cell>
          <cell r="E238" t="str">
            <v>San Gil 2 13.8</v>
          </cell>
          <cell r="F238">
            <v>13.8</v>
          </cell>
          <cell r="G238" t="str">
            <v>residencial</v>
          </cell>
          <cell r="H238" t="str">
            <v>San Gil 115 kV</v>
          </cell>
          <cell r="I238" t="str">
            <v>Sí</v>
          </cell>
        </row>
        <row r="239">
          <cell r="D239" t="str">
            <v>79 507</v>
          </cell>
          <cell r="E239" t="str">
            <v>San Gil 2 13.8</v>
          </cell>
          <cell r="F239">
            <v>13.8</v>
          </cell>
          <cell r="G239" t="str">
            <v>residencial</v>
          </cell>
          <cell r="H239" t="str">
            <v>San Gil 115 kV</v>
          </cell>
          <cell r="I239" t="str">
            <v>Sí</v>
          </cell>
        </row>
        <row r="240">
          <cell r="D240" t="str">
            <v>79 508</v>
          </cell>
          <cell r="E240" t="str">
            <v>San Gil 2 13.8</v>
          </cell>
          <cell r="F240">
            <v>13.8</v>
          </cell>
          <cell r="G240" t="str">
            <v>residencial</v>
          </cell>
          <cell r="H240" t="str">
            <v>San Gil 115 kV</v>
          </cell>
          <cell r="I240" t="str">
            <v>Sí</v>
          </cell>
        </row>
        <row r="241">
          <cell r="D241" t="str">
            <v>79 511</v>
          </cell>
          <cell r="E241" t="str">
            <v>San Gil 2 13.8</v>
          </cell>
          <cell r="F241">
            <v>13.8</v>
          </cell>
          <cell r="G241" t="str">
            <v>residencial</v>
          </cell>
          <cell r="H241" t="str">
            <v>San Gil 115 kV</v>
          </cell>
          <cell r="I241" t="str">
            <v>Sí</v>
          </cell>
        </row>
        <row r="242">
          <cell r="D242" t="str">
            <v>81 501</v>
          </cell>
          <cell r="E242" t="str">
            <v>Mogotes 13,8</v>
          </cell>
          <cell r="F242">
            <v>13.8</v>
          </cell>
          <cell r="G242" t="str">
            <v>residencial</v>
          </cell>
          <cell r="H242" t="str">
            <v>San Gil  115 kV</v>
          </cell>
          <cell r="I242" t="str">
            <v>No</v>
          </cell>
          <cell r="J242">
            <v>45855</v>
          </cell>
        </row>
        <row r="243">
          <cell r="D243" t="str">
            <v>81 502</v>
          </cell>
          <cell r="E243" t="str">
            <v>Mogotes 13,8</v>
          </cell>
          <cell r="F243">
            <v>13.8</v>
          </cell>
          <cell r="G243" t="str">
            <v>residencial</v>
          </cell>
          <cell r="H243" t="str">
            <v>San Gil  115 kV</v>
          </cell>
          <cell r="I243" t="str">
            <v>No</v>
          </cell>
          <cell r="J243">
            <v>45855</v>
          </cell>
        </row>
        <row r="244">
          <cell r="D244" t="str">
            <v>81 503</v>
          </cell>
          <cell r="E244" t="str">
            <v>Mogotes 13,8</v>
          </cell>
          <cell r="F244">
            <v>13.8</v>
          </cell>
          <cell r="G244" t="str">
            <v>residencial</v>
          </cell>
          <cell r="H244" t="str">
            <v>San Gil  115 kV</v>
          </cell>
          <cell r="I244" t="str">
            <v>No</v>
          </cell>
          <cell r="J244">
            <v>45855</v>
          </cell>
        </row>
        <row r="245">
          <cell r="D245" t="str">
            <v>81 504</v>
          </cell>
          <cell r="E245" t="str">
            <v>Mogotes 13,8</v>
          </cell>
          <cell r="F245">
            <v>13.8</v>
          </cell>
          <cell r="G245" t="str">
            <v>residencial</v>
          </cell>
          <cell r="H245" t="str">
            <v>San Gil  115 kV</v>
          </cell>
          <cell r="I245" t="str">
            <v>No</v>
          </cell>
          <cell r="J245">
            <v>45855</v>
          </cell>
        </row>
        <row r="246">
          <cell r="D246" t="str">
            <v>81 505</v>
          </cell>
          <cell r="E246" t="str">
            <v>Mogotes 13.8</v>
          </cell>
          <cell r="F246">
            <v>13.8</v>
          </cell>
          <cell r="G246" t="str">
            <v>residencial</v>
          </cell>
          <cell r="H246" t="str">
            <v>San Gil  115 kV</v>
          </cell>
          <cell r="I246" t="str">
            <v>No</v>
          </cell>
          <cell r="J246">
            <v>45855</v>
          </cell>
        </row>
        <row r="247">
          <cell r="D247" t="str">
            <v>82 501</v>
          </cell>
          <cell r="E247" t="str">
            <v>Socorro 13.8</v>
          </cell>
          <cell r="F247">
            <v>13.8</v>
          </cell>
          <cell r="G247" t="str">
            <v>residencial</v>
          </cell>
          <cell r="H247" t="str">
            <v>San Gil 115 kV</v>
          </cell>
          <cell r="I247" t="str">
            <v>Sí</v>
          </cell>
        </row>
        <row r="248">
          <cell r="D248" t="str">
            <v>82 502</v>
          </cell>
          <cell r="E248" t="str">
            <v>Socorro 13.8</v>
          </cell>
          <cell r="F248">
            <v>13.8</v>
          </cell>
          <cell r="G248" t="str">
            <v>industrial</v>
          </cell>
          <cell r="H248" t="str">
            <v>San Gil 115 kV</v>
          </cell>
          <cell r="I248" t="str">
            <v>Sí</v>
          </cell>
        </row>
        <row r="249">
          <cell r="D249" t="str">
            <v>82 503</v>
          </cell>
          <cell r="E249" t="str">
            <v>Socorro 13.8</v>
          </cell>
          <cell r="F249">
            <v>13.8</v>
          </cell>
          <cell r="G249" t="str">
            <v>residencial</v>
          </cell>
          <cell r="H249" t="str">
            <v>San Gil 115 kV</v>
          </cell>
          <cell r="I249" t="str">
            <v>Sí</v>
          </cell>
        </row>
        <row r="250">
          <cell r="D250" t="str">
            <v>82 504</v>
          </cell>
          <cell r="E250" t="str">
            <v>Socorro 13.8</v>
          </cell>
          <cell r="F250">
            <v>13.8</v>
          </cell>
          <cell r="G250" t="str">
            <v>residencial</v>
          </cell>
          <cell r="H250" t="str">
            <v>San Gil 115 kV</v>
          </cell>
          <cell r="I250" t="str">
            <v>Sí</v>
          </cell>
        </row>
        <row r="251">
          <cell r="D251" t="str">
            <v>82 505</v>
          </cell>
          <cell r="E251" t="str">
            <v>Socorro 13.8</v>
          </cell>
          <cell r="F251">
            <v>13.8</v>
          </cell>
          <cell r="G251" t="str">
            <v>residencial</v>
          </cell>
          <cell r="H251" t="str">
            <v>San Gil 115 kV</v>
          </cell>
          <cell r="I251" t="str">
            <v>Sí</v>
          </cell>
        </row>
        <row r="252">
          <cell r="D252" t="str">
            <v>82 506</v>
          </cell>
          <cell r="E252" t="str">
            <v>Socorro 13.8</v>
          </cell>
          <cell r="F252">
            <v>13.8</v>
          </cell>
          <cell r="G252" t="str">
            <v>residencial</v>
          </cell>
          <cell r="H252" t="str">
            <v>San Gil 115 kV</v>
          </cell>
          <cell r="I252" t="str">
            <v>Sí</v>
          </cell>
        </row>
        <row r="253">
          <cell r="D253" t="str">
            <v>82 507</v>
          </cell>
          <cell r="E253" t="str">
            <v>Socorro 13.8</v>
          </cell>
          <cell r="F253">
            <v>13.8</v>
          </cell>
          <cell r="G253" t="str">
            <v>residencial</v>
          </cell>
          <cell r="H253" t="str">
            <v>San Gil 115 kV</v>
          </cell>
          <cell r="I253" t="str">
            <v>Sí</v>
          </cell>
        </row>
        <row r="254">
          <cell r="D254" t="str">
            <v>82 508</v>
          </cell>
          <cell r="E254" t="str">
            <v>Socorro 13.8</v>
          </cell>
          <cell r="F254">
            <v>13.8</v>
          </cell>
          <cell r="G254" t="str">
            <v>residencial</v>
          </cell>
          <cell r="H254" t="str">
            <v>San Gil 115 kV</v>
          </cell>
          <cell r="I254" t="str">
            <v>Sí</v>
          </cell>
        </row>
        <row r="255">
          <cell r="D255" t="str">
            <v>83 501</v>
          </cell>
          <cell r="E255" t="str">
            <v>Vado Real 13.8</v>
          </cell>
          <cell r="F255">
            <v>13.8</v>
          </cell>
          <cell r="G255" t="str">
            <v>residencial</v>
          </cell>
          <cell r="H255" t="str">
            <v>San Gil 115 kV</v>
          </cell>
          <cell r="I255" t="str">
            <v>Sí</v>
          </cell>
        </row>
        <row r="256">
          <cell r="D256" t="str">
            <v>83 502</v>
          </cell>
          <cell r="E256" t="str">
            <v>Vado Real 13.8</v>
          </cell>
          <cell r="F256">
            <v>13.8</v>
          </cell>
          <cell r="G256" t="str">
            <v>residencial</v>
          </cell>
          <cell r="H256" t="str">
            <v>San Gil 115 kV</v>
          </cell>
          <cell r="I256" t="str">
            <v>Sí</v>
          </cell>
        </row>
        <row r="257">
          <cell r="D257" t="str">
            <v>83 503</v>
          </cell>
          <cell r="E257" t="str">
            <v>Vado Real 13.8</v>
          </cell>
          <cell r="F257">
            <v>13.8</v>
          </cell>
          <cell r="G257" t="str">
            <v>residencial</v>
          </cell>
          <cell r="H257" t="str">
            <v>San Gil 115 kV</v>
          </cell>
          <cell r="I257" t="str">
            <v>Sí</v>
          </cell>
        </row>
        <row r="258">
          <cell r="D258" t="str">
            <v>84 501</v>
          </cell>
          <cell r="E258" t="str">
            <v>Oiba 13.8</v>
          </cell>
          <cell r="F258">
            <v>13.8</v>
          </cell>
          <cell r="G258" t="str">
            <v>residencial</v>
          </cell>
          <cell r="H258" t="str">
            <v>San Gil 115 kV</v>
          </cell>
          <cell r="I258" t="str">
            <v>Sí</v>
          </cell>
        </row>
        <row r="259">
          <cell r="D259" t="str">
            <v>84 502</v>
          </cell>
          <cell r="E259" t="str">
            <v>Oiba 13.8</v>
          </cell>
          <cell r="F259">
            <v>13.8</v>
          </cell>
          <cell r="G259" t="str">
            <v>residencial</v>
          </cell>
          <cell r="H259" t="str">
            <v>San Gil 115 kV</v>
          </cell>
          <cell r="I259" t="str">
            <v>Sí</v>
          </cell>
        </row>
        <row r="260">
          <cell r="D260" t="str">
            <v>84 503</v>
          </cell>
          <cell r="E260" t="str">
            <v>Oiba 13.8</v>
          </cell>
          <cell r="F260">
            <v>13.8</v>
          </cell>
          <cell r="G260" t="str">
            <v>residencial</v>
          </cell>
          <cell r="H260" t="str">
            <v>San Gil 115 kV</v>
          </cell>
          <cell r="I260" t="str">
            <v>Sí</v>
          </cell>
        </row>
        <row r="261">
          <cell r="D261" t="str">
            <v>84 504</v>
          </cell>
          <cell r="E261" t="str">
            <v>Oiba 13.8</v>
          </cell>
          <cell r="F261">
            <v>13.8</v>
          </cell>
          <cell r="G261" t="str">
            <v>residencial</v>
          </cell>
          <cell r="H261" t="str">
            <v>San Gil 115 kV</v>
          </cell>
          <cell r="I261" t="str">
            <v>Sí</v>
          </cell>
        </row>
        <row r="262">
          <cell r="D262" t="str">
            <v>85 501</v>
          </cell>
          <cell r="E262" t="str">
            <v>Contratación 13.8</v>
          </cell>
          <cell r="F262">
            <v>13.8</v>
          </cell>
          <cell r="G262" t="str">
            <v>residencial</v>
          </cell>
          <cell r="H262" t="str">
            <v>San Gil 115 kV</v>
          </cell>
          <cell r="I262" t="str">
            <v>Sí</v>
          </cell>
        </row>
        <row r="263">
          <cell r="D263" t="str">
            <v>85 502</v>
          </cell>
          <cell r="E263" t="str">
            <v>Contratación 13.8</v>
          </cell>
          <cell r="F263">
            <v>13.8</v>
          </cell>
          <cell r="G263" t="str">
            <v>residencial</v>
          </cell>
          <cell r="H263" t="str">
            <v>San Gil 115 kV</v>
          </cell>
          <cell r="I263" t="str">
            <v>Sí</v>
          </cell>
        </row>
        <row r="264">
          <cell r="D264" t="str">
            <v>85 503</v>
          </cell>
          <cell r="E264" t="str">
            <v>Contratación 13.8</v>
          </cell>
          <cell r="F264">
            <v>13.8</v>
          </cell>
          <cell r="G264" t="str">
            <v>residencial</v>
          </cell>
          <cell r="H264" t="str">
            <v>San Gil 115 kV</v>
          </cell>
          <cell r="I264" t="str">
            <v>Sí</v>
          </cell>
        </row>
        <row r="265">
          <cell r="D265" t="str">
            <v>85 504</v>
          </cell>
          <cell r="E265" t="str">
            <v>Contratación 13.8</v>
          </cell>
          <cell r="F265">
            <v>13.8</v>
          </cell>
          <cell r="G265" t="str">
            <v>residencial</v>
          </cell>
          <cell r="H265" t="str">
            <v>San Gil 115 kV</v>
          </cell>
          <cell r="I265" t="str">
            <v>Sí</v>
          </cell>
        </row>
        <row r="266">
          <cell r="D266" t="str">
            <v>86 501</v>
          </cell>
          <cell r="E266" t="str">
            <v>Charala 13.8</v>
          </cell>
          <cell r="F266">
            <v>13.8</v>
          </cell>
          <cell r="G266" t="str">
            <v>residencial</v>
          </cell>
          <cell r="H266" t="str">
            <v>San Gil 115 kV</v>
          </cell>
          <cell r="I266" t="str">
            <v>Sí</v>
          </cell>
        </row>
        <row r="267">
          <cell r="D267" t="str">
            <v>86 502</v>
          </cell>
          <cell r="E267" t="str">
            <v>Charala 13.8</v>
          </cell>
          <cell r="F267">
            <v>13.8</v>
          </cell>
          <cell r="G267" t="str">
            <v>residencial</v>
          </cell>
          <cell r="H267" t="str">
            <v>San Gil 115 kV</v>
          </cell>
          <cell r="I267" t="str">
            <v>Sí</v>
          </cell>
        </row>
        <row r="268">
          <cell r="D268" t="str">
            <v>86 503</v>
          </cell>
          <cell r="E268" t="str">
            <v>Charala 13.8</v>
          </cell>
          <cell r="F268">
            <v>13.8</v>
          </cell>
          <cell r="G268" t="str">
            <v>residencial</v>
          </cell>
          <cell r="H268" t="str">
            <v>San Gil 115 kV</v>
          </cell>
          <cell r="I268" t="str">
            <v>Sí</v>
          </cell>
        </row>
        <row r="269">
          <cell r="D269" t="str">
            <v>86 504</v>
          </cell>
          <cell r="E269" t="str">
            <v>Charala 13.8</v>
          </cell>
          <cell r="F269">
            <v>13.8</v>
          </cell>
          <cell r="G269" t="str">
            <v>residencial</v>
          </cell>
          <cell r="H269" t="str">
            <v>San Gil 115 kV</v>
          </cell>
          <cell r="I269" t="str">
            <v>Sí</v>
          </cell>
        </row>
        <row r="270">
          <cell r="D270" t="str">
            <v>86 505</v>
          </cell>
          <cell r="E270" t="str">
            <v>Charala 13.8</v>
          </cell>
          <cell r="F270">
            <v>13.8</v>
          </cell>
          <cell r="G270" t="str">
            <v>residencial</v>
          </cell>
          <cell r="H270" t="str">
            <v>San Gil 115 kV</v>
          </cell>
          <cell r="I270" t="str">
            <v>Sí</v>
          </cell>
        </row>
        <row r="271">
          <cell r="D271" t="str">
            <v>88 501</v>
          </cell>
          <cell r="E271" t="str">
            <v>Barbosa 13.8</v>
          </cell>
          <cell r="F271">
            <v>13.8</v>
          </cell>
          <cell r="G271" t="str">
            <v>residencial</v>
          </cell>
          <cell r="H271" t="str">
            <v>Barbosa 115 kV</v>
          </cell>
          <cell r="I271" t="str">
            <v>Sí</v>
          </cell>
        </row>
        <row r="272">
          <cell r="D272" t="str">
            <v>88 502</v>
          </cell>
          <cell r="E272" t="str">
            <v>Barbosa 13.8</v>
          </cell>
          <cell r="F272">
            <v>13.8</v>
          </cell>
          <cell r="G272" t="str">
            <v>residencial</v>
          </cell>
          <cell r="H272" t="str">
            <v>Barbosa 115 kV</v>
          </cell>
          <cell r="I272" t="str">
            <v>Sí</v>
          </cell>
        </row>
        <row r="273">
          <cell r="D273" t="str">
            <v>88 503</v>
          </cell>
          <cell r="E273" t="str">
            <v>Barbosa 13.8</v>
          </cell>
          <cell r="F273">
            <v>13.8</v>
          </cell>
          <cell r="G273" t="str">
            <v>residencial</v>
          </cell>
          <cell r="H273" t="str">
            <v>Barbosa 115 kV</v>
          </cell>
          <cell r="I273" t="str">
            <v>Sí</v>
          </cell>
        </row>
        <row r="274">
          <cell r="D274" t="str">
            <v>88 504</v>
          </cell>
          <cell r="E274" t="str">
            <v>Barbosa 13.8</v>
          </cell>
          <cell r="F274">
            <v>13.8</v>
          </cell>
          <cell r="G274" t="str">
            <v>residencial</v>
          </cell>
          <cell r="H274" t="str">
            <v>Barbosa 115 kV</v>
          </cell>
          <cell r="I274" t="str">
            <v>Sí</v>
          </cell>
        </row>
        <row r="275">
          <cell r="D275" t="str">
            <v>90 501</v>
          </cell>
          <cell r="E275" t="str">
            <v>Velez 13.8</v>
          </cell>
          <cell r="F275">
            <v>13.8</v>
          </cell>
          <cell r="G275" t="str">
            <v>residencial</v>
          </cell>
          <cell r="H275" t="str">
            <v>Barbosa 115 kV</v>
          </cell>
          <cell r="I275" t="str">
            <v>Sí</v>
          </cell>
        </row>
        <row r="276">
          <cell r="D276" t="str">
            <v>90 502</v>
          </cell>
          <cell r="E276" t="str">
            <v>Velez 13.8</v>
          </cell>
          <cell r="F276">
            <v>13.8</v>
          </cell>
          <cell r="G276" t="str">
            <v>residencial</v>
          </cell>
          <cell r="H276" t="str">
            <v>Barbosa 115 kV</v>
          </cell>
          <cell r="I276" t="str">
            <v>Sí</v>
          </cell>
        </row>
        <row r="277">
          <cell r="D277" t="str">
            <v>90 503</v>
          </cell>
          <cell r="E277" t="str">
            <v>Velez 13.8</v>
          </cell>
          <cell r="F277">
            <v>13.8</v>
          </cell>
          <cell r="G277" t="str">
            <v>residencial</v>
          </cell>
          <cell r="H277" t="str">
            <v>Barbosa 115 kV</v>
          </cell>
          <cell r="I277" t="str">
            <v>Sí</v>
          </cell>
        </row>
        <row r="278">
          <cell r="D278" t="str">
            <v>90 504</v>
          </cell>
          <cell r="E278" t="str">
            <v>Velez 13.8</v>
          </cell>
          <cell r="F278">
            <v>13.8</v>
          </cell>
          <cell r="G278" t="str">
            <v>residencial</v>
          </cell>
          <cell r="H278" t="str">
            <v>Barbosa 115 kV</v>
          </cell>
          <cell r="I278" t="str">
            <v>Sí</v>
          </cell>
        </row>
        <row r="279">
          <cell r="D279" t="str">
            <v>90 506</v>
          </cell>
          <cell r="E279" t="str">
            <v>Velez 13.8</v>
          </cell>
          <cell r="F279">
            <v>13.8</v>
          </cell>
          <cell r="G279" t="str">
            <v>residencial</v>
          </cell>
          <cell r="H279" t="str">
            <v>Barbosa 115 kV</v>
          </cell>
          <cell r="I279" t="str">
            <v>Sí</v>
          </cell>
        </row>
        <row r="280">
          <cell r="D280" t="str">
            <v>90 507</v>
          </cell>
          <cell r="E280" t="str">
            <v>Velez 13.8</v>
          </cell>
          <cell r="F280">
            <v>13.8</v>
          </cell>
          <cell r="G280" t="str">
            <v>residencial</v>
          </cell>
          <cell r="H280" t="str">
            <v>Barbosa 115 kV</v>
          </cell>
          <cell r="I280" t="str">
            <v>Sí</v>
          </cell>
        </row>
        <row r="281">
          <cell r="D281" t="str">
            <v>91 501</v>
          </cell>
          <cell r="E281" t="str">
            <v>Yariguies 13,8</v>
          </cell>
          <cell r="F281">
            <v>13.8</v>
          </cell>
          <cell r="G281" t="str">
            <v>residencial</v>
          </cell>
          <cell r="H281" t="str">
            <v>Buenavista 115 kV</v>
          </cell>
          <cell r="I281" t="str">
            <v>No</v>
          </cell>
          <cell r="J281">
            <v>46022</v>
          </cell>
        </row>
        <row r="282">
          <cell r="D282" t="str">
            <v>91 502</v>
          </cell>
          <cell r="E282" t="str">
            <v>Yariguies 13,8</v>
          </cell>
          <cell r="F282">
            <v>13.8</v>
          </cell>
          <cell r="G282" t="str">
            <v>residencial</v>
          </cell>
          <cell r="H282" t="str">
            <v>Buenavista 115 kV</v>
          </cell>
          <cell r="I282" t="str">
            <v>No</v>
          </cell>
          <cell r="J282">
            <v>46022</v>
          </cell>
        </row>
        <row r="283">
          <cell r="D283" t="str">
            <v>91 503</v>
          </cell>
          <cell r="E283" t="str">
            <v>Yariguies 13,8</v>
          </cell>
          <cell r="F283">
            <v>13.8</v>
          </cell>
          <cell r="G283" t="str">
            <v>residencial</v>
          </cell>
          <cell r="H283" t="str">
            <v>Buenavista 115 kV</v>
          </cell>
          <cell r="I283" t="str">
            <v>No</v>
          </cell>
          <cell r="J283">
            <v>46022</v>
          </cell>
        </row>
        <row r="284">
          <cell r="D284" t="str">
            <v>91 504</v>
          </cell>
          <cell r="E284" t="str">
            <v>Yariguies 13,8</v>
          </cell>
          <cell r="F284">
            <v>13.8</v>
          </cell>
          <cell r="G284" t="str">
            <v>residencial</v>
          </cell>
          <cell r="H284" t="str">
            <v>Buenavista 115 kV</v>
          </cell>
          <cell r="I284" t="str">
            <v>No</v>
          </cell>
          <cell r="J284">
            <v>46022</v>
          </cell>
        </row>
        <row r="285">
          <cell r="D285" t="str">
            <v>92 502</v>
          </cell>
          <cell r="E285" t="str">
            <v>Sucre 13.8</v>
          </cell>
          <cell r="F285">
            <v>13.8</v>
          </cell>
          <cell r="G285" t="str">
            <v>residencial</v>
          </cell>
          <cell r="H285" t="str">
            <v>Barbosa 115 kV</v>
          </cell>
          <cell r="I285" t="str">
            <v>Sí</v>
          </cell>
        </row>
        <row r="286">
          <cell r="D286" t="str">
            <v>92 503</v>
          </cell>
          <cell r="E286" t="str">
            <v>Sucre 13.8</v>
          </cell>
          <cell r="F286">
            <v>13.8</v>
          </cell>
          <cell r="G286" t="str">
            <v>residencial</v>
          </cell>
          <cell r="H286" t="str">
            <v>Barbosa 115 kV</v>
          </cell>
          <cell r="I286" t="str">
            <v>Sí</v>
          </cell>
        </row>
        <row r="287">
          <cell r="D287" t="str">
            <v>92 504</v>
          </cell>
          <cell r="E287" t="str">
            <v>Sucre 13.8</v>
          </cell>
          <cell r="F287">
            <v>13.8</v>
          </cell>
          <cell r="G287" t="str">
            <v>residencial</v>
          </cell>
          <cell r="H287" t="str">
            <v>Barbosa 115 kV</v>
          </cell>
          <cell r="I287" t="str">
            <v>Sí</v>
          </cell>
        </row>
        <row r="288">
          <cell r="D288" t="str">
            <v>92 505</v>
          </cell>
          <cell r="E288" t="str">
            <v>Sucre 13.8</v>
          </cell>
          <cell r="F288">
            <v>13.8</v>
          </cell>
          <cell r="G288" t="str">
            <v>residencial</v>
          </cell>
          <cell r="H288" t="str">
            <v>Barbosa 115 kV</v>
          </cell>
          <cell r="I288" t="str">
            <v>Sí</v>
          </cell>
        </row>
        <row r="289">
          <cell r="D289" t="str">
            <v>92 506</v>
          </cell>
          <cell r="E289" t="str">
            <v>Sucre 13.8</v>
          </cell>
          <cell r="F289">
            <v>13.8</v>
          </cell>
          <cell r="G289" t="str">
            <v>residencial</v>
          </cell>
          <cell r="H289" t="str">
            <v>Barbosa 115 kV</v>
          </cell>
          <cell r="I289" t="str">
            <v>Sí</v>
          </cell>
        </row>
        <row r="290">
          <cell r="D290" t="str">
            <v>92 507</v>
          </cell>
          <cell r="E290" t="str">
            <v>Sucre 13.8</v>
          </cell>
          <cell r="F290">
            <v>13.8</v>
          </cell>
          <cell r="G290" t="str">
            <v>residencial</v>
          </cell>
          <cell r="H290" t="str">
            <v>Barbosa 115 kV</v>
          </cell>
          <cell r="I290" t="str">
            <v>Sí</v>
          </cell>
        </row>
        <row r="291">
          <cell r="D291" t="str">
            <v>93 501</v>
          </cell>
          <cell r="E291" t="str">
            <v>San Andres 13.8</v>
          </cell>
          <cell r="F291">
            <v>13.8</v>
          </cell>
          <cell r="G291" t="str">
            <v>residencial</v>
          </cell>
          <cell r="H291" t="str">
            <v>San Gil 115 kV</v>
          </cell>
          <cell r="I291" t="str">
            <v>Sí</v>
          </cell>
        </row>
        <row r="292">
          <cell r="D292" t="str">
            <v>93 502</v>
          </cell>
          <cell r="E292" t="str">
            <v>San Andres 13.8</v>
          </cell>
          <cell r="F292">
            <v>13.8</v>
          </cell>
          <cell r="G292" t="str">
            <v>residencial</v>
          </cell>
          <cell r="H292" t="str">
            <v>San Gil 115 kV</v>
          </cell>
          <cell r="I292" t="str">
            <v>Sí</v>
          </cell>
        </row>
        <row r="293">
          <cell r="D293" t="str">
            <v>93 503</v>
          </cell>
          <cell r="E293" t="str">
            <v>San Andres 13.8</v>
          </cell>
          <cell r="F293">
            <v>13.8</v>
          </cell>
          <cell r="G293" t="str">
            <v>residencial</v>
          </cell>
          <cell r="H293" t="str">
            <v>San Gil 115 kV</v>
          </cell>
          <cell r="I293" t="str">
            <v>Sí</v>
          </cell>
        </row>
        <row r="294">
          <cell r="D294" t="str">
            <v>93 504</v>
          </cell>
          <cell r="E294" t="str">
            <v>San Andres 13.8</v>
          </cell>
          <cell r="F294">
            <v>13.8</v>
          </cell>
          <cell r="G294" t="str">
            <v>residencial</v>
          </cell>
          <cell r="H294" t="str">
            <v>San Gil 115 kV</v>
          </cell>
          <cell r="I294" t="str">
            <v>Sí</v>
          </cell>
        </row>
        <row r="295">
          <cell r="D295" t="str">
            <v>94 501</v>
          </cell>
          <cell r="E295" t="str">
            <v>Capitanejo 13.8</v>
          </cell>
          <cell r="F295">
            <v>13.8</v>
          </cell>
          <cell r="G295" t="str">
            <v>residencial</v>
          </cell>
          <cell r="H295" t="str">
            <v>San Gil 115 kV</v>
          </cell>
          <cell r="I295" t="str">
            <v>Sí</v>
          </cell>
        </row>
        <row r="296">
          <cell r="D296" t="str">
            <v>94 502</v>
          </cell>
          <cell r="E296" t="str">
            <v>Capitanejo 13.8</v>
          </cell>
          <cell r="F296">
            <v>13.8</v>
          </cell>
          <cell r="G296" t="str">
            <v>residencial</v>
          </cell>
          <cell r="H296" t="str">
            <v>San Gil 115 kV</v>
          </cell>
          <cell r="I296" t="str">
            <v>Sí</v>
          </cell>
        </row>
        <row r="297">
          <cell r="D297" t="str">
            <v>94 503</v>
          </cell>
          <cell r="E297" t="str">
            <v>Capitanejo 13.8</v>
          </cell>
          <cell r="F297">
            <v>13.8</v>
          </cell>
          <cell r="G297" t="str">
            <v>residencial</v>
          </cell>
          <cell r="H297" t="str">
            <v>San Gil 115 kV</v>
          </cell>
          <cell r="I297" t="str">
            <v>Sí</v>
          </cell>
        </row>
        <row r="298">
          <cell r="D298" t="str">
            <v>94 504</v>
          </cell>
          <cell r="E298" t="str">
            <v>Capitanejo 13.8</v>
          </cell>
          <cell r="F298">
            <v>13.8</v>
          </cell>
          <cell r="G298" t="str">
            <v>residencial</v>
          </cell>
          <cell r="H298" t="str">
            <v>San Gil 115 kV</v>
          </cell>
          <cell r="I298" t="str">
            <v>Sí</v>
          </cell>
        </row>
        <row r="299">
          <cell r="D299" t="str">
            <v>95 502</v>
          </cell>
          <cell r="E299" t="str">
            <v>Garcia Rovira 2 13.8</v>
          </cell>
          <cell r="F299">
            <v>13.8</v>
          </cell>
          <cell r="G299" t="str">
            <v>residencial</v>
          </cell>
          <cell r="H299" t="str">
            <v>San Gil 115 kV</v>
          </cell>
          <cell r="I299" t="str">
            <v>Sí</v>
          </cell>
        </row>
        <row r="300">
          <cell r="D300" t="str">
            <v>95 504</v>
          </cell>
          <cell r="E300" t="str">
            <v>Garcia Rovira 1 13.8</v>
          </cell>
          <cell r="F300">
            <v>13.8</v>
          </cell>
          <cell r="G300" t="str">
            <v>residencial</v>
          </cell>
          <cell r="H300" t="str">
            <v>San Gil 115 kV</v>
          </cell>
          <cell r="I300" t="str">
            <v>Sí</v>
          </cell>
        </row>
        <row r="301">
          <cell r="D301" t="str">
            <v>95 505</v>
          </cell>
          <cell r="E301" t="str">
            <v>Garcia Rovira 1 13.8</v>
          </cell>
          <cell r="F301">
            <v>13.8</v>
          </cell>
          <cell r="G301" t="str">
            <v>residencial</v>
          </cell>
          <cell r="H301" t="str">
            <v>San Gil 115 kV</v>
          </cell>
          <cell r="I301" t="str">
            <v>Sí</v>
          </cell>
        </row>
        <row r="302">
          <cell r="D302" t="str">
            <v>95 506</v>
          </cell>
          <cell r="E302" t="str">
            <v>Garcia Rovira 1 13.8</v>
          </cell>
          <cell r="F302">
            <v>13.8</v>
          </cell>
          <cell r="G302" t="str">
            <v>residencial</v>
          </cell>
          <cell r="H302" t="str">
            <v>San Gil 115 kV</v>
          </cell>
          <cell r="I302" t="str">
            <v>Sí</v>
          </cell>
        </row>
        <row r="303">
          <cell r="D303" t="str">
            <v>95 507</v>
          </cell>
          <cell r="E303" t="str">
            <v>Garcia Rovira 2 13.8</v>
          </cell>
          <cell r="F303">
            <v>13.8</v>
          </cell>
          <cell r="G303" t="str">
            <v>residencial</v>
          </cell>
          <cell r="H303" t="str">
            <v>San Gil 115 kV</v>
          </cell>
          <cell r="I303" t="str">
            <v>Sí</v>
          </cell>
        </row>
        <row r="304">
          <cell r="D304" t="str">
            <v>95 508</v>
          </cell>
          <cell r="E304" t="str">
            <v>Garcia Rovira 2 13.8</v>
          </cell>
          <cell r="F304">
            <v>13.8</v>
          </cell>
          <cell r="G304" t="str">
            <v>residencial</v>
          </cell>
          <cell r="H304" t="str">
            <v>San Gil 115 kV</v>
          </cell>
          <cell r="I304" t="str">
            <v>Sí</v>
          </cell>
        </row>
        <row r="305">
          <cell r="D305" t="str">
            <v>Load 401</v>
          </cell>
          <cell r="E305" t="str">
            <v>Nodo 401.1</v>
          </cell>
          <cell r="F305">
            <v>34.5</v>
          </cell>
          <cell r="G305" t="str">
            <v>Industrial</v>
          </cell>
          <cell r="H305" t="str">
            <v>Florida 115 kV
Bucaramanga 115 kV</v>
          </cell>
          <cell r="I305" t="str">
            <v>Sí</v>
          </cell>
        </row>
        <row r="306">
          <cell r="D306" t="str">
            <v>Load 402</v>
          </cell>
          <cell r="E306" t="str">
            <v>Nodo 402.5</v>
          </cell>
          <cell r="F306">
            <v>34.5</v>
          </cell>
          <cell r="G306" t="str">
            <v>Industrial</v>
          </cell>
          <cell r="H306" t="str">
            <v>Florida 115 kV</v>
          </cell>
          <cell r="I306" t="str">
            <v>Sí</v>
          </cell>
        </row>
        <row r="307">
          <cell r="D307" t="str">
            <v>Load 403</v>
          </cell>
          <cell r="E307" t="str">
            <v>Nodo 403.1</v>
          </cell>
          <cell r="F307">
            <v>34.5</v>
          </cell>
          <cell r="G307" t="str">
            <v>Industrial</v>
          </cell>
          <cell r="H307" t="str">
            <v>Palos 115 kV</v>
          </cell>
          <cell r="I307" t="str">
            <v>Sí</v>
          </cell>
        </row>
        <row r="308">
          <cell r="D308" t="str">
            <v>Load 407</v>
          </cell>
          <cell r="E308" t="str">
            <v>Lod 407.3</v>
          </cell>
          <cell r="F308">
            <v>34.5</v>
          </cell>
          <cell r="G308" t="str">
            <v>Industrial</v>
          </cell>
          <cell r="H308" t="str">
            <v>Palos 115 kV</v>
          </cell>
          <cell r="I308" t="str">
            <v>Sí</v>
          </cell>
        </row>
        <row r="309">
          <cell r="D309" t="str">
            <v>Load 408</v>
          </cell>
          <cell r="E309" t="str">
            <v>Nodo 408.1</v>
          </cell>
          <cell r="F309">
            <v>34.5</v>
          </cell>
          <cell r="G309" t="str">
            <v>Industrial</v>
          </cell>
          <cell r="H309" t="str">
            <v>Palenque 115 kV</v>
          </cell>
          <cell r="I309" t="str">
            <v>Sí</v>
          </cell>
        </row>
        <row r="310">
          <cell r="D310" t="str">
            <v>Load 409</v>
          </cell>
          <cell r="E310" t="str">
            <v>Nodo 409.2</v>
          </cell>
          <cell r="F310">
            <v>34.5</v>
          </cell>
          <cell r="G310" t="str">
            <v>Industrial</v>
          </cell>
          <cell r="H310" t="str">
            <v>Palenque 115 kV
Real de Minas 115 kV</v>
          </cell>
          <cell r="I310" t="str">
            <v>Sí</v>
          </cell>
        </row>
        <row r="311">
          <cell r="D311" t="str">
            <v>Load 411</v>
          </cell>
          <cell r="E311" t="str">
            <v>Nodo 411.2</v>
          </cell>
          <cell r="F311">
            <v>34.5</v>
          </cell>
          <cell r="G311" t="str">
            <v>Industrial</v>
          </cell>
          <cell r="H311" t="str">
            <v>Palenque 115 kV
Real de Minas 115 kV</v>
          </cell>
          <cell r="I311" t="str">
            <v>Sí</v>
          </cell>
        </row>
        <row r="312">
          <cell r="D312" t="str">
            <v>Load 4110</v>
          </cell>
          <cell r="E312" t="str">
            <v>Nodo Load 4110</v>
          </cell>
          <cell r="F312">
            <v>34.5</v>
          </cell>
          <cell r="G312" t="str">
            <v>Industrial</v>
          </cell>
          <cell r="H312" t="str">
            <v>Rio Frio 115 kV</v>
          </cell>
          <cell r="I312" t="str">
            <v>Sí</v>
          </cell>
        </row>
        <row r="313">
          <cell r="D313" t="str">
            <v>Load 417</v>
          </cell>
          <cell r="E313" t="str">
            <v>Nodo 417.3</v>
          </cell>
          <cell r="F313">
            <v>34.5</v>
          </cell>
          <cell r="G313" t="str">
            <v>Industrial</v>
          </cell>
          <cell r="H313" t="str">
            <v>Palos 115 kV</v>
          </cell>
          <cell r="I313" t="str">
            <v>Sí</v>
          </cell>
        </row>
        <row r="314">
          <cell r="D314" t="str">
            <v>Load 418</v>
          </cell>
          <cell r="E314" t="str">
            <v>Nodo 418.1</v>
          </cell>
          <cell r="F314">
            <v>34.5</v>
          </cell>
          <cell r="G314" t="str">
            <v>Industrial</v>
          </cell>
          <cell r="H314" t="str">
            <v>Palos 115 kV</v>
          </cell>
          <cell r="I314" t="str">
            <v>Sí</v>
          </cell>
        </row>
        <row r="315">
          <cell r="D315" t="str">
            <v>Load 421</v>
          </cell>
          <cell r="E315" t="str">
            <v>Nodo 421.6</v>
          </cell>
          <cell r="F315">
            <v>34.5</v>
          </cell>
          <cell r="G315" t="str">
            <v>Industrial</v>
          </cell>
          <cell r="H315" t="str">
            <v>Florida 115 kV</v>
          </cell>
          <cell r="I315" t="str">
            <v>Sí</v>
          </cell>
        </row>
        <row r="316">
          <cell r="D316" t="str">
            <v>Load 422</v>
          </cell>
          <cell r="E316" t="str">
            <v>Nodo 422.2</v>
          </cell>
          <cell r="F316">
            <v>34.5</v>
          </cell>
          <cell r="G316" t="str">
            <v>Industrial</v>
          </cell>
          <cell r="H316" t="str">
            <v>Florida 115 kV</v>
          </cell>
          <cell r="I316" t="str">
            <v>Sí</v>
          </cell>
        </row>
        <row r="317">
          <cell r="D317" t="str">
            <v>Load 423</v>
          </cell>
          <cell r="E317" t="str">
            <v>Nodo 423.3</v>
          </cell>
          <cell r="F317">
            <v>34.5</v>
          </cell>
          <cell r="G317" t="str">
            <v>Industrial</v>
          </cell>
          <cell r="H317" t="str">
            <v>Bucaramanga 115 kV</v>
          </cell>
          <cell r="I317" t="str">
            <v>Sí</v>
          </cell>
        </row>
        <row r="318">
          <cell r="D318" t="str">
            <v>Load 425</v>
          </cell>
          <cell r="E318" t="str">
            <v>California 34.5</v>
          </cell>
          <cell r="F318">
            <v>34.5</v>
          </cell>
          <cell r="G318" t="str">
            <v>Industrial</v>
          </cell>
          <cell r="H318" t="str">
            <v>Palos 115 kV</v>
          </cell>
          <cell r="I318" t="str">
            <v>Sí</v>
          </cell>
        </row>
        <row r="319">
          <cell r="D319" t="str">
            <v>Load 426</v>
          </cell>
          <cell r="E319" t="str">
            <v>Nodo 426.1</v>
          </cell>
          <cell r="F319">
            <v>34.5</v>
          </cell>
          <cell r="G319" t="str">
            <v>Industrial</v>
          </cell>
          <cell r="H319" t="str">
            <v>Real de Minas 115 kV</v>
          </cell>
          <cell r="I319" t="str">
            <v>Sí</v>
          </cell>
        </row>
        <row r="320">
          <cell r="D320" t="str">
            <v>Load 427</v>
          </cell>
          <cell r="E320" t="str">
            <v>Nodo 427.1</v>
          </cell>
          <cell r="F320">
            <v>34.5</v>
          </cell>
          <cell r="G320" t="str">
            <v>Industrial</v>
          </cell>
          <cell r="H320" t="str">
            <v>Real de Minas 115 kV</v>
          </cell>
          <cell r="I320" t="str">
            <v>Sí</v>
          </cell>
        </row>
        <row r="321">
          <cell r="D321" t="str">
            <v>Load 429</v>
          </cell>
          <cell r="E321" t="str">
            <v>Nodo 427.1</v>
          </cell>
          <cell r="F321">
            <v>34.5</v>
          </cell>
          <cell r="G321" t="str">
            <v>Industrial</v>
          </cell>
          <cell r="H321" t="str">
            <v>Real de Minas 115 kV</v>
          </cell>
          <cell r="I321" t="str">
            <v>Sí</v>
          </cell>
        </row>
        <row r="322">
          <cell r="D322" t="str">
            <v>Load 430</v>
          </cell>
          <cell r="E322" t="str">
            <v>Nodo 430.3</v>
          </cell>
          <cell r="F322">
            <v>34.5</v>
          </cell>
          <cell r="G322" t="str">
            <v>Industrial</v>
          </cell>
          <cell r="H322" t="str">
            <v>San Alberto 115 kV</v>
          </cell>
          <cell r="I322" t="str">
            <v>Sí</v>
          </cell>
        </row>
        <row r="323">
          <cell r="D323" t="str">
            <v>Load 431</v>
          </cell>
          <cell r="E323" t="str">
            <v>Nodo 431 Load</v>
          </cell>
          <cell r="F323">
            <v>34.5</v>
          </cell>
          <cell r="G323" t="str">
            <v>Industrial</v>
          </cell>
          <cell r="H323" t="str">
            <v>San Alberto 115 kV</v>
          </cell>
          <cell r="I323" t="str">
            <v>Sí</v>
          </cell>
        </row>
        <row r="324">
          <cell r="D324" t="str">
            <v>Load 432</v>
          </cell>
          <cell r="E324" t="str">
            <v>Agroince 34.5</v>
          </cell>
          <cell r="F324">
            <v>34.5</v>
          </cell>
          <cell r="G324" t="str">
            <v>Industrial</v>
          </cell>
          <cell r="H324" t="str">
            <v>San Alberto 115 kV</v>
          </cell>
          <cell r="I324" t="str">
            <v>Sí</v>
          </cell>
        </row>
        <row r="325">
          <cell r="D325" t="str">
            <v>Load 434</v>
          </cell>
          <cell r="E325" t="str">
            <v>Sabana de Torres 34.5 kV</v>
          </cell>
          <cell r="F325">
            <v>34.5</v>
          </cell>
          <cell r="G325" t="str">
            <v>Industrial</v>
          </cell>
          <cell r="H325" t="str">
            <v>Sabana de Torres 115 kV</v>
          </cell>
          <cell r="I325" t="str">
            <v>Sí</v>
          </cell>
        </row>
        <row r="326">
          <cell r="D326" t="str">
            <v>Load 436</v>
          </cell>
          <cell r="E326" t="str">
            <v>Lebrija 34.5</v>
          </cell>
          <cell r="F326">
            <v>34.5</v>
          </cell>
          <cell r="G326" t="str">
            <v>Industrial</v>
          </cell>
          <cell r="H326" t="str">
            <v>Palenque 115 kV</v>
          </cell>
          <cell r="I326" t="str">
            <v>Sí</v>
          </cell>
        </row>
        <row r="327">
          <cell r="D327" t="str">
            <v>Load 437</v>
          </cell>
          <cell r="E327" t="str">
            <v>Load 437</v>
          </cell>
          <cell r="F327">
            <v>34.5</v>
          </cell>
          <cell r="G327" t="str">
            <v>Industrial</v>
          </cell>
          <cell r="H327" t="str">
            <v>Rio Frio 115 kV</v>
          </cell>
          <cell r="I327" t="str">
            <v>Sí</v>
          </cell>
        </row>
        <row r="328">
          <cell r="D328" t="str">
            <v>Load 438</v>
          </cell>
          <cell r="E328" t="str">
            <v>Nodo 438.5</v>
          </cell>
          <cell r="F328">
            <v>34.5</v>
          </cell>
          <cell r="G328" t="str">
            <v>Industrial</v>
          </cell>
          <cell r="H328" t="str">
            <v>Palenque 115 kV
Real de Minas 115 kV</v>
          </cell>
          <cell r="I328" t="str">
            <v>Sí</v>
          </cell>
        </row>
        <row r="329">
          <cell r="D329" t="str">
            <v>Load 439</v>
          </cell>
          <cell r="E329" t="str">
            <v>Nodo Load 439</v>
          </cell>
          <cell r="F329">
            <v>34.5</v>
          </cell>
          <cell r="G329" t="str">
            <v>Industrial</v>
          </cell>
          <cell r="H329" t="str">
            <v>Rio Frio 115 kV</v>
          </cell>
          <cell r="I329" t="str">
            <v>Sí</v>
          </cell>
        </row>
        <row r="330">
          <cell r="D330" t="str">
            <v>Load 440</v>
          </cell>
          <cell r="E330" t="str">
            <v>Bosque 34.5</v>
          </cell>
          <cell r="F330">
            <v>34.5</v>
          </cell>
          <cell r="G330" t="str">
            <v>Industrial</v>
          </cell>
          <cell r="H330" t="str">
            <v>Florida 115 kV
Rio Frio 115 kV</v>
          </cell>
          <cell r="I330" t="str">
            <v>Sí</v>
          </cell>
        </row>
        <row r="331">
          <cell r="D331" t="str">
            <v>Load 442</v>
          </cell>
          <cell r="E331" t="str">
            <v>Conuco 34.5</v>
          </cell>
          <cell r="F331">
            <v>34.5</v>
          </cell>
          <cell r="G331" t="str">
            <v>Industrial</v>
          </cell>
          <cell r="H331" t="str">
            <v>Real de Minas 115 kV
Principal 115 kV</v>
          </cell>
          <cell r="I331" t="str">
            <v>Sí</v>
          </cell>
        </row>
        <row r="332">
          <cell r="D332" t="str">
            <v>Load 443</v>
          </cell>
          <cell r="E332" t="str">
            <v>Nodo 443</v>
          </cell>
          <cell r="F332">
            <v>34.5</v>
          </cell>
          <cell r="G332" t="str">
            <v>Industrial</v>
          </cell>
          <cell r="H332" t="str">
            <v>Piedecuesta 115 kV</v>
          </cell>
          <cell r="I332" t="str">
            <v>Sí</v>
          </cell>
        </row>
        <row r="333">
          <cell r="D333" t="str">
            <v>Load 450</v>
          </cell>
          <cell r="E333" t="str">
            <v>Nodo 450.2</v>
          </cell>
          <cell r="F333">
            <v>34.5</v>
          </cell>
          <cell r="G333" t="str">
            <v>Industrial</v>
          </cell>
          <cell r="H333" t="str">
            <v>Puerto Wilches 115 kV</v>
          </cell>
          <cell r="I333" t="str">
            <v>Sí</v>
          </cell>
        </row>
        <row r="334">
          <cell r="D334" t="str">
            <v>Load 451</v>
          </cell>
          <cell r="E334" t="str">
            <v>Nodo 467.5</v>
          </cell>
          <cell r="F334">
            <v>34.5</v>
          </cell>
          <cell r="G334" t="str">
            <v>Industrial</v>
          </cell>
          <cell r="H334" t="str">
            <v>Puerto Wilches 115 kV</v>
          </cell>
          <cell r="I334" t="str">
            <v>Sí</v>
          </cell>
        </row>
        <row r="335">
          <cell r="D335" t="str">
            <v>Load 456</v>
          </cell>
          <cell r="E335" t="str">
            <v>Barranca 1 34.5</v>
          </cell>
          <cell r="F335">
            <v>34.5</v>
          </cell>
          <cell r="G335" t="str">
            <v>Industrial</v>
          </cell>
          <cell r="H335" t="str">
            <v>Barranca 115 kV</v>
          </cell>
          <cell r="I335" t="str">
            <v>Sí</v>
          </cell>
        </row>
        <row r="336">
          <cell r="D336" t="str">
            <v>Load 457</v>
          </cell>
          <cell r="E336" t="str">
            <v>Nodo 457.3</v>
          </cell>
          <cell r="F336">
            <v>34.5</v>
          </cell>
          <cell r="G336" t="str">
            <v>Industrial</v>
          </cell>
          <cell r="H336" t="str">
            <v>Barranca 115 kV</v>
          </cell>
          <cell r="I336" t="str">
            <v>Sí</v>
          </cell>
        </row>
        <row r="337">
          <cell r="D337" t="str">
            <v>Load 460</v>
          </cell>
          <cell r="E337" t="str">
            <v>Nodo 460.2</v>
          </cell>
          <cell r="F337">
            <v>34.5</v>
          </cell>
          <cell r="G337" t="str">
            <v>Industrial</v>
          </cell>
          <cell r="H337" t="str">
            <v>San Silvestre 115 kV
Barranca 115 kV</v>
          </cell>
          <cell r="I337" t="str">
            <v>Sí</v>
          </cell>
        </row>
        <row r="338">
          <cell r="D338" t="str">
            <v>Load 461</v>
          </cell>
          <cell r="E338" t="str">
            <v>Parnaso 2 34.5</v>
          </cell>
          <cell r="F338">
            <v>34.5</v>
          </cell>
          <cell r="G338" t="str">
            <v>Industrial</v>
          </cell>
          <cell r="H338" t="str">
            <v>San Silvestre 115 kV
Barranca 115 kV</v>
          </cell>
          <cell r="I338" t="str">
            <v>Sí</v>
          </cell>
        </row>
        <row r="339">
          <cell r="D339" t="str">
            <v>Load 471</v>
          </cell>
          <cell r="E339" t="str">
            <v>Sn Silvestre 34.5</v>
          </cell>
          <cell r="F339">
            <v>34.5</v>
          </cell>
          <cell r="G339" t="str">
            <v>Industrial</v>
          </cell>
          <cell r="H339" t="str">
            <v>San Silvestre 115 kV</v>
          </cell>
          <cell r="I339" t="str">
            <v>Sí</v>
          </cell>
        </row>
        <row r="340">
          <cell r="D340" t="str">
            <v>Load 472</v>
          </cell>
          <cell r="E340" t="str">
            <v>Nodo 472.1</v>
          </cell>
          <cell r="F340">
            <v>34.5</v>
          </cell>
          <cell r="G340" t="str">
            <v>Industrial</v>
          </cell>
          <cell r="H340" t="str">
            <v>San Silvestre 115 kV
Barranca 115 kV</v>
          </cell>
          <cell r="I340" t="str">
            <v>Sí</v>
          </cell>
        </row>
        <row r="341">
          <cell r="D341" t="str">
            <v>Load 474</v>
          </cell>
          <cell r="E341" t="str">
            <v>Campo38 34.5</v>
          </cell>
          <cell r="F341">
            <v>34.5</v>
          </cell>
          <cell r="G341" t="str">
            <v>Industrial</v>
          </cell>
          <cell r="H341" t="str">
            <v>Lizama 115 kV</v>
          </cell>
          <cell r="I341" t="str">
            <v>Sí</v>
          </cell>
        </row>
        <row r="342">
          <cell r="D342" t="str">
            <v>Load 477</v>
          </cell>
          <cell r="E342" t="str">
            <v>Terminal(68)</v>
          </cell>
          <cell r="F342">
            <v>34.5</v>
          </cell>
          <cell r="G342" t="str">
            <v>Industrial</v>
          </cell>
          <cell r="H342" t="str">
            <v>Lizama 115 kV</v>
          </cell>
          <cell r="I342" t="str">
            <v>Sí</v>
          </cell>
        </row>
        <row r="343">
          <cell r="D343" t="str">
            <v>Load 483</v>
          </cell>
          <cell r="E343" t="str">
            <v>Nodo 483.2 Santana</v>
          </cell>
          <cell r="F343">
            <v>34.5</v>
          </cell>
          <cell r="G343" t="str">
            <v>Industrial</v>
          </cell>
          <cell r="H343" t="str">
            <v>Barbosa 115 kV</v>
          </cell>
          <cell r="I343" t="str">
            <v>Sí</v>
          </cell>
        </row>
        <row r="344">
          <cell r="D344" t="str">
            <v>Load 484</v>
          </cell>
          <cell r="E344" t="str">
            <v>Nodo 484.1</v>
          </cell>
          <cell r="F344">
            <v>34.5</v>
          </cell>
          <cell r="G344" t="str">
            <v>Industrial</v>
          </cell>
          <cell r="H344" t="str">
            <v>Oiba 115 kV</v>
          </cell>
          <cell r="I344" t="str">
            <v>Sí</v>
          </cell>
        </row>
        <row r="345">
          <cell r="D345" t="str">
            <v>Load 487</v>
          </cell>
          <cell r="E345" t="str">
            <v>Barbosa 34.5</v>
          </cell>
          <cell r="F345">
            <v>34.5</v>
          </cell>
          <cell r="G345" t="str">
            <v>Industrial</v>
          </cell>
          <cell r="H345" t="str">
            <v>Barbosa 115 kV</v>
          </cell>
          <cell r="I345" t="str">
            <v>Sí</v>
          </cell>
        </row>
        <row r="346">
          <cell r="D346" t="str">
            <v>Load 488</v>
          </cell>
          <cell r="E346" t="str">
            <v>Nodo 488</v>
          </cell>
          <cell r="F346">
            <v>34.5</v>
          </cell>
          <cell r="G346" t="str">
            <v>Industrial</v>
          </cell>
          <cell r="H346" t="str">
            <v>Cimitarra 115 kV</v>
          </cell>
          <cell r="I346" t="str">
            <v>Sí</v>
          </cell>
        </row>
        <row r="347">
          <cell r="D347" t="str">
            <v>Load 490</v>
          </cell>
          <cell r="E347" t="str">
            <v>San Gil 2 34.5</v>
          </cell>
          <cell r="F347">
            <v>34.5</v>
          </cell>
          <cell r="G347" t="str">
            <v>Industrial</v>
          </cell>
          <cell r="H347" t="str">
            <v>San Gil 115 kV</v>
          </cell>
          <cell r="I347" t="str">
            <v>Sí</v>
          </cell>
        </row>
        <row r="348">
          <cell r="D348" t="str">
            <v>Load 491</v>
          </cell>
          <cell r="E348" t="str">
            <v>San Gil 2 34.5</v>
          </cell>
          <cell r="F348">
            <v>34.5</v>
          </cell>
          <cell r="G348" t="str">
            <v>Industrial</v>
          </cell>
          <cell r="H348" t="str">
            <v>San Gil 115 kV</v>
          </cell>
          <cell r="I348" t="str">
            <v>Sí</v>
          </cell>
        </row>
        <row r="349">
          <cell r="D349" t="str">
            <v>Load 499</v>
          </cell>
          <cell r="E349" t="str">
            <v>Barranca 1 34.5</v>
          </cell>
          <cell r="F349">
            <v>34.5</v>
          </cell>
          <cell r="G349" t="str">
            <v>Industrial</v>
          </cell>
          <cell r="H349" t="str">
            <v>Barranca 115 kV</v>
          </cell>
          <cell r="I349" t="str">
            <v>Sí</v>
          </cell>
        </row>
        <row r="350">
          <cell r="D350" t="str">
            <v>Load Cachira</v>
          </cell>
          <cell r="E350" t="str">
            <v>Laguna 34.5</v>
          </cell>
          <cell r="F350">
            <v>34.5</v>
          </cell>
          <cell r="G350" t="str">
            <v>Industrial</v>
          </cell>
          <cell r="H350" t="str">
            <v>Palos 115 kV</v>
          </cell>
          <cell r="I350" t="str">
            <v>Sí</v>
          </cell>
        </row>
        <row r="351">
          <cell r="D351" t="str">
            <v>Load Condor</v>
          </cell>
          <cell r="E351" t="str">
            <v>Condor 34.5</v>
          </cell>
          <cell r="F351">
            <v>34.5</v>
          </cell>
          <cell r="G351" t="str">
            <v>Industrial</v>
          </cell>
          <cell r="H351" t="str">
            <v>Condor 115 kV</v>
          </cell>
          <cell r="I351" t="str">
            <v>Sí</v>
          </cell>
        </row>
        <row r="352">
          <cell r="D352" t="str">
            <v>Load IslaVI</v>
          </cell>
          <cell r="E352" t="str">
            <v>IslaVI 34.5</v>
          </cell>
          <cell r="F352">
            <v>34.5</v>
          </cell>
          <cell r="G352" t="str">
            <v>Industrial</v>
          </cell>
          <cell r="H352" t="str">
            <v>Isla VI 115 kV</v>
          </cell>
          <cell r="I352" t="str">
            <v>Sí</v>
          </cell>
        </row>
        <row r="353">
          <cell r="D353" t="str">
            <v>Load Panachi</v>
          </cell>
          <cell r="E353" t="str">
            <v>Chicamocha 34.5</v>
          </cell>
          <cell r="F353">
            <v>34.5</v>
          </cell>
          <cell r="G353" t="str">
            <v>Industrial</v>
          </cell>
          <cell r="H353" t="str">
            <v>Piedecuesta 115 kV</v>
          </cell>
          <cell r="I353" t="str">
            <v>Sí</v>
          </cell>
        </row>
        <row r="354">
          <cell r="D354" t="str">
            <v>Load Simiti</v>
          </cell>
          <cell r="E354" t="str">
            <v>San Pablo 34.5</v>
          </cell>
          <cell r="F354">
            <v>34.5</v>
          </cell>
          <cell r="G354" t="str">
            <v>Industrial</v>
          </cell>
          <cell r="H354" t="str">
            <v>Puerto Wilches 115 kV</v>
          </cell>
          <cell r="I354" t="str">
            <v>Sí</v>
          </cell>
        </row>
        <row r="355">
          <cell r="D355" t="str">
            <v>Load T5</v>
          </cell>
          <cell r="E355" t="str">
            <v>Barranca 2 34.5</v>
          </cell>
          <cell r="F355">
            <v>34.5</v>
          </cell>
          <cell r="G355" t="str">
            <v>Industrial</v>
          </cell>
          <cell r="H355" t="str">
            <v>Barranca 115 kV</v>
          </cell>
          <cell r="I355" t="str">
            <v>Sí</v>
          </cell>
        </row>
        <row r="356">
          <cell r="D356" t="str">
            <v>lod BSCONIA1</v>
          </cell>
          <cell r="E356" t="str">
            <v>Bosconia 115 kV</v>
          </cell>
          <cell r="F356">
            <v>115</v>
          </cell>
          <cell r="G356" t="str">
            <v>Industrial</v>
          </cell>
          <cell r="H356" t="str">
            <v>Principal 115 kV</v>
          </cell>
          <cell r="I356" t="str">
            <v>Sí</v>
          </cell>
        </row>
        <row r="357">
          <cell r="D357" t="str">
            <v>lod STAROSA1</v>
          </cell>
          <cell r="E357" t="str">
            <v>Sta Rosa 115 kV</v>
          </cell>
          <cell r="F357">
            <v>115</v>
          </cell>
          <cell r="G357" t="str">
            <v>Industrial</v>
          </cell>
          <cell r="H357" t="str">
            <v>Cimitarra 115 kV</v>
          </cell>
          <cell r="I357" t="str">
            <v>Sí</v>
          </cell>
        </row>
      </sheetData>
      <sheetData sheetId="6"/>
      <sheetData sheetId="7"/>
      <sheetData sheetId="8"/>
      <sheetData sheetId="9"/>
      <sheetData sheetId="10"/>
    </sheetDataSet>
  </externalBook>
</externalLink>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173"/>
  <sheetViews>
    <sheetView showFormulas="false" showGridLines="false" showRowColHeaders="true" showZeros="true" rightToLeft="false" tabSelected="false" showOutlineSymbols="true" defaultGridColor="true" view="normal" topLeftCell="A43" colorId="64" zoomScale="100" zoomScaleNormal="100" zoomScalePageLayoutView="100" workbookViewId="0">
      <selection pane="topLeft" activeCell="I46" activeCellId="0" sqref="I46"/>
    </sheetView>
  </sheetViews>
  <sheetFormatPr defaultColWidth="9.14453125" defaultRowHeight="15" zeroHeight="false" outlineLevelRow="0" outlineLevelCol="0"/>
  <cols>
    <col collapsed="false" customWidth="true" hidden="false" outlineLevel="0" max="1" min="1" style="1" width="3.72"/>
    <col collapsed="false" customWidth="true" hidden="false" outlineLevel="0" max="2" min="2" style="1" width="43.72"/>
    <col collapsed="false" customWidth="true" hidden="false" outlineLevel="0" max="3" min="3" style="2" width="48.14"/>
    <col collapsed="false" customWidth="true" hidden="false" outlineLevel="0" max="4" min="4" style="3" width="80.29"/>
  </cols>
  <sheetData>
    <row r="1" customFormat="false" ht="15.75" hidden="false" customHeight="false" outlineLevel="0" collapsed="false"/>
    <row r="2" customFormat="false" ht="15" hidden="false" customHeight="true" outlineLevel="0" collapsed="false">
      <c r="B2" s="4" t="s">
        <v>0</v>
      </c>
      <c r="C2" s="4"/>
      <c r="D2" s="4"/>
    </row>
    <row r="3" customFormat="false" ht="15" hidden="false" customHeight="true" outlineLevel="0" collapsed="false">
      <c r="B3" s="4"/>
      <c r="C3" s="4"/>
      <c r="D3" s="4"/>
    </row>
    <row r="4" customFormat="false" ht="15" hidden="false" customHeight="true" outlineLevel="0" collapsed="false">
      <c r="B4" s="4"/>
      <c r="C4" s="4"/>
      <c r="D4" s="4"/>
    </row>
    <row r="5" customFormat="false" ht="15.75" hidden="false" customHeight="true" outlineLevel="0" collapsed="false">
      <c r="B5" s="4"/>
      <c r="C5" s="4"/>
      <c r="D5" s="4"/>
    </row>
    <row r="6" customFormat="false" ht="15.75" hidden="false" customHeight="true" outlineLevel="0" collapsed="false">
      <c r="B6" s="5"/>
      <c r="C6" s="5"/>
      <c r="D6" s="6"/>
    </row>
    <row r="7" customFormat="false" ht="15.75" hidden="false" customHeight="true" outlineLevel="0" collapsed="false">
      <c r="B7" s="7" t="s">
        <v>1</v>
      </c>
      <c r="C7" s="7"/>
      <c r="D7" s="7"/>
    </row>
    <row r="8" customFormat="false" ht="15.75" hidden="false" customHeight="true" outlineLevel="0" collapsed="false">
      <c r="B8" s="8" t="s">
        <v>2</v>
      </c>
      <c r="C8" s="8"/>
      <c r="D8" s="8"/>
    </row>
    <row r="9" customFormat="false" ht="15.75" hidden="false" customHeight="true" outlineLevel="0" collapsed="false">
      <c r="B9" s="8"/>
      <c r="C9" s="8"/>
      <c r="D9" s="8"/>
    </row>
    <row r="10" customFormat="false" ht="15.75" hidden="false" customHeight="true" outlineLevel="0" collapsed="false">
      <c r="B10" s="8"/>
      <c r="C10" s="8"/>
      <c r="D10" s="8"/>
    </row>
    <row r="11" customFormat="false" ht="15.75" hidden="false" customHeight="true" outlineLevel="0" collapsed="false">
      <c r="B11" s="8"/>
      <c r="C11" s="8"/>
      <c r="D11" s="8"/>
    </row>
    <row r="12" customFormat="false" ht="15.75" hidden="false" customHeight="true" outlineLevel="0" collapsed="false">
      <c r="B12" s="8"/>
      <c r="C12" s="8"/>
      <c r="D12" s="8"/>
    </row>
    <row r="13" customFormat="false" ht="15.75" hidden="false" customHeight="true" outlineLevel="0" collapsed="false">
      <c r="B13" s="9"/>
      <c r="C13" s="9"/>
      <c r="D13" s="9"/>
    </row>
    <row r="14" customFormat="false" ht="15.75" hidden="false" customHeight="true" outlineLevel="0" collapsed="false">
      <c r="B14" s="7" t="s">
        <v>3</v>
      </c>
      <c r="C14" s="7"/>
      <c r="D14" s="7"/>
    </row>
    <row r="15" customFormat="false" ht="15.75" hidden="false" customHeight="true" outlineLevel="0" collapsed="false">
      <c r="B15" s="8" t="s">
        <v>4</v>
      </c>
      <c r="C15" s="8"/>
      <c r="D15" s="8"/>
    </row>
    <row r="16" customFormat="false" ht="15.75" hidden="false" customHeight="true" outlineLevel="0" collapsed="false">
      <c r="B16" s="8"/>
      <c r="C16" s="8"/>
      <c r="D16" s="8"/>
    </row>
    <row r="17" customFormat="false" ht="15.75" hidden="false" customHeight="true" outlineLevel="0" collapsed="false">
      <c r="B17" s="8"/>
      <c r="C17" s="8"/>
      <c r="D17" s="8"/>
    </row>
    <row r="18" customFormat="false" ht="15.75" hidden="false" customHeight="true" outlineLevel="0" collapsed="false">
      <c r="B18" s="8"/>
      <c r="C18" s="8"/>
      <c r="D18" s="8"/>
    </row>
    <row r="19" customFormat="false" ht="15.75" hidden="false" customHeight="true" outlineLevel="0" collapsed="false">
      <c r="B19" s="8"/>
      <c r="C19" s="8"/>
      <c r="D19" s="8"/>
    </row>
    <row r="20" customFormat="false" ht="15.75" hidden="false" customHeight="true" outlineLevel="0" collapsed="false">
      <c r="B20" s="8"/>
      <c r="C20" s="8"/>
      <c r="D20" s="8"/>
    </row>
    <row r="21" customFormat="false" ht="15.75" hidden="false" customHeight="true" outlineLevel="0" collapsed="false">
      <c r="B21" s="8"/>
      <c r="C21" s="8"/>
      <c r="D21" s="8"/>
    </row>
    <row r="22" customFormat="false" ht="15.75" hidden="false" customHeight="true" outlineLevel="0" collapsed="false">
      <c r="B22" s="8"/>
      <c r="C22" s="8"/>
      <c r="D22" s="8"/>
    </row>
    <row r="23" customFormat="false" ht="15.75" hidden="false" customHeight="true" outlineLevel="0" collapsed="false">
      <c r="B23" s="8"/>
      <c r="C23" s="8"/>
      <c r="D23" s="8"/>
    </row>
    <row r="24" customFormat="false" ht="15.75" hidden="false" customHeight="true" outlineLevel="0" collapsed="false">
      <c r="B24" s="8"/>
      <c r="C24" s="8"/>
      <c r="D24" s="8"/>
    </row>
    <row r="25" customFormat="false" ht="15.75" hidden="false" customHeight="true" outlineLevel="0" collapsed="false"/>
    <row r="26" customFormat="false" ht="15.75" hidden="false" customHeight="true" outlineLevel="0" collapsed="false">
      <c r="B26" s="7" t="s">
        <v>5</v>
      </c>
      <c r="C26" s="7"/>
      <c r="D26" s="7"/>
    </row>
    <row r="27" customFormat="false" ht="15.75" hidden="false" customHeight="true" outlineLevel="0" collapsed="false">
      <c r="B27" s="8" t="s">
        <v>6</v>
      </c>
      <c r="C27" s="8"/>
      <c r="D27" s="8"/>
    </row>
    <row r="28" customFormat="false" ht="15.75" hidden="false" customHeight="true" outlineLevel="0" collapsed="false">
      <c r="B28" s="8"/>
      <c r="C28" s="8"/>
      <c r="D28" s="8"/>
    </row>
    <row r="29" customFormat="false" ht="15.75" hidden="false" customHeight="true" outlineLevel="0" collapsed="false">
      <c r="B29" s="10" t="s">
        <v>7</v>
      </c>
      <c r="C29" s="11" t="s">
        <v>8</v>
      </c>
      <c r="D29" s="12" t="s">
        <v>9</v>
      </c>
    </row>
    <row r="30" customFormat="false" ht="15" hidden="false" customHeight="true" outlineLevel="0" collapsed="false">
      <c r="B30" s="10"/>
      <c r="C30" s="13" t="s">
        <v>10</v>
      </c>
      <c r="D30" s="14" t="s">
        <v>11</v>
      </c>
    </row>
    <row r="31" customFormat="false" ht="15" hidden="false" customHeight="false" outlineLevel="0" collapsed="false">
      <c r="B31" s="10"/>
      <c r="C31" s="13" t="s">
        <v>12</v>
      </c>
      <c r="D31" s="14" t="s">
        <v>13</v>
      </c>
    </row>
    <row r="32" customFormat="false" ht="15" hidden="false" customHeight="false" outlineLevel="0" collapsed="false">
      <c r="B32" s="10"/>
      <c r="C32" s="13" t="s">
        <v>14</v>
      </c>
      <c r="D32" s="14" t="s">
        <v>15</v>
      </c>
    </row>
    <row r="33" customFormat="false" ht="15" hidden="false" customHeight="false" outlineLevel="0" collapsed="false">
      <c r="B33" s="10"/>
      <c r="C33" s="13" t="s">
        <v>16</v>
      </c>
      <c r="D33" s="14" t="s">
        <v>17</v>
      </c>
    </row>
    <row r="34" customFormat="false" ht="30" hidden="false" customHeight="false" outlineLevel="0" collapsed="false">
      <c r="B34" s="10"/>
      <c r="C34" s="13" t="s">
        <v>18</v>
      </c>
      <c r="D34" s="14" t="s">
        <v>19</v>
      </c>
    </row>
    <row r="35" customFormat="false" ht="30" hidden="false" customHeight="false" outlineLevel="0" collapsed="false">
      <c r="B35" s="10"/>
      <c r="C35" s="13" t="s">
        <v>20</v>
      </c>
      <c r="D35" s="14" t="s">
        <v>21</v>
      </c>
    </row>
    <row r="36" customFormat="false" ht="30" hidden="false" customHeight="false" outlineLevel="0" collapsed="false">
      <c r="B36" s="10"/>
      <c r="C36" s="13" t="s">
        <v>22</v>
      </c>
      <c r="D36" s="14" t="s">
        <v>23</v>
      </c>
    </row>
    <row r="37" customFormat="false" ht="60" hidden="false" customHeight="false" outlineLevel="0" collapsed="false">
      <c r="B37" s="10"/>
      <c r="C37" s="15" t="s">
        <v>24</v>
      </c>
      <c r="D37" s="16" t="s">
        <v>25</v>
      </c>
    </row>
    <row r="38" customFormat="false" ht="15" hidden="false" customHeight="false" outlineLevel="0" collapsed="false">
      <c r="B38" s="10"/>
      <c r="C38" s="13" t="s">
        <v>26</v>
      </c>
      <c r="D38" s="14" t="s">
        <v>27</v>
      </c>
    </row>
    <row r="39" customFormat="false" ht="15" hidden="false" customHeight="false" outlineLevel="0" collapsed="false">
      <c r="B39" s="10"/>
      <c r="C39" s="13" t="s">
        <v>28</v>
      </c>
      <c r="D39" s="14" t="s">
        <v>29</v>
      </c>
    </row>
    <row r="40" customFormat="false" ht="30" hidden="false" customHeight="false" outlineLevel="0" collapsed="false">
      <c r="B40" s="10"/>
      <c r="C40" s="13" t="s">
        <v>30</v>
      </c>
      <c r="D40" s="14" t="s">
        <v>31</v>
      </c>
    </row>
    <row r="41" customFormat="false" ht="15" hidden="false" customHeight="false" outlineLevel="0" collapsed="false">
      <c r="B41" s="10"/>
      <c r="C41" s="13" t="s">
        <v>32</v>
      </c>
      <c r="D41" s="14" t="s">
        <v>33</v>
      </c>
    </row>
    <row r="42" customFormat="false" ht="15" hidden="false" customHeight="false" outlineLevel="0" collapsed="false">
      <c r="B42" s="10"/>
      <c r="C42" s="13" t="s">
        <v>34</v>
      </c>
      <c r="D42" s="14" t="s">
        <v>35</v>
      </c>
    </row>
    <row r="43" customFormat="false" ht="15" hidden="false" customHeight="false" outlineLevel="0" collapsed="false">
      <c r="B43" s="10"/>
      <c r="C43" s="13" t="s">
        <v>36</v>
      </c>
      <c r="D43" s="14" t="s">
        <v>37</v>
      </c>
    </row>
    <row r="44" customFormat="false" ht="30" hidden="false" customHeight="false" outlineLevel="0" collapsed="false">
      <c r="B44" s="10"/>
      <c r="C44" s="13" t="s">
        <v>38</v>
      </c>
      <c r="D44" s="14" t="s">
        <v>39</v>
      </c>
    </row>
    <row r="45" customFormat="false" ht="15" hidden="false" customHeight="false" outlineLevel="0" collapsed="false">
      <c r="B45" s="10"/>
      <c r="C45" s="13" t="s">
        <v>40</v>
      </c>
      <c r="D45" s="14" t="s">
        <v>41</v>
      </c>
    </row>
    <row r="46" customFormat="false" ht="45" hidden="false" customHeight="false" outlineLevel="0" collapsed="false">
      <c r="B46" s="10"/>
      <c r="C46" s="13" t="s">
        <v>42</v>
      </c>
      <c r="D46" s="14" t="s">
        <v>43</v>
      </c>
      <c r="I46" s="1" t="s">
        <v>44</v>
      </c>
    </row>
    <row r="47" customFormat="false" ht="30" hidden="false" customHeight="false" outlineLevel="0" collapsed="false">
      <c r="B47" s="10"/>
      <c r="C47" s="13" t="s">
        <v>45</v>
      </c>
      <c r="D47" s="14" t="s">
        <v>46</v>
      </c>
      <c r="I47" s="1" t="s">
        <v>47</v>
      </c>
    </row>
    <row r="48" customFormat="false" ht="30" hidden="false" customHeight="false" outlineLevel="0" collapsed="false">
      <c r="B48" s="10"/>
      <c r="C48" s="13" t="s">
        <v>48</v>
      </c>
      <c r="D48" s="14" t="s">
        <v>49</v>
      </c>
      <c r="I48" s="1" t="s">
        <v>50</v>
      </c>
    </row>
    <row r="49" customFormat="false" ht="15" hidden="false" customHeight="false" outlineLevel="0" collapsed="false">
      <c r="B49" s="10"/>
      <c r="C49" s="13" t="s">
        <v>51</v>
      </c>
      <c r="D49" s="14" t="s">
        <v>52</v>
      </c>
      <c r="I49" s="1" t="s">
        <v>53</v>
      </c>
    </row>
    <row r="50" customFormat="false" ht="15" hidden="false" customHeight="false" outlineLevel="0" collapsed="false">
      <c r="B50" s="10"/>
      <c r="C50" s="13" t="s">
        <v>54</v>
      </c>
      <c r="D50" s="14" t="s">
        <v>55</v>
      </c>
    </row>
    <row r="51" customFormat="false" ht="15" hidden="false" customHeight="false" outlineLevel="0" collapsed="false">
      <c r="B51" s="10"/>
      <c r="C51" s="13" t="s">
        <v>56</v>
      </c>
      <c r="D51" s="14" t="s">
        <v>57</v>
      </c>
    </row>
    <row r="52" customFormat="false" ht="15" hidden="false" customHeight="false" outlineLevel="0" collapsed="false">
      <c r="B52" s="10"/>
      <c r="C52" s="17" t="s">
        <v>58</v>
      </c>
      <c r="D52" s="16" t="s">
        <v>59</v>
      </c>
    </row>
    <row r="53" customFormat="false" ht="270" hidden="false" customHeight="false" outlineLevel="0" collapsed="false">
      <c r="B53" s="10"/>
      <c r="C53" s="17" t="s">
        <v>60</v>
      </c>
      <c r="D53" s="18" t="s">
        <v>61</v>
      </c>
    </row>
    <row r="54" customFormat="false" ht="75.75" hidden="false" customHeight="false" outlineLevel="0" collapsed="false">
      <c r="B54" s="10"/>
      <c r="C54" s="13" t="s">
        <v>62</v>
      </c>
      <c r="D54" s="14" t="s">
        <v>63</v>
      </c>
    </row>
    <row r="55" customFormat="false" ht="30" hidden="false" customHeight="true" outlineLevel="0" collapsed="false">
      <c r="B55" s="19" t="s">
        <v>64</v>
      </c>
      <c r="C55" s="20" t="s">
        <v>8</v>
      </c>
      <c r="D55" s="21" t="s">
        <v>65</v>
      </c>
    </row>
    <row r="56" customFormat="false" ht="15" hidden="false" customHeight="false" outlineLevel="0" collapsed="false">
      <c r="B56" s="19"/>
      <c r="C56" s="22" t="s">
        <v>66</v>
      </c>
      <c r="D56" s="23" t="s">
        <v>67</v>
      </c>
    </row>
    <row r="57" customFormat="false" ht="30" hidden="false" customHeight="false" outlineLevel="0" collapsed="false">
      <c r="B57" s="19"/>
      <c r="C57" s="22" t="s">
        <v>68</v>
      </c>
      <c r="D57" s="23" t="s">
        <v>69</v>
      </c>
    </row>
    <row r="58" customFormat="false" ht="30" hidden="false" customHeight="false" outlineLevel="0" collapsed="false">
      <c r="B58" s="19"/>
      <c r="C58" s="22" t="s">
        <v>70</v>
      </c>
      <c r="D58" s="23" t="s">
        <v>71</v>
      </c>
    </row>
    <row r="59" customFormat="false" ht="30" hidden="false" customHeight="false" outlineLevel="0" collapsed="false">
      <c r="B59" s="19"/>
      <c r="C59" s="22" t="s">
        <v>72</v>
      </c>
      <c r="D59" s="23" t="s">
        <v>73</v>
      </c>
    </row>
    <row r="60" customFormat="false" ht="15" hidden="false" customHeight="false" outlineLevel="0" collapsed="false">
      <c r="B60" s="19"/>
      <c r="C60" s="22" t="s">
        <v>74</v>
      </c>
      <c r="D60" s="23" t="s">
        <v>75</v>
      </c>
    </row>
    <row r="61" customFormat="false" ht="15" hidden="false" customHeight="false" outlineLevel="0" collapsed="false">
      <c r="B61" s="19"/>
      <c r="C61" s="22" t="s">
        <v>76</v>
      </c>
      <c r="D61" s="23" t="s">
        <v>77</v>
      </c>
    </row>
    <row r="62" customFormat="false" ht="15" hidden="false" customHeight="false" outlineLevel="0" collapsed="false">
      <c r="B62" s="19"/>
      <c r="C62" s="22" t="s">
        <v>78</v>
      </c>
      <c r="D62" s="23" t="s">
        <v>79</v>
      </c>
    </row>
    <row r="63" customFormat="false" ht="45" hidden="false" customHeight="false" outlineLevel="0" collapsed="false">
      <c r="B63" s="19"/>
      <c r="C63" s="22" t="s">
        <v>80</v>
      </c>
      <c r="D63" s="23" t="s">
        <v>81</v>
      </c>
    </row>
    <row r="64" customFormat="false" ht="30" hidden="false" customHeight="false" outlineLevel="0" collapsed="false">
      <c r="B64" s="19"/>
      <c r="C64" s="22" t="s">
        <v>82</v>
      </c>
      <c r="D64" s="23" t="s">
        <v>83</v>
      </c>
    </row>
    <row r="65" customFormat="false" ht="30" hidden="false" customHeight="false" outlineLevel="0" collapsed="false">
      <c r="B65" s="19"/>
      <c r="C65" s="22" t="s">
        <v>84</v>
      </c>
      <c r="D65" s="23" t="s">
        <v>85</v>
      </c>
    </row>
    <row r="66" customFormat="false" ht="30" hidden="false" customHeight="false" outlineLevel="0" collapsed="false">
      <c r="B66" s="19"/>
      <c r="C66" s="22" t="s">
        <v>86</v>
      </c>
      <c r="D66" s="23" t="s">
        <v>87</v>
      </c>
    </row>
    <row r="67" customFormat="false" ht="30" hidden="false" customHeight="false" outlineLevel="0" collapsed="false">
      <c r="B67" s="19"/>
      <c r="C67" s="22" t="s">
        <v>88</v>
      </c>
      <c r="D67" s="23" t="s">
        <v>89</v>
      </c>
    </row>
    <row r="68" customFormat="false" ht="30" hidden="false" customHeight="false" outlineLevel="0" collapsed="false">
      <c r="B68" s="19"/>
      <c r="C68" s="22" t="s">
        <v>90</v>
      </c>
      <c r="D68" s="23" t="s">
        <v>91</v>
      </c>
    </row>
    <row r="69" customFormat="false" ht="30" hidden="false" customHeight="false" outlineLevel="0" collapsed="false">
      <c r="B69" s="19"/>
      <c r="C69" s="22" t="s">
        <v>92</v>
      </c>
      <c r="D69" s="23" t="s">
        <v>93</v>
      </c>
    </row>
    <row r="70" customFormat="false" ht="30" hidden="false" customHeight="false" outlineLevel="0" collapsed="false">
      <c r="B70" s="19"/>
      <c r="C70" s="22" t="s">
        <v>94</v>
      </c>
      <c r="D70" s="23" t="s">
        <v>95</v>
      </c>
    </row>
    <row r="71" customFormat="false" ht="15" hidden="false" customHeight="false" outlineLevel="0" collapsed="false">
      <c r="B71" s="19"/>
      <c r="C71" s="22" t="s">
        <v>96</v>
      </c>
      <c r="D71" s="23" t="s">
        <v>97</v>
      </c>
    </row>
    <row r="72" customFormat="false" ht="15" hidden="false" customHeight="false" outlineLevel="0" collapsed="false">
      <c r="B72" s="19"/>
      <c r="C72" s="22" t="s">
        <v>98</v>
      </c>
      <c r="D72" s="23" t="s">
        <v>99</v>
      </c>
    </row>
    <row r="73" customFormat="false" ht="30" hidden="false" customHeight="false" outlineLevel="0" collapsed="false">
      <c r="B73" s="19"/>
      <c r="C73" s="24" t="s">
        <v>100</v>
      </c>
      <c r="D73" s="25" t="s">
        <v>101</v>
      </c>
    </row>
    <row r="74" customFormat="false" ht="45" hidden="false" customHeight="false" outlineLevel="0" collapsed="false">
      <c r="B74" s="19"/>
      <c r="C74" s="24" t="s">
        <v>102</v>
      </c>
      <c r="D74" s="25" t="s">
        <v>103</v>
      </c>
    </row>
    <row r="75" customFormat="false" ht="45" hidden="false" customHeight="false" outlineLevel="0" collapsed="false">
      <c r="B75" s="19"/>
      <c r="C75" s="13" t="s">
        <v>42</v>
      </c>
      <c r="D75" s="14" t="s">
        <v>43</v>
      </c>
    </row>
    <row r="76" customFormat="false" ht="30" hidden="false" customHeight="false" outlineLevel="0" collapsed="false">
      <c r="B76" s="19"/>
      <c r="C76" s="13" t="s">
        <v>45</v>
      </c>
      <c r="D76" s="14" t="s">
        <v>46</v>
      </c>
    </row>
    <row r="77" customFormat="false" ht="30" hidden="false" customHeight="false" outlineLevel="0" collapsed="false">
      <c r="B77" s="19"/>
      <c r="C77" s="13" t="s">
        <v>38</v>
      </c>
      <c r="D77" s="14" t="s">
        <v>104</v>
      </c>
    </row>
    <row r="78" customFormat="false" ht="30" hidden="false" customHeight="false" outlineLevel="0" collapsed="false">
      <c r="B78" s="19"/>
      <c r="C78" s="26" t="s">
        <v>105</v>
      </c>
      <c r="D78" s="27" t="s">
        <v>106</v>
      </c>
    </row>
    <row r="79" customFormat="false" ht="30" hidden="false" customHeight="false" outlineLevel="0" collapsed="false">
      <c r="B79" s="19"/>
      <c r="C79" s="26" t="s">
        <v>107</v>
      </c>
      <c r="D79" s="27" t="s">
        <v>108</v>
      </c>
    </row>
    <row r="80" customFormat="false" ht="30" hidden="false" customHeight="false" outlineLevel="0" collapsed="false">
      <c r="B80" s="19"/>
      <c r="C80" s="26" t="s">
        <v>109</v>
      </c>
      <c r="D80" s="27" t="s">
        <v>110</v>
      </c>
    </row>
    <row r="81" customFormat="false" ht="15" hidden="false" customHeight="false" outlineLevel="0" collapsed="false">
      <c r="B81" s="19"/>
      <c r="C81" s="13" t="s">
        <v>51</v>
      </c>
      <c r="D81" s="14" t="s">
        <v>52</v>
      </c>
    </row>
    <row r="82" customFormat="false" ht="15" hidden="false" customHeight="false" outlineLevel="0" collapsed="false">
      <c r="B82" s="19"/>
      <c r="C82" s="13" t="s">
        <v>54</v>
      </c>
      <c r="D82" s="14" t="s">
        <v>55</v>
      </c>
    </row>
    <row r="83" customFormat="false" ht="15" hidden="false" customHeight="false" outlineLevel="0" collapsed="false">
      <c r="B83" s="19"/>
      <c r="C83" s="13" t="s">
        <v>56</v>
      </c>
      <c r="D83" s="14" t="s">
        <v>57</v>
      </c>
    </row>
    <row r="84" customFormat="false" ht="15" hidden="false" customHeight="false" outlineLevel="0" collapsed="false">
      <c r="B84" s="19"/>
      <c r="C84" s="17" t="s">
        <v>58</v>
      </c>
      <c r="D84" s="16" t="s">
        <v>59</v>
      </c>
    </row>
    <row r="85" customFormat="false" ht="270" hidden="false" customHeight="false" outlineLevel="0" collapsed="false">
      <c r="B85" s="19"/>
      <c r="C85" s="17" t="s">
        <v>60</v>
      </c>
      <c r="D85" s="18" t="s">
        <v>61</v>
      </c>
    </row>
    <row r="86" customFormat="false" ht="45.75" hidden="false" customHeight="false" outlineLevel="0" collapsed="false">
      <c r="B86" s="19"/>
      <c r="C86" s="13" t="s">
        <v>62</v>
      </c>
      <c r="D86" s="14" t="s">
        <v>111</v>
      </c>
    </row>
    <row r="87" customFormat="false" ht="30" hidden="false" customHeight="true" outlineLevel="0" collapsed="false">
      <c r="B87" s="19" t="s">
        <v>112</v>
      </c>
      <c r="C87" s="20" t="s">
        <v>8</v>
      </c>
      <c r="D87" s="21" t="s">
        <v>65</v>
      </c>
    </row>
    <row r="88" customFormat="false" ht="15" hidden="false" customHeight="false" outlineLevel="0" collapsed="false">
      <c r="B88" s="19"/>
      <c r="C88" s="22" t="s">
        <v>66</v>
      </c>
      <c r="D88" s="23" t="s">
        <v>67</v>
      </c>
    </row>
    <row r="89" customFormat="false" ht="30" hidden="false" customHeight="false" outlineLevel="0" collapsed="false">
      <c r="B89" s="19"/>
      <c r="C89" s="22" t="s">
        <v>68</v>
      </c>
      <c r="D89" s="23" t="s">
        <v>69</v>
      </c>
    </row>
    <row r="90" customFormat="false" ht="30" hidden="false" customHeight="false" outlineLevel="0" collapsed="false">
      <c r="B90" s="19"/>
      <c r="C90" s="22" t="s">
        <v>72</v>
      </c>
      <c r="D90" s="23" t="s">
        <v>73</v>
      </c>
    </row>
    <row r="91" customFormat="false" ht="15" hidden="false" customHeight="false" outlineLevel="0" collapsed="false">
      <c r="B91" s="19"/>
      <c r="C91" s="28" t="s">
        <v>113</v>
      </c>
      <c r="D91" s="23" t="s">
        <v>114</v>
      </c>
    </row>
    <row r="92" customFormat="false" ht="45" hidden="false" customHeight="false" outlineLevel="0" collapsed="false">
      <c r="B92" s="19"/>
      <c r="C92" s="28" t="s">
        <v>80</v>
      </c>
      <c r="D92" s="23" t="s">
        <v>115</v>
      </c>
    </row>
    <row r="93" customFormat="false" ht="30" hidden="false" customHeight="false" outlineLevel="0" collapsed="false">
      <c r="B93" s="19"/>
      <c r="C93" s="28" t="s">
        <v>116</v>
      </c>
      <c r="D93" s="23" t="s">
        <v>117</v>
      </c>
    </row>
    <row r="94" customFormat="false" ht="30" hidden="false" customHeight="false" outlineLevel="0" collapsed="false">
      <c r="B94" s="19"/>
      <c r="C94" s="29" t="s">
        <v>118</v>
      </c>
      <c r="D94" s="23" t="s">
        <v>119</v>
      </c>
    </row>
    <row r="95" customFormat="false" ht="30" hidden="false" customHeight="false" outlineLevel="0" collapsed="false">
      <c r="B95" s="19"/>
      <c r="C95" s="29" t="s">
        <v>94</v>
      </c>
      <c r="D95" s="23" t="s">
        <v>95</v>
      </c>
    </row>
    <row r="96" customFormat="false" ht="15" hidden="false" customHeight="false" outlineLevel="0" collapsed="false">
      <c r="B96" s="19"/>
      <c r="C96" s="29" t="s">
        <v>96</v>
      </c>
      <c r="D96" s="23" t="s">
        <v>97</v>
      </c>
    </row>
    <row r="97" customFormat="false" ht="15" hidden="false" customHeight="false" outlineLevel="0" collapsed="false">
      <c r="B97" s="19"/>
      <c r="C97" s="29" t="s">
        <v>98</v>
      </c>
      <c r="D97" s="23" t="s">
        <v>99</v>
      </c>
    </row>
    <row r="98" customFormat="false" ht="30" hidden="false" customHeight="false" outlineLevel="0" collapsed="false">
      <c r="B98" s="19"/>
      <c r="C98" s="30" t="s">
        <v>100</v>
      </c>
      <c r="D98" s="25" t="s">
        <v>101</v>
      </c>
    </row>
    <row r="99" customFormat="false" ht="45" hidden="false" customHeight="false" outlineLevel="0" collapsed="false">
      <c r="B99" s="19"/>
      <c r="C99" s="24" t="s">
        <v>102</v>
      </c>
      <c r="D99" s="25" t="s">
        <v>103</v>
      </c>
    </row>
    <row r="100" customFormat="false" ht="45" hidden="false" customHeight="false" outlineLevel="0" collapsed="false">
      <c r="B100" s="19"/>
      <c r="C100" s="13" t="s">
        <v>42</v>
      </c>
      <c r="D100" s="14" t="s">
        <v>43</v>
      </c>
    </row>
    <row r="101" customFormat="false" ht="30" hidden="false" customHeight="false" outlineLevel="0" collapsed="false">
      <c r="B101" s="19"/>
      <c r="C101" s="13" t="s">
        <v>45</v>
      </c>
      <c r="D101" s="14" t="s">
        <v>46</v>
      </c>
    </row>
    <row r="102" customFormat="false" ht="30" hidden="false" customHeight="false" outlineLevel="0" collapsed="false">
      <c r="B102" s="19"/>
      <c r="C102" s="13" t="s">
        <v>38</v>
      </c>
      <c r="D102" s="14" t="s">
        <v>104</v>
      </c>
    </row>
    <row r="103" customFormat="false" ht="15" hidden="false" customHeight="false" outlineLevel="0" collapsed="false">
      <c r="B103" s="19"/>
      <c r="C103" s="13" t="s">
        <v>120</v>
      </c>
      <c r="D103" s="25" t="s">
        <v>121</v>
      </c>
    </row>
    <row r="104" customFormat="false" ht="15" hidden="false" customHeight="false" outlineLevel="0" collapsed="false">
      <c r="B104" s="19"/>
      <c r="C104" s="13" t="s">
        <v>51</v>
      </c>
      <c r="D104" s="14" t="s">
        <v>52</v>
      </c>
    </row>
    <row r="105" customFormat="false" ht="15" hidden="false" customHeight="false" outlineLevel="0" collapsed="false">
      <c r="B105" s="19"/>
      <c r="C105" s="13" t="s">
        <v>54</v>
      </c>
      <c r="D105" s="14" t="s">
        <v>55</v>
      </c>
    </row>
    <row r="106" customFormat="false" ht="15" hidden="false" customHeight="false" outlineLevel="0" collapsed="false">
      <c r="B106" s="19"/>
      <c r="C106" s="13" t="s">
        <v>56</v>
      </c>
      <c r="D106" s="14" t="s">
        <v>57</v>
      </c>
    </row>
    <row r="107" customFormat="false" ht="15" hidden="false" customHeight="false" outlineLevel="0" collapsed="false">
      <c r="B107" s="19"/>
      <c r="C107" s="17" t="s">
        <v>58</v>
      </c>
      <c r="D107" s="16" t="s">
        <v>59</v>
      </c>
    </row>
    <row r="108" customFormat="false" ht="270" hidden="false" customHeight="false" outlineLevel="0" collapsed="false">
      <c r="B108" s="19"/>
      <c r="C108" s="17" t="s">
        <v>60</v>
      </c>
      <c r="D108" s="18" t="s">
        <v>61</v>
      </c>
    </row>
    <row r="109" customFormat="false" ht="45.75" hidden="false" customHeight="false" outlineLevel="0" collapsed="false">
      <c r="B109" s="19"/>
      <c r="C109" s="13" t="s">
        <v>62</v>
      </c>
      <c r="D109" s="14" t="s">
        <v>111</v>
      </c>
    </row>
    <row r="110" customFormat="false" ht="15" hidden="false" customHeight="true" outlineLevel="0" collapsed="false">
      <c r="B110" s="10" t="s">
        <v>122</v>
      </c>
      <c r="C110" s="31" t="s">
        <v>8</v>
      </c>
      <c r="D110" s="32" t="s">
        <v>123</v>
      </c>
    </row>
    <row r="111" customFormat="false" ht="30" hidden="false" customHeight="false" outlineLevel="0" collapsed="false">
      <c r="B111" s="10"/>
      <c r="C111" s="33" t="s">
        <v>124</v>
      </c>
      <c r="D111" s="34" t="s">
        <v>125</v>
      </c>
    </row>
    <row r="112" customFormat="false" ht="15" hidden="false" customHeight="false" outlineLevel="0" collapsed="false">
      <c r="B112" s="10"/>
      <c r="C112" s="33" t="s">
        <v>14</v>
      </c>
      <c r="D112" s="34" t="s">
        <v>126</v>
      </c>
    </row>
    <row r="113" customFormat="false" ht="75" hidden="false" customHeight="false" outlineLevel="0" collapsed="false">
      <c r="B113" s="10"/>
      <c r="C113" s="33" t="s">
        <v>127</v>
      </c>
      <c r="D113" s="35" t="s">
        <v>128</v>
      </c>
    </row>
    <row r="114" customFormat="false" ht="90" hidden="false" customHeight="false" outlineLevel="0" collapsed="false">
      <c r="B114" s="10"/>
      <c r="C114" s="36" t="s">
        <v>129</v>
      </c>
      <c r="D114" s="37" t="s">
        <v>130</v>
      </c>
    </row>
    <row r="115" customFormat="false" ht="60" hidden="false" customHeight="false" outlineLevel="0" collapsed="false">
      <c r="B115" s="10"/>
      <c r="C115" s="36" t="s">
        <v>131</v>
      </c>
      <c r="D115" s="14" t="s">
        <v>132</v>
      </c>
    </row>
    <row r="116" customFormat="false" ht="15" hidden="false" customHeight="false" outlineLevel="0" collapsed="false">
      <c r="B116" s="10"/>
      <c r="C116" s="36" t="s">
        <v>40</v>
      </c>
      <c r="D116" s="14" t="s">
        <v>133</v>
      </c>
    </row>
    <row r="117" customFormat="false" ht="45" hidden="false" customHeight="false" outlineLevel="0" collapsed="false">
      <c r="B117" s="10"/>
      <c r="C117" s="13" t="s">
        <v>42</v>
      </c>
      <c r="D117" s="14" t="s">
        <v>43</v>
      </c>
    </row>
    <row r="118" customFormat="false" ht="30" hidden="false" customHeight="false" outlineLevel="0" collapsed="false">
      <c r="B118" s="10"/>
      <c r="C118" s="13" t="s">
        <v>45</v>
      </c>
      <c r="D118" s="14" t="s">
        <v>46</v>
      </c>
    </row>
    <row r="119" customFormat="false" ht="15" hidden="false" customHeight="false" outlineLevel="0" collapsed="false">
      <c r="B119" s="10"/>
      <c r="C119" s="36" t="s">
        <v>134</v>
      </c>
      <c r="D119" s="14" t="s">
        <v>135</v>
      </c>
    </row>
    <row r="120" customFormat="false" ht="15" hidden="false" customHeight="false" outlineLevel="0" collapsed="false">
      <c r="B120" s="10"/>
      <c r="C120" s="36" t="s">
        <v>136</v>
      </c>
      <c r="D120" s="14" t="s">
        <v>137</v>
      </c>
    </row>
    <row r="121" customFormat="false" ht="15" hidden="false" customHeight="false" outlineLevel="0" collapsed="false">
      <c r="B121" s="10"/>
      <c r="C121" s="17" t="s">
        <v>58</v>
      </c>
      <c r="D121" s="16" t="s">
        <v>59</v>
      </c>
    </row>
    <row r="122" customFormat="false" ht="270" hidden="false" customHeight="false" outlineLevel="0" collapsed="false">
      <c r="B122" s="10"/>
      <c r="C122" s="17" t="s">
        <v>60</v>
      </c>
      <c r="D122" s="18" t="s">
        <v>61</v>
      </c>
    </row>
    <row r="123" customFormat="false" ht="45.75" hidden="false" customHeight="false" outlineLevel="0" collapsed="false">
      <c r="B123" s="10"/>
      <c r="C123" s="13" t="s">
        <v>62</v>
      </c>
      <c r="D123" s="14" t="s">
        <v>111</v>
      </c>
    </row>
    <row r="124" customFormat="false" ht="15" hidden="false" customHeight="true" outlineLevel="0" collapsed="false">
      <c r="B124" s="19" t="s">
        <v>138</v>
      </c>
      <c r="C124" s="31" t="s">
        <v>8</v>
      </c>
      <c r="D124" s="21" t="s">
        <v>139</v>
      </c>
    </row>
    <row r="125" customFormat="false" ht="30" hidden="false" customHeight="false" outlineLevel="0" collapsed="false">
      <c r="B125" s="19"/>
      <c r="C125" s="33" t="s">
        <v>66</v>
      </c>
      <c r="D125" s="38" t="s">
        <v>140</v>
      </c>
    </row>
    <row r="126" customFormat="false" ht="15" hidden="false" customHeight="false" outlineLevel="0" collapsed="false">
      <c r="B126" s="19"/>
      <c r="C126" s="33" t="s">
        <v>14</v>
      </c>
      <c r="D126" s="38" t="s">
        <v>141</v>
      </c>
    </row>
    <row r="127" customFormat="false" ht="45" hidden="false" customHeight="false" outlineLevel="0" collapsed="false">
      <c r="B127" s="19"/>
      <c r="C127" s="36" t="s">
        <v>40</v>
      </c>
      <c r="D127" s="14" t="s">
        <v>142</v>
      </c>
    </row>
    <row r="128" customFormat="false" ht="15" hidden="false" customHeight="false" outlineLevel="0" collapsed="false">
      <c r="B128" s="19"/>
      <c r="C128" s="39" t="s">
        <v>143</v>
      </c>
      <c r="D128" s="23" t="s">
        <v>144</v>
      </c>
    </row>
    <row r="129" customFormat="false" ht="45" hidden="false" customHeight="false" outlineLevel="0" collapsed="false">
      <c r="B129" s="19"/>
      <c r="C129" s="13" t="s">
        <v>42</v>
      </c>
      <c r="D129" s="14" t="s">
        <v>43</v>
      </c>
    </row>
    <row r="130" customFormat="false" ht="30" hidden="false" customHeight="false" outlineLevel="0" collapsed="false">
      <c r="B130" s="19"/>
      <c r="C130" s="13" t="s">
        <v>45</v>
      </c>
      <c r="D130" s="14" t="s">
        <v>46</v>
      </c>
    </row>
    <row r="131" customFormat="false" ht="45" hidden="false" customHeight="false" outlineLevel="0" collapsed="false">
      <c r="B131" s="19"/>
      <c r="C131" s="17" t="s">
        <v>145</v>
      </c>
      <c r="D131" s="16" t="s">
        <v>146</v>
      </c>
    </row>
    <row r="132" customFormat="false" ht="45" hidden="false" customHeight="false" outlineLevel="0" collapsed="false">
      <c r="B132" s="19"/>
      <c r="C132" s="17" t="s">
        <v>147</v>
      </c>
      <c r="D132" s="16" t="s">
        <v>148</v>
      </c>
    </row>
    <row r="133" customFormat="false" ht="45" hidden="false" customHeight="false" outlineLevel="0" collapsed="false">
      <c r="B133" s="19"/>
      <c r="C133" s="40" t="s">
        <v>149</v>
      </c>
      <c r="D133" s="16" t="s">
        <v>150</v>
      </c>
    </row>
    <row r="134" customFormat="false" ht="30" hidden="false" customHeight="false" outlineLevel="0" collapsed="false">
      <c r="B134" s="19"/>
      <c r="C134" s="41" t="s">
        <v>151</v>
      </c>
      <c r="D134" s="37" t="s">
        <v>152</v>
      </c>
    </row>
    <row r="135" customFormat="false" ht="90" hidden="false" customHeight="false" outlineLevel="0" collapsed="false">
      <c r="B135" s="19"/>
      <c r="C135" s="41" t="s">
        <v>153</v>
      </c>
      <c r="D135" s="37" t="s">
        <v>154</v>
      </c>
    </row>
    <row r="136" customFormat="false" ht="45" hidden="false" customHeight="false" outlineLevel="0" collapsed="false">
      <c r="B136" s="19"/>
      <c r="C136" s="41" t="s">
        <v>155</v>
      </c>
      <c r="D136" s="37" t="s">
        <v>156</v>
      </c>
    </row>
    <row r="137" customFormat="false" ht="45.75" hidden="false" customHeight="false" outlineLevel="0" collapsed="false">
      <c r="B137" s="19"/>
      <c r="C137" s="42" t="s">
        <v>62</v>
      </c>
      <c r="D137" s="43" t="s">
        <v>111</v>
      </c>
    </row>
    <row r="138" customFormat="false" ht="30" hidden="false" customHeight="true" outlineLevel="0" collapsed="false">
      <c r="B138" s="44" t="s">
        <v>157</v>
      </c>
      <c r="C138" s="20" t="s">
        <v>8</v>
      </c>
      <c r="D138" s="32" t="s">
        <v>158</v>
      </c>
    </row>
    <row r="139" customFormat="false" ht="15" hidden="false" customHeight="false" outlineLevel="0" collapsed="false">
      <c r="B139" s="44"/>
      <c r="C139" s="22" t="s">
        <v>66</v>
      </c>
      <c r="D139" s="34" t="s">
        <v>159</v>
      </c>
    </row>
    <row r="140" customFormat="false" ht="15" hidden="false" customHeight="false" outlineLevel="0" collapsed="false">
      <c r="B140" s="44"/>
      <c r="C140" s="22" t="s">
        <v>14</v>
      </c>
      <c r="D140" s="34" t="s">
        <v>160</v>
      </c>
    </row>
    <row r="141" customFormat="false" ht="15" hidden="false" customHeight="false" outlineLevel="0" collapsed="false">
      <c r="B141" s="44"/>
      <c r="C141" s="28" t="s">
        <v>161</v>
      </c>
      <c r="D141" s="14" t="s">
        <v>162</v>
      </c>
    </row>
    <row r="142" customFormat="false" ht="15" hidden="false" customHeight="false" outlineLevel="0" collapsed="false">
      <c r="B142" s="44"/>
      <c r="C142" s="28" t="s">
        <v>163</v>
      </c>
      <c r="D142" s="14" t="s">
        <v>164</v>
      </c>
    </row>
    <row r="143" customFormat="false" ht="15" hidden="false" customHeight="false" outlineLevel="0" collapsed="false">
      <c r="B143" s="44"/>
      <c r="C143" s="13" t="s">
        <v>165</v>
      </c>
      <c r="D143" s="14" t="s">
        <v>166</v>
      </c>
    </row>
    <row r="144" customFormat="false" ht="15" hidden="false" customHeight="false" outlineLevel="0" collapsed="false">
      <c r="B144" s="44"/>
      <c r="C144" s="13" t="s">
        <v>167</v>
      </c>
      <c r="D144" s="14" t="s">
        <v>168</v>
      </c>
    </row>
    <row r="145" customFormat="false" ht="15" hidden="false" customHeight="false" outlineLevel="0" collapsed="false">
      <c r="B145" s="44"/>
      <c r="C145" s="13" t="s">
        <v>169</v>
      </c>
      <c r="D145" s="14" t="s">
        <v>170</v>
      </c>
    </row>
    <row r="146" customFormat="false" ht="45" hidden="false" customHeight="false" outlineLevel="0" collapsed="false">
      <c r="B146" s="44"/>
      <c r="C146" s="13" t="s">
        <v>42</v>
      </c>
      <c r="D146" s="14" t="s">
        <v>43</v>
      </c>
    </row>
    <row r="147" customFormat="false" ht="30" hidden="false" customHeight="false" outlineLevel="0" collapsed="false">
      <c r="B147" s="44"/>
      <c r="C147" s="13" t="s">
        <v>45</v>
      </c>
      <c r="D147" s="14" t="s">
        <v>46</v>
      </c>
    </row>
    <row r="148" customFormat="false" ht="15" hidden="false" customHeight="false" outlineLevel="0" collapsed="false">
      <c r="B148" s="44"/>
      <c r="C148" s="17" t="s">
        <v>58</v>
      </c>
      <c r="D148" s="16" t="s">
        <v>59</v>
      </c>
    </row>
    <row r="149" customFormat="false" ht="270" hidden="false" customHeight="false" outlineLevel="0" collapsed="false">
      <c r="B149" s="44"/>
      <c r="C149" s="17" t="s">
        <v>60</v>
      </c>
      <c r="D149" s="18" t="s">
        <v>61</v>
      </c>
    </row>
    <row r="150" customFormat="false" ht="45.75" hidden="false" customHeight="false" outlineLevel="0" collapsed="false">
      <c r="B150" s="44"/>
      <c r="C150" s="42" t="s">
        <v>62</v>
      </c>
      <c r="D150" s="43" t="s">
        <v>111</v>
      </c>
    </row>
    <row r="151" customFormat="false" ht="30" hidden="false" customHeight="true" outlineLevel="0" collapsed="false">
      <c r="B151" s="45" t="s">
        <v>171</v>
      </c>
      <c r="C151" s="20" t="s">
        <v>8</v>
      </c>
      <c r="D151" s="32" t="s">
        <v>172</v>
      </c>
    </row>
    <row r="152" customFormat="false" ht="15" hidden="false" customHeight="false" outlineLevel="0" collapsed="false">
      <c r="B152" s="45"/>
      <c r="C152" s="22" t="s">
        <v>66</v>
      </c>
      <c r="D152" s="34" t="s">
        <v>173</v>
      </c>
    </row>
    <row r="153" customFormat="false" ht="15" hidden="false" customHeight="false" outlineLevel="0" collapsed="false">
      <c r="B153" s="45"/>
      <c r="C153" s="22" t="s">
        <v>14</v>
      </c>
      <c r="D153" s="34" t="s">
        <v>160</v>
      </c>
    </row>
    <row r="154" customFormat="false" ht="30" hidden="false" customHeight="false" outlineLevel="0" collapsed="false">
      <c r="B154" s="45"/>
      <c r="C154" s="46" t="s">
        <v>174</v>
      </c>
      <c r="D154" s="14" t="s">
        <v>175</v>
      </c>
    </row>
    <row r="155" customFormat="false" ht="45" hidden="false" customHeight="false" outlineLevel="0" collapsed="false">
      <c r="B155" s="45"/>
      <c r="C155" s="47" t="s">
        <v>42</v>
      </c>
      <c r="D155" s="14" t="s">
        <v>43</v>
      </c>
    </row>
    <row r="156" customFormat="false" ht="30" hidden="false" customHeight="false" outlineLevel="0" collapsed="false">
      <c r="B156" s="45"/>
      <c r="C156" s="47" t="s">
        <v>45</v>
      </c>
      <c r="D156" s="14" t="s">
        <v>46</v>
      </c>
    </row>
    <row r="157" customFormat="false" ht="15" hidden="false" customHeight="false" outlineLevel="0" collapsed="false">
      <c r="B157" s="45"/>
      <c r="C157" s="47" t="s">
        <v>176</v>
      </c>
      <c r="D157" s="14" t="s">
        <v>177</v>
      </c>
    </row>
    <row r="158" customFormat="false" ht="15" hidden="false" customHeight="false" outlineLevel="0" collapsed="false">
      <c r="B158" s="45"/>
      <c r="C158" s="47" t="s">
        <v>178</v>
      </c>
      <c r="D158" s="14" t="s">
        <v>179</v>
      </c>
    </row>
    <row r="159" customFormat="false" ht="15" hidden="false" customHeight="false" outlineLevel="0" collapsed="false">
      <c r="B159" s="45"/>
      <c r="C159" s="17" t="s">
        <v>58</v>
      </c>
      <c r="D159" s="16" t="s">
        <v>59</v>
      </c>
    </row>
    <row r="160" customFormat="false" ht="270" hidden="false" customHeight="false" outlineLevel="0" collapsed="false">
      <c r="B160" s="45"/>
      <c r="C160" s="17" t="s">
        <v>60</v>
      </c>
      <c r="D160" s="18" t="s">
        <v>61</v>
      </c>
    </row>
    <row r="161" customFormat="false" ht="45.75" hidden="false" customHeight="false" outlineLevel="0" collapsed="false">
      <c r="B161" s="45"/>
      <c r="C161" s="48" t="s">
        <v>62</v>
      </c>
      <c r="D161" s="43" t="s">
        <v>111</v>
      </c>
    </row>
    <row r="162" customFormat="false" ht="30" hidden="false" customHeight="true" outlineLevel="0" collapsed="false">
      <c r="B162" s="45" t="s">
        <v>180</v>
      </c>
      <c r="C162" s="20" t="s">
        <v>8</v>
      </c>
      <c r="D162" s="32" t="s">
        <v>181</v>
      </c>
    </row>
    <row r="163" customFormat="false" ht="30" hidden="false" customHeight="false" outlineLevel="0" collapsed="false">
      <c r="B163" s="45"/>
      <c r="C163" s="22" t="s">
        <v>182</v>
      </c>
      <c r="D163" s="34" t="s">
        <v>183</v>
      </c>
    </row>
    <row r="164" customFormat="false" ht="15" hidden="false" customHeight="false" outlineLevel="0" collapsed="false">
      <c r="B164" s="45"/>
      <c r="C164" s="22" t="s">
        <v>14</v>
      </c>
      <c r="D164" s="34" t="s">
        <v>184</v>
      </c>
    </row>
    <row r="165" customFormat="false" ht="45" hidden="false" customHeight="false" outlineLevel="0" collapsed="false">
      <c r="B165" s="45"/>
      <c r="C165" s="47" t="s">
        <v>42</v>
      </c>
      <c r="D165" s="14" t="s">
        <v>43</v>
      </c>
    </row>
    <row r="166" customFormat="false" ht="30" hidden="false" customHeight="false" outlineLevel="0" collapsed="false">
      <c r="B166" s="45"/>
      <c r="C166" s="47" t="s">
        <v>45</v>
      </c>
      <c r="D166" s="14" t="s">
        <v>46</v>
      </c>
    </row>
    <row r="167" customFormat="false" ht="15" hidden="false" customHeight="false" outlineLevel="0" collapsed="false">
      <c r="B167" s="45"/>
      <c r="C167" s="49" t="s">
        <v>185</v>
      </c>
      <c r="D167" s="50" t="s">
        <v>186</v>
      </c>
    </row>
    <row r="168" customFormat="false" ht="15" hidden="false" customHeight="false" outlineLevel="0" collapsed="false">
      <c r="B168" s="45"/>
      <c r="C168" s="47" t="s">
        <v>187</v>
      </c>
      <c r="D168" s="14" t="s">
        <v>188</v>
      </c>
    </row>
    <row r="169" customFormat="false" ht="15" hidden="false" customHeight="false" outlineLevel="0" collapsed="false">
      <c r="B169" s="45"/>
      <c r="C169" s="47" t="s">
        <v>189</v>
      </c>
      <c r="D169" s="14" t="s">
        <v>190</v>
      </c>
    </row>
    <row r="170" customFormat="false" ht="15" hidden="false" customHeight="false" outlineLevel="0" collapsed="false">
      <c r="B170" s="45"/>
      <c r="C170" s="51" t="s">
        <v>191</v>
      </c>
      <c r="D170" s="27" t="s">
        <v>192</v>
      </c>
    </row>
    <row r="171" customFormat="false" ht="15" hidden="false" customHeight="false" outlineLevel="0" collapsed="false">
      <c r="B171" s="45"/>
      <c r="C171" s="17" t="s">
        <v>58</v>
      </c>
      <c r="D171" s="16" t="s">
        <v>59</v>
      </c>
    </row>
    <row r="172" customFormat="false" ht="270" hidden="false" customHeight="false" outlineLevel="0" collapsed="false">
      <c r="B172" s="45"/>
      <c r="C172" s="17" t="s">
        <v>60</v>
      </c>
      <c r="D172" s="18" t="s">
        <v>61</v>
      </c>
    </row>
    <row r="173" customFormat="false" ht="45.75" hidden="false" customHeight="false" outlineLevel="0" collapsed="false">
      <c r="B173" s="45"/>
      <c r="C173" s="48" t="s">
        <v>62</v>
      </c>
      <c r="D173" s="43" t="s">
        <v>111</v>
      </c>
    </row>
  </sheetData>
  <mergeCells count="15">
    <mergeCell ref="B2:D5"/>
    <mergeCell ref="B7:D7"/>
    <mergeCell ref="B8:D12"/>
    <mergeCell ref="B14:D14"/>
    <mergeCell ref="B15:D24"/>
    <mergeCell ref="B26:D26"/>
    <mergeCell ref="B27:D28"/>
    <mergeCell ref="B29:B54"/>
    <mergeCell ref="B55:B86"/>
    <mergeCell ref="B87:B109"/>
    <mergeCell ref="B110:B123"/>
    <mergeCell ref="B124:B137"/>
    <mergeCell ref="B138:B150"/>
    <mergeCell ref="B151:B161"/>
    <mergeCell ref="B162:B173"/>
  </mergeCells>
  <conditionalFormatting sqref="E134:E136">
    <cfRule type="cellIs" priority="2" operator="equal" aboveAverage="0" equalAverage="0" bottom="0" percent="0" rank="0" text="" dxfId="0">
      <formula>"Sin coincidencia"</formula>
    </cfRule>
  </conditionalFormatting>
  <printOptions headings="false" gridLines="false" gridLinesSet="true" horizontalCentered="false" verticalCentered="false"/>
  <pageMargins left="0.7" right="0.7" top="0.75" bottom="0.75" header="0.511811023622047" footer="0.511811023622047"/>
  <pageSetup paperSize="1" scale="64"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2:AC28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C285" activeCellId="0" sqref="AC285"/>
    </sheetView>
  </sheetViews>
  <sheetFormatPr defaultColWidth="11.57421875" defaultRowHeight="15" zeroHeight="false" outlineLevelRow="0" outlineLevelCol="0"/>
  <cols>
    <col collapsed="false" customWidth="true" hidden="false" outlineLevel="0" max="2" min="1" style="52" width="3"/>
    <col collapsed="false" customWidth="true" hidden="false" outlineLevel="0" max="3" min="3" style="53" width="6.7"/>
    <col collapsed="false" customWidth="true" hidden="false" outlineLevel="0" max="4" min="4" style="1" width="33"/>
    <col collapsed="false" customWidth="true" hidden="true" outlineLevel="0" max="5" min="5" style="1" width="14.57"/>
    <col collapsed="false" customWidth="true" hidden="true" outlineLevel="0" max="6" min="6" style="1" width="17.14"/>
    <col collapsed="false" customWidth="false" hidden="true" outlineLevel="0" max="10" min="8" style="1" width="11.57"/>
    <col collapsed="false" customWidth="true" hidden="true" outlineLevel="0" max="11" min="11" style="1" width="13.3"/>
    <col collapsed="false" customWidth="false" hidden="true" outlineLevel="0" max="18" min="12" style="1" width="11.57"/>
    <col collapsed="false" customWidth="true" hidden="true" outlineLevel="0" max="19" min="19" style="1" width="12.43"/>
    <col collapsed="false" customWidth="false" hidden="true" outlineLevel="0" max="21" min="20" style="1" width="11.57"/>
    <col collapsed="false" customWidth="false" hidden="true" outlineLevel="0" max="22" min="22" style="54" width="11.57"/>
    <col collapsed="false" customWidth="false" hidden="true" outlineLevel="0" max="23" min="23" style="1" width="11.57"/>
    <col collapsed="false" customWidth="true" hidden="true" outlineLevel="0" max="26" min="24" style="1" width="16.57"/>
    <col collapsed="false" customWidth="true" hidden="false" outlineLevel="0" max="27" min="27" style="1" width="16.57"/>
    <col collapsed="false" customWidth="true" hidden="false" outlineLevel="0" max="28" min="28" style="1" width="37.57"/>
    <col collapsed="false" customWidth="true" hidden="false" outlineLevel="0" max="29" min="29" style="1" width="71.57"/>
  </cols>
  <sheetData>
    <row r="2" customFormat="false" ht="15.75" hidden="false" customHeight="false" outlineLevel="0" collapsed="false"/>
    <row r="3" s="57" customFormat="true" ht="15.75" hidden="false" customHeight="false" outlineLevel="0" collapsed="false">
      <c r="A3" s="55"/>
      <c r="B3" s="55"/>
      <c r="C3" s="56" t="s">
        <v>193</v>
      </c>
      <c r="D3" s="56"/>
      <c r="E3" s="56"/>
      <c r="F3" s="56"/>
      <c r="G3" s="56"/>
      <c r="H3" s="56"/>
      <c r="I3" s="56"/>
      <c r="J3" s="56"/>
      <c r="K3" s="56"/>
      <c r="L3" s="56"/>
      <c r="M3" s="56"/>
      <c r="N3" s="56"/>
      <c r="O3" s="56"/>
      <c r="P3" s="56"/>
      <c r="Q3" s="56"/>
      <c r="R3" s="56"/>
      <c r="S3" s="56"/>
      <c r="T3" s="56"/>
      <c r="U3" s="56"/>
      <c r="V3" s="56"/>
      <c r="W3" s="56"/>
      <c r="X3" s="56"/>
      <c r="Y3" s="56"/>
      <c r="Z3" s="56"/>
      <c r="AA3" s="56"/>
      <c r="AB3" s="56"/>
      <c r="AC3" s="56"/>
    </row>
    <row r="4" s="61" customFormat="true" ht="12" hidden="false" customHeight="true" outlineLevel="0" collapsed="false">
      <c r="A4" s="58"/>
      <c r="B4" s="58"/>
      <c r="C4" s="59" t="s">
        <v>194</v>
      </c>
      <c r="D4" s="60" t="str">
        <f aca="false">'Manual de Uso'!C29</f>
        <v>Nombre</v>
      </c>
      <c r="E4" s="60" t="str">
        <f aca="false">'Manual de Uso'!C30</f>
        <v>Subestación 1</v>
      </c>
      <c r="F4" s="60" t="str">
        <f aca="false">'Manual de Uso'!C31</f>
        <v>Subestación 2</v>
      </c>
      <c r="G4" s="60" t="str">
        <f aca="false">'Manual de Uso'!C32</f>
        <v>Nivel de tensión [kV]</v>
      </c>
      <c r="H4" s="60" t="str">
        <f aca="false">'Manual de Uso'!C33</f>
        <v>Longitud [km]</v>
      </c>
      <c r="I4" s="60" t="str">
        <f aca="false">'Manual de Uso'!C34</f>
        <v>Capacidad transporte nominal [A]</v>
      </c>
      <c r="J4" s="60" t="str">
        <f aca="false">'Manual de Uso'!C35</f>
        <v>Capacidad transporte térmico [A]</v>
      </c>
      <c r="K4" s="60" t="str">
        <f aca="false">'Manual de Uso'!C36</f>
        <v>Capacidad transporte emergencia [A]</v>
      </c>
      <c r="L4" s="60" t="str">
        <f aca="false">'Manual de Uso'!C37</f>
        <v>Causa límite de capacidad</v>
      </c>
      <c r="M4" s="60" t="str">
        <f aca="false">'Manual de Uso'!C38</f>
        <v>R1 [Ohm/km]</v>
      </c>
      <c r="N4" s="60" t="str">
        <f aca="false">'Manual de Uso'!C39</f>
        <v>X1 [Ohm/km]</v>
      </c>
      <c r="O4" s="60" t="str">
        <f aca="false">'Manual de Uso'!C40</f>
        <v>B1 [uS/km]</v>
      </c>
      <c r="P4" s="60" t="str">
        <f aca="false">'Manual de Uso'!C41</f>
        <v>R0 [Ohm/km]</v>
      </c>
      <c r="Q4" s="60" t="str">
        <f aca="false">'Manual de Uso'!C42</f>
        <v>X0 [Ohm/km]</v>
      </c>
      <c r="R4" s="60" t="str">
        <f aca="false">'Manual de Uso'!C43</f>
        <v>B0 [uS/km]</v>
      </c>
      <c r="S4" s="60" t="str">
        <f aca="false">'Manual de Uso'!C44</f>
        <v>Sistema</v>
      </c>
      <c r="T4" s="60" t="str">
        <f aca="false">'Manual de Uso'!C45</f>
        <v>Tipo</v>
      </c>
      <c r="U4" s="60" t="str">
        <f aca="false">'Manual de Uso'!C46</f>
        <v>En Operación</v>
      </c>
      <c r="V4" s="60" t="str">
        <f aca="false">'Manual de Uso'!C47</f>
        <v>FPO</v>
      </c>
      <c r="W4" s="60" t="str">
        <f aca="false">'Manual de Uso'!C48</f>
        <v>Conductor</v>
      </c>
      <c r="X4" s="60" t="str">
        <f aca="false">'Manual de Uso'!C49</f>
        <v>Tiempo medio de reparación por evento [h]</v>
      </c>
      <c r="Y4" s="60" t="str">
        <f aca="false">'Manual de Uso'!C50</f>
        <v>Horas anuales de indisponibilidad [h]</v>
      </c>
      <c r="Z4" s="60" t="str">
        <f aca="false">'Manual de Uso'!C51</f>
        <v>Eventos anuales de indisponibilidad</v>
      </c>
      <c r="AA4" s="60" t="str">
        <f aca="false">'Manual de Uso'!C52</f>
        <v>Operador</v>
      </c>
      <c r="AB4" s="60" t="str">
        <f aca="false">'Manual de Uso'!C53</f>
        <v>Tipo activo Uso/Conexión</v>
      </c>
      <c r="AC4" s="60" t="str">
        <f aca="false">'Manual de Uso'!C54</f>
        <v>Observaciones transportador</v>
      </c>
    </row>
    <row r="5" s="61" customFormat="true" ht="24" hidden="false" customHeight="true" outlineLevel="0" collapsed="false">
      <c r="A5" s="58"/>
      <c r="B5" s="58"/>
      <c r="C5" s="59"/>
      <c r="D5" s="60"/>
      <c r="E5" s="60"/>
      <c r="F5" s="60"/>
      <c r="G5" s="60"/>
      <c r="H5" s="60"/>
      <c r="I5" s="60"/>
      <c r="J5" s="60"/>
      <c r="K5" s="60"/>
      <c r="L5" s="60"/>
      <c r="M5" s="60"/>
      <c r="N5" s="60"/>
      <c r="O5" s="60"/>
      <c r="P5" s="60"/>
      <c r="Q5" s="60"/>
      <c r="R5" s="60"/>
      <c r="S5" s="60"/>
      <c r="T5" s="60"/>
      <c r="U5" s="60"/>
      <c r="V5" s="60"/>
      <c r="W5" s="60"/>
      <c r="X5" s="60"/>
      <c r="Y5" s="60"/>
      <c r="Z5" s="60"/>
      <c r="AA5" s="60"/>
      <c r="AB5" s="60"/>
      <c r="AC5" s="60"/>
    </row>
    <row r="6" customFormat="false" ht="15.75" hidden="false" customHeight="false" outlineLevel="0" collapsed="false">
      <c r="A6" s="52" t="e">
        <f aca="false">VLOOKUP(E6,'[1]Listas Desplegables'!$H$3:$J$7,2,FALSE())</f>
        <v>#N/A</v>
      </c>
      <c r="B6" s="52" t="e">
        <f aca="false">VLOOKUP(E6,'[1]Listas Desplegables'!$H$3:$J$7,3,FALSE())</f>
        <v>#N/A</v>
      </c>
      <c r="C6" s="62" t="n">
        <v>1</v>
      </c>
      <c r="D6" s="63" t="s">
        <v>195</v>
      </c>
      <c r="E6" s="63" t="s">
        <v>196</v>
      </c>
      <c r="F6" s="63" t="s">
        <v>197</v>
      </c>
      <c r="G6" s="64" t="n">
        <v>230</v>
      </c>
      <c r="H6" s="65" t="n">
        <v>42.13</v>
      </c>
      <c r="I6" s="65" t="n">
        <v>1017</v>
      </c>
      <c r="J6" s="65" t="n">
        <v>1017</v>
      </c>
      <c r="K6" s="65" t="n">
        <v>1100.394</v>
      </c>
      <c r="L6" s="66" t="s">
        <v>198</v>
      </c>
      <c r="M6" s="65" t="n">
        <v>0.0520009494422027</v>
      </c>
      <c r="N6" s="65" t="n">
        <v>0.486999762639449</v>
      </c>
      <c r="O6" s="65" t="n">
        <v>3.44699976263945</v>
      </c>
      <c r="P6" s="65" t="n">
        <v>0.36</v>
      </c>
      <c r="Q6" s="65" t="n">
        <v>1.5079990505578</v>
      </c>
      <c r="R6" s="65" t="n">
        <v>2.2120009494422</v>
      </c>
      <c r="S6" s="66" t="s">
        <v>199</v>
      </c>
      <c r="T6" s="66" t="s">
        <v>200</v>
      </c>
      <c r="U6" s="66" t="s">
        <v>201</v>
      </c>
      <c r="V6" s="67"/>
      <c r="W6" s="66" t="s">
        <v>202</v>
      </c>
      <c r="X6" s="66" t="n">
        <v>0</v>
      </c>
      <c r="Y6" s="66" t="n">
        <v>0</v>
      </c>
      <c r="Z6" s="66" t="n">
        <v>0</v>
      </c>
      <c r="AA6" s="66" t="s">
        <v>203</v>
      </c>
      <c r="AB6" s="66" t="s">
        <v>44</v>
      </c>
      <c r="AC6" s="68"/>
    </row>
    <row r="7" customFormat="false" ht="15" hidden="false" customHeight="false" outlineLevel="0" collapsed="false">
      <c r="A7" s="52" t="e">
        <f aca="false">VLOOKUP(E7,'[1]Listas Desplegables'!$H$3:$J$7,2,FALSE())</f>
        <v>#N/A</v>
      </c>
      <c r="B7" s="52" t="e">
        <f aca="false">VLOOKUP(E7,'[1]Listas Desplegables'!$H$3:$J$7,3,FALSE())</f>
        <v>#N/A</v>
      </c>
      <c r="C7" s="69" t="n">
        <v>2</v>
      </c>
      <c r="D7" s="70" t="s">
        <v>204</v>
      </c>
      <c r="E7" s="70" t="s">
        <v>205</v>
      </c>
      <c r="F7" s="70" t="s">
        <v>206</v>
      </c>
      <c r="G7" s="71" t="n">
        <v>230</v>
      </c>
      <c r="H7" s="72" t="n">
        <v>38.45</v>
      </c>
      <c r="I7" s="72" t="n">
        <v>1017</v>
      </c>
      <c r="J7" s="72" t="n">
        <v>1017</v>
      </c>
      <c r="K7" s="72" t="n">
        <v>1100.394</v>
      </c>
      <c r="L7" s="73" t="s">
        <v>198</v>
      </c>
      <c r="M7" s="72" t="n">
        <v>0.0519011703511053</v>
      </c>
      <c r="N7" s="72" t="n">
        <v>0.487300390117035</v>
      </c>
      <c r="O7" s="72" t="n">
        <v>3.44700130039012</v>
      </c>
      <c r="P7" s="72" t="n">
        <v>0.361700910273082</v>
      </c>
      <c r="Q7" s="72" t="n">
        <v>1.51269960988296</v>
      </c>
      <c r="R7" s="72" t="n">
        <v>2.21289986996099</v>
      </c>
      <c r="S7" s="73" t="s">
        <v>199</v>
      </c>
      <c r="T7" s="73" t="s">
        <v>200</v>
      </c>
      <c r="U7" s="73" t="s">
        <v>201</v>
      </c>
      <c r="V7" s="74"/>
      <c r="W7" s="73" t="s">
        <v>202</v>
      </c>
      <c r="X7" s="73" t="n">
        <v>0</v>
      </c>
      <c r="Y7" s="73" t="n">
        <v>0</v>
      </c>
      <c r="Z7" s="73" t="n">
        <v>0</v>
      </c>
      <c r="AA7" s="66" t="s">
        <v>203</v>
      </c>
      <c r="AB7" s="73" t="s">
        <v>44</v>
      </c>
      <c r="AC7" s="75"/>
    </row>
    <row r="8" customFormat="false" ht="15" hidden="false" customHeight="false" outlineLevel="0" collapsed="false">
      <c r="A8" s="52" t="e">
        <f aca="false">VLOOKUP(E8,'[1]Listas Desplegables'!$H$3:$J$7,2,FALSE())</f>
        <v>#N/A</v>
      </c>
      <c r="B8" s="52" t="e">
        <f aca="false">VLOOKUP(E8,'[1]Listas Desplegables'!$H$3:$J$7,3,FALSE())</f>
        <v>#N/A</v>
      </c>
      <c r="C8" s="69" t="n">
        <v>3</v>
      </c>
      <c r="D8" s="70" t="s">
        <v>207</v>
      </c>
      <c r="E8" s="70" t="s">
        <v>208</v>
      </c>
      <c r="F8" s="70" t="s">
        <v>209</v>
      </c>
      <c r="G8" s="71" t="n">
        <v>115</v>
      </c>
      <c r="H8" s="72" t="n">
        <v>81.378</v>
      </c>
      <c r="I8" s="72" t="n">
        <v>770</v>
      </c>
      <c r="J8" s="72" t="n">
        <v>770</v>
      </c>
      <c r="K8" s="72" t="n">
        <v>980.98</v>
      </c>
      <c r="L8" s="73" t="s">
        <v>198</v>
      </c>
      <c r="M8" s="72" t="n">
        <v>0.115000368650004</v>
      </c>
      <c r="N8" s="72" t="n">
        <v>0.393999606773329</v>
      </c>
      <c r="O8" s="72" t="n">
        <v>3.65299958219666</v>
      </c>
      <c r="P8" s="72" t="n">
        <v>0.546000147460002</v>
      </c>
      <c r="Q8" s="72" t="n">
        <v>1.20399985254</v>
      </c>
      <c r="R8" s="72" t="n">
        <v>2.17599965592666</v>
      </c>
      <c r="S8" s="73" t="s">
        <v>210</v>
      </c>
      <c r="T8" s="73" t="s">
        <v>200</v>
      </c>
      <c r="U8" s="73" t="s">
        <v>201</v>
      </c>
      <c r="V8" s="74"/>
      <c r="W8" s="73" t="s">
        <v>202</v>
      </c>
      <c r="X8" s="73" t="n">
        <v>0</v>
      </c>
      <c r="Y8" s="73" t="n">
        <v>0</v>
      </c>
      <c r="Z8" s="73" t="n">
        <v>0</v>
      </c>
      <c r="AA8" s="73" t="s">
        <v>211</v>
      </c>
      <c r="AB8" s="73" t="s">
        <v>47</v>
      </c>
      <c r="AC8" s="75"/>
    </row>
    <row r="9" customFormat="false" ht="15.75" hidden="false" customHeight="false" outlineLevel="0" collapsed="false">
      <c r="A9" s="52" t="e">
        <f aca="false">VLOOKUP(E9,'[1]Listas Desplegables'!$H$3:$J$7,2,FALSE())</f>
        <v>#N/A</v>
      </c>
      <c r="B9" s="52" t="e">
        <f aca="false">VLOOKUP(E9,'[1]Listas Desplegables'!$H$3:$J$7,3,FALSE())</f>
        <v>#N/A</v>
      </c>
      <c r="C9" s="69" t="n">
        <v>4</v>
      </c>
      <c r="D9" s="70" t="s">
        <v>212</v>
      </c>
      <c r="E9" s="70" t="s">
        <v>213</v>
      </c>
      <c r="F9" s="70" t="s">
        <v>214</v>
      </c>
      <c r="G9" s="71" t="n">
        <v>115</v>
      </c>
      <c r="H9" s="72" t="n">
        <v>59.9</v>
      </c>
      <c r="I9" s="72" t="n">
        <v>325</v>
      </c>
      <c r="J9" s="72" t="n">
        <v>325</v>
      </c>
      <c r="K9" s="72" t="n">
        <v>530.4</v>
      </c>
      <c r="L9" s="73" t="s">
        <v>198</v>
      </c>
      <c r="M9" s="72" t="n">
        <v>0.120899833055092</v>
      </c>
      <c r="N9" s="72" t="n">
        <v>0.488100166944908</v>
      </c>
      <c r="O9" s="72" t="n">
        <v>3.39260100166945</v>
      </c>
      <c r="P9" s="72" t="n">
        <v>0.447200333889816</v>
      </c>
      <c r="Q9" s="72" t="n">
        <v>1.63169949916528</v>
      </c>
      <c r="R9" s="72" t="n">
        <v>1.89389983305509</v>
      </c>
      <c r="S9" s="73" t="s">
        <v>210</v>
      </c>
      <c r="T9" s="73" t="s">
        <v>200</v>
      </c>
      <c r="U9" s="73" t="s">
        <v>201</v>
      </c>
      <c r="V9" s="74"/>
      <c r="W9" s="73" t="s">
        <v>202</v>
      </c>
      <c r="X9" s="73" t="n">
        <v>0</v>
      </c>
      <c r="Y9" s="73" t="n">
        <v>0</v>
      </c>
      <c r="Z9" s="73" t="n">
        <v>0</v>
      </c>
      <c r="AA9" s="73" t="s">
        <v>211</v>
      </c>
      <c r="AB9" s="73" t="s">
        <v>47</v>
      </c>
      <c r="AC9" s="75" t="s">
        <v>215</v>
      </c>
    </row>
    <row r="10" customFormat="false" ht="15.75" hidden="false" customHeight="false" outlineLevel="0" collapsed="false">
      <c r="A10" s="52" t="e">
        <f aca="false">VLOOKUP(E10,'[1]Listas Desplegables'!$H$3:$J$7,2,FALSE())</f>
        <v>#N/A</v>
      </c>
      <c r="B10" s="52" t="e">
        <f aca="false">VLOOKUP(E10,'[1]Listas Desplegables'!$H$3:$J$7,3,FALSE())</f>
        <v>#N/A</v>
      </c>
      <c r="C10" s="69" t="n">
        <v>5</v>
      </c>
      <c r="D10" s="70" t="s">
        <v>216</v>
      </c>
      <c r="E10" s="70" t="s">
        <v>217</v>
      </c>
      <c r="F10" s="70" t="s">
        <v>218</v>
      </c>
      <c r="G10" s="71" t="n">
        <v>230</v>
      </c>
      <c r="H10" s="72" t="n">
        <v>42.13</v>
      </c>
      <c r="I10" s="72" t="n">
        <v>1017</v>
      </c>
      <c r="J10" s="72" t="n">
        <v>1017</v>
      </c>
      <c r="K10" s="72" t="n">
        <v>1100.394</v>
      </c>
      <c r="L10" s="73" t="s">
        <v>198</v>
      </c>
      <c r="M10" s="72" t="n">
        <v>0.0520009494422027</v>
      </c>
      <c r="N10" s="72" t="n">
        <v>0.486999762639449</v>
      </c>
      <c r="O10" s="72" t="n">
        <v>3.44699976263945</v>
      </c>
      <c r="P10" s="72" t="n">
        <v>0.36</v>
      </c>
      <c r="Q10" s="72" t="n">
        <v>1.5079990505578</v>
      </c>
      <c r="R10" s="72" t="n">
        <v>2.2120009494422</v>
      </c>
      <c r="S10" s="73" t="s">
        <v>199</v>
      </c>
      <c r="T10" s="73" t="s">
        <v>200</v>
      </c>
      <c r="U10" s="73" t="s">
        <v>201</v>
      </c>
      <c r="V10" s="74"/>
      <c r="W10" s="73" t="s">
        <v>202</v>
      </c>
      <c r="X10" s="73" t="n">
        <v>0</v>
      </c>
      <c r="Y10" s="73" t="n">
        <v>0</v>
      </c>
      <c r="Z10" s="73" t="n">
        <v>0</v>
      </c>
      <c r="AA10" s="66" t="s">
        <v>203</v>
      </c>
      <c r="AB10" s="73" t="s">
        <v>44</v>
      </c>
      <c r="AC10" s="75"/>
    </row>
    <row r="11" customFormat="false" ht="15" hidden="false" customHeight="false" outlineLevel="0" collapsed="false">
      <c r="A11" s="52" t="e">
        <f aca="false">VLOOKUP(E11,'[1]Listas Desplegables'!$H$3:$J$7,2,FALSE())</f>
        <v>#N/A</v>
      </c>
      <c r="B11" s="52" t="e">
        <f aca="false">VLOOKUP(E11,'[1]Listas Desplegables'!$H$3:$J$7,3,FALSE())</f>
        <v>#N/A</v>
      </c>
      <c r="C11" s="69" t="n">
        <v>6</v>
      </c>
      <c r="D11" s="70" t="s">
        <v>219</v>
      </c>
      <c r="E11" s="70" t="s">
        <v>220</v>
      </c>
      <c r="F11" s="70" t="s">
        <v>221</v>
      </c>
      <c r="G11" s="71" t="n">
        <v>230</v>
      </c>
      <c r="H11" s="72" t="n">
        <v>38.45</v>
      </c>
      <c r="I11" s="72" t="n">
        <v>1017</v>
      </c>
      <c r="J11" s="72" t="n">
        <v>1017</v>
      </c>
      <c r="K11" s="72" t="n">
        <v>1100.394</v>
      </c>
      <c r="L11" s="73" t="s">
        <v>198</v>
      </c>
      <c r="M11" s="72" t="n">
        <v>0.0519011703511053</v>
      </c>
      <c r="N11" s="72" t="n">
        <v>0.487300390117035</v>
      </c>
      <c r="O11" s="72" t="n">
        <v>3.44700130039012</v>
      </c>
      <c r="P11" s="72" t="n">
        <v>0.361700910273082</v>
      </c>
      <c r="Q11" s="72" t="n">
        <v>1.51269960988296</v>
      </c>
      <c r="R11" s="72" t="n">
        <v>2.21289986996099</v>
      </c>
      <c r="S11" s="73" t="s">
        <v>199</v>
      </c>
      <c r="T11" s="73" t="s">
        <v>200</v>
      </c>
      <c r="U11" s="73" t="s">
        <v>201</v>
      </c>
      <c r="V11" s="74"/>
      <c r="W11" s="73" t="s">
        <v>202</v>
      </c>
      <c r="X11" s="73" t="n">
        <v>0</v>
      </c>
      <c r="Y11" s="73" t="n">
        <v>0</v>
      </c>
      <c r="Z11" s="73" t="n">
        <v>0</v>
      </c>
      <c r="AA11" s="66" t="s">
        <v>203</v>
      </c>
      <c r="AB11" s="73" t="s">
        <v>44</v>
      </c>
      <c r="AC11" s="75"/>
    </row>
    <row r="12" customFormat="false" ht="15" hidden="false" customHeight="false" outlineLevel="0" collapsed="false">
      <c r="A12" s="52" t="e">
        <f aca="false">VLOOKUP(E12,'[1]Listas Desplegables'!$H$3:$J$7,2,FALSE())</f>
        <v>#N/A</v>
      </c>
      <c r="B12" s="52" t="e">
        <f aca="false">VLOOKUP(E12,'[1]Listas Desplegables'!$H$3:$J$7,3,FALSE())</f>
        <v>#N/A</v>
      </c>
      <c r="C12" s="69" t="n">
        <v>7</v>
      </c>
      <c r="D12" s="70" t="s">
        <v>222</v>
      </c>
      <c r="E12" s="70" t="s">
        <v>223</v>
      </c>
      <c r="F12" s="70" t="s">
        <v>224</v>
      </c>
      <c r="G12" s="71" t="n">
        <v>115</v>
      </c>
      <c r="H12" s="72" t="n">
        <v>34.1</v>
      </c>
      <c r="I12" s="72" t="n">
        <v>500</v>
      </c>
      <c r="J12" s="72" t="n">
        <v>500</v>
      </c>
      <c r="K12" s="72" t="n">
        <v>625</v>
      </c>
      <c r="L12" s="73" t="s">
        <v>198</v>
      </c>
      <c r="M12" s="72" t="n">
        <v>0.14</v>
      </c>
      <c r="N12" s="72" t="n">
        <v>0.486</v>
      </c>
      <c r="O12" s="72" t="n">
        <v>3.4</v>
      </c>
      <c r="P12" s="72" t="n">
        <v>0.32</v>
      </c>
      <c r="Q12" s="72" t="n">
        <v>1.612</v>
      </c>
      <c r="R12" s="72" t="n">
        <v>1.63</v>
      </c>
      <c r="S12" s="73" t="s">
        <v>210</v>
      </c>
      <c r="T12" s="73" t="s">
        <v>200</v>
      </c>
      <c r="U12" s="73" t="s">
        <v>201</v>
      </c>
      <c r="V12" s="74"/>
      <c r="W12" s="73" t="s">
        <v>202</v>
      </c>
      <c r="X12" s="73" t="n">
        <v>0.0266666666138917</v>
      </c>
      <c r="Y12" s="73" t="n">
        <v>0.133333333069459</v>
      </c>
      <c r="Z12" s="73" t="n">
        <v>5</v>
      </c>
      <c r="AA12" s="73" t="s">
        <v>211</v>
      </c>
      <c r="AB12" s="73" t="s">
        <v>47</v>
      </c>
      <c r="AC12" s="75" t="s">
        <v>225</v>
      </c>
    </row>
    <row r="13" customFormat="false" ht="15" hidden="false" customHeight="false" outlineLevel="0" collapsed="false">
      <c r="A13" s="52" t="e">
        <f aca="false">VLOOKUP(E13,'[1]Listas Desplegables'!$H$3:$J$7,2,FALSE())</f>
        <v>#N/A</v>
      </c>
      <c r="B13" s="52" t="e">
        <f aca="false">VLOOKUP(E13,'[1]Listas Desplegables'!$H$3:$J$7,3,FALSE())</f>
        <v>#N/A</v>
      </c>
      <c r="C13" s="69" t="n">
        <v>8</v>
      </c>
      <c r="D13" s="70" t="s">
        <v>226</v>
      </c>
      <c r="E13" s="70" t="s">
        <v>227</v>
      </c>
      <c r="F13" s="70" t="s">
        <v>228</v>
      </c>
      <c r="G13" s="71" t="n">
        <v>115</v>
      </c>
      <c r="H13" s="72" t="n">
        <v>3.977</v>
      </c>
      <c r="I13" s="72" t="n">
        <v>592</v>
      </c>
      <c r="J13" s="72" t="n">
        <v>592</v>
      </c>
      <c r="K13" s="72" t="n">
        <v>599.696</v>
      </c>
      <c r="L13" s="73" t="s">
        <v>198</v>
      </c>
      <c r="M13" s="72" t="n">
        <v>0.139300980638672</v>
      </c>
      <c r="N13" s="72" t="n">
        <v>0.481393009806387</v>
      </c>
      <c r="O13" s="72" t="n">
        <v>3.43268795574554</v>
      </c>
      <c r="P13" s="72" t="n">
        <v>0.58918783002263</v>
      </c>
      <c r="Q13" s="72" t="n">
        <v>1.27219009303495</v>
      </c>
      <c r="R13" s="72" t="n">
        <v>2.31030927835052</v>
      </c>
      <c r="S13" s="73" t="s">
        <v>210</v>
      </c>
      <c r="T13" s="73" t="s">
        <v>200</v>
      </c>
      <c r="U13" s="73" t="s">
        <v>201</v>
      </c>
      <c r="V13" s="74"/>
      <c r="W13" s="73" t="s">
        <v>202</v>
      </c>
      <c r="X13" s="73" t="n">
        <v>0.35</v>
      </c>
      <c r="Y13" s="73" t="n">
        <v>0.35</v>
      </c>
      <c r="Z13" s="73" t="n">
        <v>1</v>
      </c>
      <c r="AA13" s="73" t="s">
        <v>211</v>
      </c>
      <c r="AB13" s="73" t="s">
        <v>47</v>
      </c>
      <c r="AC13" s="75" t="s">
        <v>229</v>
      </c>
    </row>
    <row r="14" customFormat="false" ht="15" hidden="false" customHeight="false" outlineLevel="0" collapsed="false">
      <c r="A14" s="52" t="e">
        <f aca="false">VLOOKUP(E14,'[1]Listas Desplegables'!$H$3:$J$7,2,FALSE())</f>
        <v>#N/A</v>
      </c>
      <c r="B14" s="52" t="e">
        <f aca="false">VLOOKUP(E14,'[1]Listas Desplegables'!$H$3:$J$7,3,FALSE())</f>
        <v>#N/A</v>
      </c>
      <c r="C14" s="69" t="n">
        <v>9</v>
      </c>
      <c r="D14" s="70" t="s">
        <v>230</v>
      </c>
      <c r="E14" s="70" t="s">
        <v>231</v>
      </c>
      <c r="F14" s="70" t="s">
        <v>232</v>
      </c>
      <c r="G14" s="71" t="n">
        <v>34.5</v>
      </c>
      <c r="H14" s="72" t="n">
        <v>2.7</v>
      </c>
      <c r="I14" s="72" t="n">
        <v>458</v>
      </c>
      <c r="J14" s="72" t="n">
        <v>458</v>
      </c>
      <c r="K14" s="72" t="n">
        <v>458</v>
      </c>
      <c r="L14" s="73" t="s">
        <v>198</v>
      </c>
      <c r="M14" s="72" t="n">
        <v>0.209592592592593</v>
      </c>
      <c r="N14" s="72" t="n">
        <v>0.378851851851852</v>
      </c>
      <c r="O14" s="72" t="n">
        <v>4.41433333333333</v>
      </c>
      <c r="P14" s="72" t="n">
        <v>0.544481481481482</v>
      </c>
      <c r="Q14" s="72" t="n">
        <v>1.85707407407407</v>
      </c>
      <c r="R14" s="72" t="n">
        <v>1.72188888888889</v>
      </c>
      <c r="S14" s="73" t="s">
        <v>233</v>
      </c>
      <c r="T14" s="73" t="s">
        <v>200</v>
      </c>
      <c r="U14" s="73" t="s">
        <v>201</v>
      </c>
      <c r="V14" s="74"/>
      <c r="W14" s="73" t="s">
        <v>234</v>
      </c>
      <c r="X14" s="73" t="n">
        <v>1.99384259257931</v>
      </c>
      <c r="Y14" s="73" t="n">
        <v>11.9630555554759</v>
      </c>
      <c r="Z14" s="73" t="n">
        <v>6</v>
      </c>
      <c r="AA14" s="73" t="s">
        <v>211</v>
      </c>
      <c r="AB14" s="73" t="s">
        <v>47</v>
      </c>
      <c r="AC14" s="75" t="s">
        <v>235</v>
      </c>
    </row>
    <row r="15" customFormat="false" ht="15" hidden="false" customHeight="false" outlineLevel="0" collapsed="false">
      <c r="A15" s="52" t="e">
        <f aca="false">VLOOKUP(E15,'[1]Listas Desplegables'!$H$3:$J$7,2,FALSE())</f>
        <v>#N/A</v>
      </c>
      <c r="B15" s="52" t="e">
        <f aca="false">VLOOKUP(E15,'[1]Listas Desplegables'!$H$3:$J$7,3,FALSE())</f>
        <v>#N/A</v>
      </c>
      <c r="C15" s="76" t="n">
        <v>10</v>
      </c>
      <c r="D15" s="70" t="s">
        <v>236</v>
      </c>
      <c r="E15" s="70" t="s">
        <v>237</v>
      </c>
      <c r="F15" s="70" t="s">
        <v>238</v>
      </c>
      <c r="G15" s="71" t="n">
        <v>34.5</v>
      </c>
      <c r="H15" s="72" t="n">
        <v>5.23</v>
      </c>
      <c r="I15" s="72" t="n">
        <v>465</v>
      </c>
      <c r="J15" s="72" t="n">
        <v>418.965</v>
      </c>
      <c r="K15" s="72" t="n">
        <v>465</v>
      </c>
      <c r="L15" s="73" t="s">
        <v>239</v>
      </c>
      <c r="M15" s="72" t="n">
        <v>0.0908795411089866</v>
      </c>
      <c r="N15" s="72" t="n">
        <v>0.137801147227533</v>
      </c>
      <c r="O15" s="72" t="n">
        <v>95.323690248566</v>
      </c>
      <c r="P15" s="72" t="n">
        <v>0.144493307839388</v>
      </c>
      <c r="Q15" s="72" t="n">
        <v>0.35</v>
      </c>
      <c r="R15" s="72" t="n">
        <v>95.323690248566</v>
      </c>
      <c r="S15" s="73" t="s">
        <v>233</v>
      </c>
      <c r="T15" s="73" t="s">
        <v>200</v>
      </c>
      <c r="U15" s="73" t="s">
        <v>201</v>
      </c>
      <c r="V15" s="74"/>
      <c r="W15" s="73" t="s">
        <v>240</v>
      </c>
      <c r="X15" s="73" t="n">
        <v>0</v>
      </c>
      <c r="Y15" s="73" t="n">
        <v>0</v>
      </c>
      <c r="Z15" s="73" t="n">
        <v>0</v>
      </c>
      <c r="AA15" s="73" t="s">
        <v>211</v>
      </c>
      <c r="AB15" s="73" t="s">
        <v>47</v>
      </c>
      <c r="AC15" s="75"/>
    </row>
    <row r="16" customFormat="false" ht="15" hidden="false" customHeight="false" outlineLevel="0" collapsed="false">
      <c r="A16" s="52" t="e">
        <f aca="false">VLOOKUP(E16,'[1]Listas Desplegables'!$H$3:$J$7,2,FALSE())</f>
        <v>#N/A</v>
      </c>
      <c r="B16" s="52" t="e">
        <f aca="false">VLOOKUP(E16,'[1]Listas Desplegables'!$H$3:$J$7,3,FALSE())</f>
        <v>#N/A</v>
      </c>
      <c r="C16" s="69" t="n">
        <v>11</v>
      </c>
      <c r="D16" s="70" t="s">
        <v>241</v>
      </c>
      <c r="E16" s="70" t="s">
        <v>242</v>
      </c>
      <c r="F16" s="70" t="s">
        <v>243</v>
      </c>
      <c r="G16" s="71" t="n">
        <v>34.5</v>
      </c>
      <c r="H16" s="72" t="n">
        <v>1.38</v>
      </c>
      <c r="I16" s="72" t="n">
        <v>458</v>
      </c>
      <c r="J16" s="72" t="n">
        <v>458</v>
      </c>
      <c r="K16" s="72" t="n">
        <v>458</v>
      </c>
      <c r="L16" s="73" t="s">
        <v>198</v>
      </c>
      <c r="M16" s="72" t="n">
        <v>0.20963768115942</v>
      </c>
      <c r="N16" s="72" t="n">
        <v>0.378840579710145</v>
      </c>
      <c r="O16" s="72" t="n">
        <v>4.41434782608696</v>
      </c>
      <c r="P16" s="72" t="n">
        <v>0.544492753623188</v>
      </c>
      <c r="Q16" s="72" t="n">
        <v>1.85710144927536</v>
      </c>
      <c r="R16" s="72" t="n">
        <v>1.72188405797101</v>
      </c>
      <c r="S16" s="73" t="s">
        <v>233</v>
      </c>
      <c r="T16" s="73" t="s">
        <v>200</v>
      </c>
      <c r="U16" s="73" t="s">
        <v>201</v>
      </c>
      <c r="V16" s="74"/>
      <c r="W16" s="73" t="s">
        <v>234</v>
      </c>
      <c r="X16" s="73" t="n">
        <v>0</v>
      </c>
      <c r="Y16" s="73" t="n">
        <v>0</v>
      </c>
      <c r="Z16" s="73" t="n">
        <v>0</v>
      </c>
      <c r="AA16" s="73" t="s">
        <v>211</v>
      </c>
      <c r="AB16" s="73" t="s">
        <v>47</v>
      </c>
      <c r="AC16" s="75"/>
    </row>
    <row r="17" customFormat="false" ht="15" hidden="false" customHeight="false" outlineLevel="0" collapsed="false">
      <c r="A17" s="52" t="e">
        <f aca="false">VLOOKUP(E17,'[1]Listas Desplegables'!$H$3:$J$7,2,FALSE())</f>
        <v>#N/A</v>
      </c>
      <c r="B17" s="52" t="e">
        <f aca="false">VLOOKUP(E17,'[1]Listas Desplegables'!$H$3:$J$7,3,FALSE())</f>
        <v>#N/A</v>
      </c>
      <c r="C17" s="69" t="n">
        <v>12</v>
      </c>
      <c r="D17" s="70" t="s">
        <v>244</v>
      </c>
      <c r="E17" s="70" t="s">
        <v>245</v>
      </c>
      <c r="F17" s="70" t="s">
        <v>246</v>
      </c>
      <c r="G17" s="71" t="n">
        <v>34.5</v>
      </c>
      <c r="H17" s="72" t="n">
        <v>10.77</v>
      </c>
      <c r="I17" s="72" t="n">
        <v>458</v>
      </c>
      <c r="J17" s="72" t="n">
        <v>458</v>
      </c>
      <c r="K17" s="72" t="n">
        <v>458</v>
      </c>
      <c r="L17" s="73" t="s">
        <v>198</v>
      </c>
      <c r="M17" s="72" t="n">
        <v>0.209610027855153</v>
      </c>
      <c r="N17" s="72" t="n">
        <v>0.378839368616527</v>
      </c>
      <c r="O17" s="72" t="n">
        <v>4.41433611884865</v>
      </c>
      <c r="P17" s="72" t="n">
        <v>0.544503249767874</v>
      </c>
      <c r="Q17" s="72" t="n">
        <v>1.85708449396472</v>
      </c>
      <c r="R17" s="72" t="n">
        <v>1.7219034354689</v>
      </c>
      <c r="S17" s="73" t="s">
        <v>233</v>
      </c>
      <c r="T17" s="73" t="s">
        <v>200</v>
      </c>
      <c r="U17" s="73" t="s">
        <v>201</v>
      </c>
      <c r="V17" s="74"/>
      <c r="W17" s="73" t="s">
        <v>234</v>
      </c>
      <c r="X17" s="73" t="n">
        <v>0</v>
      </c>
      <c r="Y17" s="73" t="n">
        <v>0</v>
      </c>
      <c r="Z17" s="73" t="n">
        <v>0</v>
      </c>
      <c r="AA17" s="73" t="s">
        <v>211</v>
      </c>
      <c r="AB17" s="73" t="s">
        <v>47</v>
      </c>
      <c r="AC17" s="75"/>
    </row>
    <row r="18" customFormat="false" ht="15" hidden="false" customHeight="false" outlineLevel="0" collapsed="false">
      <c r="A18" s="52" t="e">
        <f aca="false">VLOOKUP(E18,'[1]Listas Desplegables'!$H$3:$J$7,2,FALSE())</f>
        <v>#N/A</v>
      </c>
      <c r="B18" s="52" t="e">
        <f aca="false">VLOOKUP(E18,'[1]Listas Desplegables'!$H$3:$J$7,3,FALSE())</f>
        <v>#N/A</v>
      </c>
      <c r="C18" s="69" t="n">
        <v>13</v>
      </c>
      <c r="D18" s="70" t="s">
        <v>247</v>
      </c>
      <c r="E18" s="70" t="s">
        <v>248</v>
      </c>
      <c r="F18" s="70" t="s">
        <v>249</v>
      </c>
      <c r="G18" s="71" t="n">
        <v>34.5</v>
      </c>
      <c r="H18" s="72" t="n">
        <v>0.09</v>
      </c>
      <c r="I18" s="72" t="n">
        <v>458</v>
      </c>
      <c r="J18" s="72" t="n">
        <v>458</v>
      </c>
      <c r="K18" s="72" t="n">
        <v>458</v>
      </c>
      <c r="L18" s="73" t="s">
        <v>198</v>
      </c>
      <c r="M18" s="72" t="n">
        <v>0.21</v>
      </c>
      <c r="N18" s="72" t="n">
        <v>0.378888888888889</v>
      </c>
      <c r="O18" s="72" t="n">
        <v>4.41444444444444</v>
      </c>
      <c r="P18" s="72" t="n">
        <v>0.544444444444445</v>
      </c>
      <c r="Q18" s="72" t="n">
        <v>1.85666666666667</v>
      </c>
      <c r="R18" s="72" t="n">
        <v>1.72222222222222</v>
      </c>
      <c r="S18" s="73" t="s">
        <v>233</v>
      </c>
      <c r="T18" s="73" t="s">
        <v>200</v>
      </c>
      <c r="U18" s="73" t="s">
        <v>201</v>
      </c>
      <c r="V18" s="74"/>
      <c r="W18" s="73" t="s">
        <v>234</v>
      </c>
      <c r="X18" s="73" t="n">
        <v>0</v>
      </c>
      <c r="Y18" s="73" t="n">
        <v>0</v>
      </c>
      <c r="Z18" s="73" t="n">
        <v>0</v>
      </c>
      <c r="AA18" s="73" t="s">
        <v>211</v>
      </c>
      <c r="AB18" s="73" t="s">
        <v>47</v>
      </c>
      <c r="AC18" s="75"/>
    </row>
    <row r="19" customFormat="false" ht="15" hidden="false" customHeight="false" outlineLevel="0" collapsed="false">
      <c r="A19" s="52" t="e">
        <f aca="false">VLOOKUP(E19,'[1]Listas Desplegables'!$H$3:$J$7,2,FALSE())</f>
        <v>#N/A</v>
      </c>
      <c r="B19" s="52" t="e">
        <f aca="false">VLOOKUP(E19,'[1]Listas Desplegables'!$H$3:$J$7,3,FALSE())</f>
        <v>#N/A</v>
      </c>
      <c r="C19" s="69" t="n">
        <v>14</v>
      </c>
      <c r="D19" s="70" t="s">
        <v>250</v>
      </c>
      <c r="E19" s="70" t="s">
        <v>238</v>
      </c>
      <c r="F19" s="70" t="s">
        <v>231</v>
      </c>
      <c r="G19" s="71" t="n">
        <v>34.5</v>
      </c>
      <c r="H19" s="72" t="n">
        <v>0.0186</v>
      </c>
      <c r="I19" s="72" t="n">
        <v>465</v>
      </c>
      <c r="J19" s="72" t="n">
        <v>465</v>
      </c>
      <c r="K19" s="72" t="n">
        <v>465</v>
      </c>
      <c r="L19" s="73" t="s">
        <v>198</v>
      </c>
      <c r="M19" s="72" t="n">
        <v>0.0913978494623656</v>
      </c>
      <c r="N19" s="72" t="n">
        <v>0.139784946236559</v>
      </c>
      <c r="O19" s="72" t="n">
        <v>95.3225806451613</v>
      </c>
      <c r="P19" s="72" t="n">
        <v>0.145161290322581</v>
      </c>
      <c r="Q19" s="72" t="n">
        <v>0.349462365591398</v>
      </c>
      <c r="R19" s="72" t="n">
        <v>95.3225806451613</v>
      </c>
      <c r="S19" s="73" t="s">
        <v>233</v>
      </c>
      <c r="T19" s="73" t="s">
        <v>200</v>
      </c>
      <c r="U19" s="73" t="s">
        <v>201</v>
      </c>
      <c r="V19" s="74"/>
      <c r="W19" s="73" t="s">
        <v>240</v>
      </c>
      <c r="X19" s="73" t="n">
        <v>0</v>
      </c>
      <c r="Y19" s="73" t="n">
        <v>0</v>
      </c>
      <c r="Z19" s="73" t="n">
        <v>0</v>
      </c>
      <c r="AA19" s="73" t="s">
        <v>211</v>
      </c>
      <c r="AB19" s="73" t="s">
        <v>47</v>
      </c>
      <c r="AC19" s="75"/>
    </row>
    <row r="20" customFormat="false" ht="15" hidden="false" customHeight="false" outlineLevel="0" collapsed="false">
      <c r="A20" s="52" t="e">
        <f aca="false">VLOOKUP(E20,'[1]Listas Desplegables'!$H$3:$J$7,2,FALSE())</f>
        <v>#N/A</v>
      </c>
      <c r="B20" s="52" t="e">
        <f aca="false">VLOOKUP(E20,'[1]Listas Desplegables'!$H$3:$J$7,3,FALSE())</f>
        <v>#N/A</v>
      </c>
      <c r="C20" s="69" t="n">
        <v>15</v>
      </c>
      <c r="D20" s="70" t="s">
        <v>251</v>
      </c>
      <c r="E20" s="70" t="s">
        <v>245</v>
      </c>
      <c r="F20" s="70" t="s">
        <v>246</v>
      </c>
      <c r="G20" s="71" t="n">
        <v>34.5</v>
      </c>
      <c r="H20" s="72" t="n">
        <v>10.77</v>
      </c>
      <c r="I20" s="72" t="n">
        <v>458</v>
      </c>
      <c r="J20" s="72" t="n">
        <v>458</v>
      </c>
      <c r="K20" s="72" t="n">
        <v>458</v>
      </c>
      <c r="L20" s="73" t="s">
        <v>198</v>
      </c>
      <c r="M20" s="72" t="n">
        <v>0.209610027855153</v>
      </c>
      <c r="N20" s="72" t="n">
        <v>0.378839368616527</v>
      </c>
      <c r="O20" s="72" t="n">
        <v>4.41433611884865</v>
      </c>
      <c r="P20" s="72" t="n">
        <v>0.544503249767874</v>
      </c>
      <c r="Q20" s="72" t="n">
        <v>1.85708449396472</v>
      </c>
      <c r="R20" s="72" t="n">
        <v>1.7219034354689</v>
      </c>
      <c r="S20" s="73" t="s">
        <v>233</v>
      </c>
      <c r="T20" s="73" t="s">
        <v>200</v>
      </c>
      <c r="U20" s="73" t="s">
        <v>201</v>
      </c>
      <c r="V20" s="74"/>
      <c r="W20" s="73" t="s">
        <v>234</v>
      </c>
      <c r="X20" s="73" t="n">
        <v>0</v>
      </c>
      <c r="Y20" s="73" t="n">
        <v>0</v>
      </c>
      <c r="Z20" s="73" t="n">
        <v>0</v>
      </c>
      <c r="AA20" s="73" t="s">
        <v>211</v>
      </c>
      <c r="AB20" s="73" t="s">
        <v>47</v>
      </c>
      <c r="AC20" s="75"/>
    </row>
    <row r="21" customFormat="false" ht="15" hidden="false" customHeight="false" outlineLevel="0" collapsed="false">
      <c r="A21" s="52" t="e">
        <f aca="false">VLOOKUP(E21,'[1]Listas Desplegables'!$H$3:$J$7,2,FALSE())</f>
        <v>#N/A</v>
      </c>
      <c r="B21" s="52" t="e">
        <f aca="false">VLOOKUP(E21,'[1]Listas Desplegables'!$H$3:$J$7,3,FALSE())</f>
        <v>#N/A</v>
      </c>
      <c r="C21" s="69" t="n">
        <v>16</v>
      </c>
      <c r="D21" s="70" t="s">
        <v>252</v>
      </c>
      <c r="E21" s="70" t="s">
        <v>253</v>
      </c>
      <c r="F21" s="70" t="n">
        <v>406.1</v>
      </c>
      <c r="G21" s="71" t="n">
        <v>34.5</v>
      </c>
      <c r="H21" s="72" t="n">
        <v>0.051</v>
      </c>
      <c r="I21" s="72" t="n">
        <v>465</v>
      </c>
      <c r="J21" s="72" t="n">
        <v>367.815</v>
      </c>
      <c r="K21" s="72" t="n">
        <v>465</v>
      </c>
      <c r="L21" s="73" t="s">
        <v>239</v>
      </c>
      <c r="M21" s="72" t="n">
        <v>0.0450980392156863</v>
      </c>
      <c r="N21" s="72" t="n">
        <v>0.0686274509803922</v>
      </c>
      <c r="O21" s="72" t="n">
        <v>190.647058823529</v>
      </c>
      <c r="P21" s="72" t="n">
        <v>0.0725490196078431</v>
      </c>
      <c r="Q21" s="72" t="n">
        <v>0.174509803921569</v>
      </c>
      <c r="R21" s="72" t="n">
        <v>190.647058823529</v>
      </c>
      <c r="S21" s="73" t="s">
        <v>233</v>
      </c>
      <c r="T21" s="73" t="s">
        <v>200</v>
      </c>
      <c r="U21" s="73" t="s">
        <v>201</v>
      </c>
      <c r="V21" s="74"/>
      <c r="W21" s="73" t="s">
        <v>240</v>
      </c>
      <c r="X21" s="73" t="n">
        <v>8.56472222227603</v>
      </c>
      <c r="Y21" s="73" t="n">
        <v>8.56472222227603</v>
      </c>
      <c r="Z21" s="73" t="n">
        <v>1</v>
      </c>
      <c r="AA21" s="73" t="s">
        <v>211</v>
      </c>
      <c r="AB21" s="73" t="s">
        <v>47</v>
      </c>
      <c r="AC21" s="75" t="s">
        <v>254</v>
      </c>
    </row>
    <row r="22" customFormat="false" ht="15" hidden="false" customHeight="false" outlineLevel="0" collapsed="false">
      <c r="A22" s="52" t="e">
        <f aca="false">VLOOKUP(E22,'[1]Listas Desplegables'!$H$3:$J$7,2,FALSE())</f>
        <v>#N/A</v>
      </c>
      <c r="B22" s="52" t="e">
        <f aca="false">VLOOKUP(E22,'[1]Listas Desplegables'!$H$3:$J$7,3,FALSE())</f>
        <v>#N/A</v>
      </c>
      <c r="C22" s="69" t="n">
        <v>17</v>
      </c>
      <c r="D22" s="70" t="s">
        <v>255</v>
      </c>
      <c r="E22" s="70" t="s">
        <v>256</v>
      </c>
      <c r="F22" s="70" t="s">
        <v>257</v>
      </c>
      <c r="G22" s="71" t="n">
        <v>34.5</v>
      </c>
      <c r="H22" s="72" t="n">
        <v>0.102</v>
      </c>
      <c r="I22" s="72" t="n">
        <v>465</v>
      </c>
      <c r="J22" s="72" t="n">
        <v>272.025</v>
      </c>
      <c r="K22" s="72" t="n">
        <v>465</v>
      </c>
      <c r="L22" s="73" t="s">
        <v>239</v>
      </c>
      <c r="M22" s="72" t="n">
        <v>0.0450980392156863</v>
      </c>
      <c r="N22" s="72" t="n">
        <v>0.0686274509803922</v>
      </c>
      <c r="O22" s="72" t="n">
        <v>190.647058823529</v>
      </c>
      <c r="P22" s="72" t="n">
        <v>0.0725490196078431</v>
      </c>
      <c r="Q22" s="72" t="n">
        <v>0.174509803921569</v>
      </c>
      <c r="R22" s="72" t="n">
        <v>190.647058823529</v>
      </c>
      <c r="S22" s="73" t="s">
        <v>233</v>
      </c>
      <c r="T22" s="73" t="s">
        <v>200</v>
      </c>
      <c r="U22" s="73" t="s">
        <v>201</v>
      </c>
      <c r="V22" s="74"/>
      <c r="W22" s="73" t="s">
        <v>240</v>
      </c>
      <c r="X22" s="73" t="n">
        <v>0</v>
      </c>
      <c r="Y22" s="73" t="n">
        <v>0</v>
      </c>
      <c r="Z22" s="73" t="n">
        <v>0</v>
      </c>
      <c r="AA22" s="73" t="s">
        <v>211</v>
      </c>
      <c r="AB22" s="73" t="s">
        <v>47</v>
      </c>
      <c r="AC22" s="75"/>
    </row>
    <row r="23" customFormat="false" ht="15" hidden="false" customHeight="false" outlineLevel="0" collapsed="false">
      <c r="A23" s="52" t="e">
        <f aca="false">VLOOKUP(E23,'[1]Listas Desplegables'!$H$3:$J$7,2,FALSE())</f>
        <v>#N/A</v>
      </c>
      <c r="B23" s="52" t="e">
        <f aca="false">VLOOKUP(E23,'[1]Listas Desplegables'!$H$3:$J$7,3,FALSE())</f>
        <v>#N/A</v>
      </c>
      <c r="C23" s="69" t="n">
        <v>18</v>
      </c>
      <c r="D23" s="70" t="s">
        <v>258</v>
      </c>
      <c r="E23" s="70" t="s">
        <v>259</v>
      </c>
      <c r="F23" s="70" t="s">
        <v>260</v>
      </c>
      <c r="G23" s="71" t="n">
        <v>34.5</v>
      </c>
      <c r="H23" s="72" t="n">
        <v>0.032</v>
      </c>
      <c r="I23" s="72" t="n">
        <v>458</v>
      </c>
      <c r="J23" s="72" t="n">
        <v>458</v>
      </c>
      <c r="K23" s="72" t="n">
        <v>458</v>
      </c>
      <c r="L23" s="73" t="s">
        <v>198</v>
      </c>
      <c r="M23" s="72" t="n">
        <v>0.209375</v>
      </c>
      <c r="N23" s="72" t="n">
        <v>0.378125</v>
      </c>
      <c r="O23" s="72" t="n">
        <v>4.415625</v>
      </c>
      <c r="P23" s="72" t="n">
        <v>0.54375</v>
      </c>
      <c r="Q23" s="72" t="n">
        <v>1.85625</v>
      </c>
      <c r="R23" s="72" t="n">
        <v>1.721875</v>
      </c>
      <c r="S23" s="73" t="s">
        <v>233</v>
      </c>
      <c r="T23" s="73" t="s">
        <v>200</v>
      </c>
      <c r="U23" s="73" t="s">
        <v>201</v>
      </c>
      <c r="V23" s="74"/>
      <c r="W23" s="73" t="s">
        <v>234</v>
      </c>
      <c r="X23" s="73" t="n">
        <v>0.590151851826813</v>
      </c>
      <c r="Y23" s="73" t="n">
        <v>44.261388887011</v>
      </c>
      <c r="Z23" s="73" t="n">
        <v>75</v>
      </c>
      <c r="AA23" s="73" t="s">
        <v>211</v>
      </c>
      <c r="AB23" s="73" t="s">
        <v>47</v>
      </c>
      <c r="AC23" s="75" t="s">
        <v>261</v>
      </c>
    </row>
    <row r="24" customFormat="false" ht="15" hidden="false" customHeight="false" outlineLevel="0" collapsed="false">
      <c r="A24" s="52" t="e">
        <f aca="false">VLOOKUP(E24,'[1]Listas Desplegables'!$H$3:$J$7,2,FALSE())</f>
        <v>#N/A</v>
      </c>
      <c r="B24" s="52" t="e">
        <f aca="false">VLOOKUP(E24,'[1]Listas Desplegables'!$H$3:$J$7,3,FALSE())</f>
        <v>#N/A</v>
      </c>
      <c r="C24" s="76" t="n">
        <v>19</v>
      </c>
      <c r="D24" s="70" t="s">
        <v>262</v>
      </c>
      <c r="E24" s="70" t="s">
        <v>263</v>
      </c>
      <c r="F24" s="70" t="s">
        <v>264</v>
      </c>
      <c r="G24" s="71" t="n">
        <v>34.5</v>
      </c>
      <c r="H24" s="72" t="n">
        <v>0.22</v>
      </c>
      <c r="I24" s="72" t="n">
        <v>458</v>
      </c>
      <c r="J24" s="72" t="n">
        <v>449.756</v>
      </c>
      <c r="K24" s="72" t="n">
        <v>458</v>
      </c>
      <c r="L24" s="73" t="s">
        <v>239</v>
      </c>
      <c r="M24" s="72" t="n">
        <v>0.209545454545455</v>
      </c>
      <c r="N24" s="72" t="n">
        <v>0.378636363636364</v>
      </c>
      <c r="O24" s="72" t="n">
        <v>4.41454545454545</v>
      </c>
      <c r="P24" s="72" t="n">
        <v>0.544545454545455</v>
      </c>
      <c r="Q24" s="72" t="n">
        <v>1.85727272727273</v>
      </c>
      <c r="R24" s="72" t="n">
        <v>1.72181818181818</v>
      </c>
      <c r="S24" s="73" t="s">
        <v>233</v>
      </c>
      <c r="T24" s="73" t="s">
        <v>200</v>
      </c>
      <c r="U24" s="73" t="s">
        <v>201</v>
      </c>
      <c r="V24" s="74"/>
      <c r="W24" s="73" t="s">
        <v>234</v>
      </c>
      <c r="X24" s="73" t="n">
        <v>1.41421052630635</v>
      </c>
      <c r="Y24" s="73" t="n">
        <v>53.7399999996414</v>
      </c>
      <c r="Z24" s="73" t="n">
        <v>38</v>
      </c>
      <c r="AA24" s="73" t="s">
        <v>211</v>
      </c>
      <c r="AB24" s="73" t="s">
        <v>47</v>
      </c>
      <c r="AC24" s="75" t="s">
        <v>265</v>
      </c>
    </row>
    <row r="25" customFormat="false" ht="15" hidden="false" customHeight="false" outlineLevel="0" collapsed="false">
      <c r="A25" s="52" t="e">
        <f aca="false">VLOOKUP(E25,'[1]Listas Desplegables'!$H$3:$J$7,2,FALSE())</f>
        <v>#N/A</v>
      </c>
      <c r="B25" s="52" t="e">
        <f aca="false">VLOOKUP(E25,'[1]Listas Desplegables'!$H$3:$J$7,3,FALSE())</f>
        <v>#N/A</v>
      </c>
      <c r="C25" s="77" t="n">
        <v>20</v>
      </c>
      <c r="D25" s="78" t="s">
        <v>266</v>
      </c>
      <c r="E25" s="78" t="s">
        <v>267</v>
      </c>
      <c r="F25" s="78" t="s">
        <v>253</v>
      </c>
      <c r="G25" s="71" t="n">
        <v>34.5</v>
      </c>
      <c r="H25" s="72" t="n">
        <v>0.088</v>
      </c>
      <c r="I25" s="72" t="n">
        <v>465</v>
      </c>
      <c r="J25" s="72" t="n">
        <v>272.025</v>
      </c>
      <c r="K25" s="72" t="n">
        <v>465</v>
      </c>
      <c r="L25" s="73" t="s">
        <v>239</v>
      </c>
      <c r="M25" s="72" t="n">
        <v>0.0454545454545455</v>
      </c>
      <c r="N25" s="72" t="n">
        <v>0.0693181818181818</v>
      </c>
      <c r="O25" s="72" t="n">
        <v>190.647727272727</v>
      </c>
      <c r="P25" s="72" t="n">
        <v>0.0727272727272727</v>
      </c>
      <c r="Q25" s="72" t="n">
        <v>0.175</v>
      </c>
      <c r="R25" s="72" t="n">
        <v>190.647727272727</v>
      </c>
      <c r="S25" s="73" t="s">
        <v>233</v>
      </c>
      <c r="T25" s="73" t="s">
        <v>200</v>
      </c>
      <c r="U25" s="73" t="s">
        <v>201</v>
      </c>
      <c r="V25" s="74"/>
      <c r="W25" s="73" t="s">
        <v>240</v>
      </c>
      <c r="X25" s="73" t="n">
        <v>1.40822866351</v>
      </c>
      <c r="Y25" s="73" t="n">
        <v>97.1677777821897</v>
      </c>
      <c r="Z25" s="73" t="n">
        <v>69</v>
      </c>
      <c r="AA25" s="73" t="s">
        <v>211</v>
      </c>
      <c r="AB25" s="73" t="s">
        <v>47</v>
      </c>
      <c r="AC25" s="75" t="s">
        <v>268</v>
      </c>
    </row>
    <row r="26" customFormat="false" ht="15" hidden="false" customHeight="false" outlineLevel="0" collapsed="false">
      <c r="A26" s="52" t="e">
        <f aca="false">VLOOKUP(E26,'[1]Listas Desplegables'!$H$3:$J$7,2,FALSE())</f>
        <v>#N/A</v>
      </c>
      <c r="B26" s="52" t="e">
        <f aca="false">VLOOKUP(E26,'[1]Listas Desplegables'!$H$3:$J$7,3,FALSE())</f>
        <v>#N/A</v>
      </c>
      <c r="C26" s="76" t="n">
        <v>21</v>
      </c>
      <c r="D26" s="78" t="s">
        <v>269</v>
      </c>
      <c r="E26" s="78" t="s">
        <v>270</v>
      </c>
      <c r="F26" s="78" t="s">
        <v>260</v>
      </c>
      <c r="G26" s="71" t="n">
        <v>34.5</v>
      </c>
      <c r="H26" s="72" t="n">
        <v>0.032</v>
      </c>
      <c r="I26" s="72" t="n">
        <v>458</v>
      </c>
      <c r="J26" s="72" t="n">
        <v>458</v>
      </c>
      <c r="K26" s="72" t="n">
        <v>458</v>
      </c>
      <c r="L26" s="73" t="s">
        <v>198</v>
      </c>
      <c r="M26" s="72" t="n">
        <v>0.209375</v>
      </c>
      <c r="N26" s="72" t="n">
        <v>0.378125</v>
      </c>
      <c r="O26" s="72" t="n">
        <v>4.415625</v>
      </c>
      <c r="P26" s="72" t="n">
        <v>0.54375</v>
      </c>
      <c r="Q26" s="72" t="n">
        <v>1.85625</v>
      </c>
      <c r="R26" s="72" t="n">
        <v>1.721875</v>
      </c>
      <c r="S26" s="73" t="s">
        <v>233</v>
      </c>
      <c r="T26" s="73" t="s">
        <v>200</v>
      </c>
      <c r="U26" s="73" t="s">
        <v>201</v>
      </c>
      <c r="V26" s="74"/>
      <c r="W26" s="73" t="s">
        <v>234</v>
      </c>
      <c r="X26" s="73" t="n">
        <v>0.568400383178257</v>
      </c>
      <c r="Y26" s="73" t="n">
        <v>16.4836111121695</v>
      </c>
      <c r="Z26" s="73" t="n">
        <v>29</v>
      </c>
      <c r="AA26" s="73" t="s">
        <v>211</v>
      </c>
      <c r="AB26" s="73" t="s">
        <v>47</v>
      </c>
      <c r="AC26" s="75" t="s">
        <v>271</v>
      </c>
    </row>
    <row r="27" customFormat="false" ht="15" hidden="false" customHeight="false" outlineLevel="0" collapsed="false">
      <c r="A27" s="52" t="e">
        <f aca="false">VLOOKUP(E27,'[1]Listas Desplegables'!$H$3:$J$7,2,FALSE())</f>
        <v>#N/A</v>
      </c>
      <c r="B27" s="52" t="e">
        <f aca="false">VLOOKUP(E27,'[1]Listas Desplegables'!$H$3:$J$7,3,FALSE())</f>
        <v>#N/A</v>
      </c>
      <c r="C27" s="69" t="n">
        <v>22</v>
      </c>
      <c r="D27" s="78" t="s">
        <v>272</v>
      </c>
      <c r="E27" s="78" t="s">
        <v>273</v>
      </c>
      <c r="F27" s="78" t="s">
        <v>274</v>
      </c>
      <c r="G27" s="71" t="n">
        <v>34.5</v>
      </c>
      <c r="H27" s="72" t="n">
        <v>3.1947</v>
      </c>
      <c r="I27" s="72" t="n">
        <v>458</v>
      </c>
      <c r="J27" s="72" t="n">
        <v>458</v>
      </c>
      <c r="K27" s="72" t="n">
        <v>458</v>
      </c>
      <c r="L27" s="73" t="s">
        <v>198</v>
      </c>
      <c r="M27" s="72" t="n">
        <v>0.209597145271857</v>
      </c>
      <c r="N27" s="72" t="n">
        <v>0.378846214042007</v>
      </c>
      <c r="O27" s="72" t="n">
        <v>4.41434250477353</v>
      </c>
      <c r="P27" s="72" t="n">
        <v>0.54449557078912</v>
      </c>
      <c r="Q27" s="72" t="n">
        <v>1.85707578176355</v>
      </c>
      <c r="R27" s="72" t="n">
        <v>1.72191442075938</v>
      </c>
      <c r="S27" s="73" t="s">
        <v>233</v>
      </c>
      <c r="T27" s="73" t="s">
        <v>200</v>
      </c>
      <c r="U27" s="73" t="s">
        <v>201</v>
      </c>
      <c r="V27" s="74"/>
      <c r="W27" s="73" t="s">
        <v>234</v>
      </c>
      <c r="X27" s="73" t="n">
        <v>0</v>
      </c>
      <c r="Y27" s="73" t="n">
        <v>0</v>
      </c>
      <c r="Z27" s="73" t="n">
        <v>0</v>
      </c>
      <c r="AA27" s="73" t="s">
        <v>211</v>
      </c>
      <c r="AB27" s="73" t="s">
        <v>47</v>
      </c>
      <c r="AC27" s="75"/>
    </row>
    <row r="28" customFormat="false" ht="15" hidden="false" customHeight="false" outlineLevel="0" collapsed="false">
      <c r="A28" s="52" t="e">
        <f aca="false">VLOOKUP(E28,'[1]Listas Desplegables'!$H$3:$J$7,2,FALSE())</f>
        <v>#N/A</v>
      </c>
      <c r="B28" s="52" t="e">
        <f aca="false">VLOOKUP(E28,'[1]Listas Desplegables'!$H$3:$J$7,3,FALSE())</f>
        <v>#N/A</v>
      </c>
      <c r="C28" s="69" t="n">
        <v>23</v>
      </c>
      <c r="D28" s="78" t="s">
        <v>275</v>
      </c>
      <c r="E28" s="78" t="s">
        <v>276</v>
      </c>
      <c r="F28" s="78" t="s">
        <v>277</v>
      </c>
      <c r="G28" s="71" t="n">
        <v>34.5</v>
      </c>
      <c r="H28" s="72" t="n">
        <v>0.42</v>
      </c>
      <c r="I28" s="72" t="n">
        <v>458</v>
      </c>
      <c r="J28" s="72" t="n">
        <v>458</v>
      </c>
      <c r="K28" s="72" t="n">
        <v>458</v>
      </c>
      <c r="L28" s="73" t="s">
        <v>198</v>
      </c>
      <c r="M28" s="72" t="n">
        <v>0.20952380952381</v>
      </c>
      <c r="N28" s="72" t="n">
        <v>0.378809523809524</v>
      </c>
      <c r="O28" s="72" t="n">
        <v>4.41428571428572</v>
      </c>
      <c r="P28" s="72" t="n">
        <v>0.54452380952381</v>
      </c>
      <c r="Q28" s="72" t="n">
        <v>1.85714285714286</v>
      </c>
      <c r="R28" s="72" t="n">
        <v>1.72190476190476</v>
      </c>
      <c r="S28" s="73" t="s">
        <v>233</v>
      </c>
      <c r="T28" s="73" t="s">
        <v>200</v>
      </c>
      <c r="U28" s="73" t="s">
        <v>201</v>
      </c>
      <c r="V28" s="74"/>
      <c r="W28" s="73" t="s">
        <v>234</v>
      </c>
      <c r="X28" s="73" t="n">
        <v>0</v>
      </c>
      <c r="Y28" s="73" t="n">
        <v>0</v>
      </c>
      <c r="Z28" s="73" t="n">
        <v>0</v>
      </c>
      <c r="AA28" s="73" t="s">
        <v>211</v>
      </c>
      <c r="AB28" s="73" t="s">
        <v>47</v>
      </c>
      <c r="AC28" s="75" t="n">
        <v>0</v>
      </c>
    </row>
    <row r="29" customFormat="false" ht="15" hidden="false" customHeight="false" outlineLevel="0" collapsed="false">
      <c r="A29" s="52" t="e">
        <f aca="false">VLOOKUP(E29,'[1]Listas Desplegables'!$H$3:$J$7,2,FALSE())</f>
        <v>#N/A</v>
      </c>
      <c r="B29" s="52" t="e">
        <f aca="false">VLOOKUP(E29,'[1]Listas Desplegables'!$H$3:$J$7,3,FALSE())</f>
        <v>#N/A</v>
      </c>
      <c r="C29" s="69" t="n">
        <v>24</v>
      </c>
      <c r="D29" s="78" t="s">
        <v>278</v>
      </c>
      <c r="E29" s="78" t="n">
        <v>407.1</v>
      </c>
      <c r="F29" s="78" t="s">
        <v>257</v>
      </c>
      <c r="G29" s="71" t="n">
        <v>34.5</v>
      </c>
      <c r="H29" s="72" t="n">
        <v>0.051</v>
      </c>
      <c r="I29" s="72" t="n">
        <v>465</v>
      </c>
      <c r="J29" s="72" t="n">
        <v>252.03</v>
      </c>
      <c r="K29" s="72" t="n">
        <v>465</v>
      </c>
      <c r="L29" s="73" t="s">
        <v>239</v>
      </c>
      <c r="M29" s="72" t="n">
        <v>0.0450980392156863</v>
      </c>
      <c r="N29" s="72" t="n">
        <v>0.0686274509803922</v>
      </c>
      <c r="O29" s="72" t="n">
        <v>190.647058823529</v>
      </c>
      <c r="P29" s="72" t="n">
        <v>0.0725490196078431</v>
      </c>
      <c r="Q29" s="72" t="n">
        <v>0.174509803921569</v>
      </c>
      <c r="R29" s="72" t="n">
        <v>190.647058823529</v>
      </c>
      <c r="S29" s="73" t="s">
        <v>233</v>
      </c>
      <c r="T29" s="73" t="s">
        <v>200</v>
      </c>
      <c r="U29" s="73" t="s">
        <v>201</v>
      </c>
      <c r="V29" s="74"/>
      <c r="W29" s="73" t="s">
        <v>240</v>
      </c>
      <c r="X29" s="73" t="n">
        <v>0</v>
      </c>
      <c r="Y29" s="73" t="n">
        <v>0</v>
      </c>
      <c r="Z29" s="73" t="n">
        <v>0</v>
      </c>
      <c r="AA29" s="73" t="s">
        <v>211</v>
      </c>
      <c r="AB29" s="73" t="s">
        <v>47</v>
      </c>
      <c r="AC29" s="75"/>
    </row>
    <row r="30" customFormat="false" ht="15" hidden="false" customHeight="false" outlineLevel="0" collapsed="false">
      <c r="A30" s="52" t="e">
        <f aca="false">VLOOKUP(E30,'[1]Listas Desplegables'!$H$3:$J$7,2,FALSE())</f>
        <v>#N/A</v>
      </c>
      <c r="B30" s="52" t="e">
        <f aca="false">VLOOKUP(E30,'[1]Listas Desplegables'!$H$3:$J$7,3,FALSE())</f>
        <v>#N/A</v>
      </c>
      <c r="C30" s="69" t="n">
        <v>25</v>
      </c>
      <c r="D30" s="78" t="s">
        <v>279</v>
      </c>
      <c r="E30" s="78" t="n">
        <v>407.1</v>
      </c>
      <c r="F30" s="78" t="n">
        <v>407.5</v>
      </c>
      <c r="G30" s="71" t="n">
        <v>34.5</v>
      </c>
      <c r="H30" s="72" t="n">
        <v>0.005</v>
      </c>
      <c r="I30" s="72" t="n">
        <v>465</v>
      </c>
      <c r="J30" s="72" t="n">
        <v>465</v>
      </c>
      <c r="K30" s="72" t="n">
        <v>465</v>
      </c>
      <c r="L30" s="73" t="s">
        <v>198</v>
      </c>
      <c r="M30" s="72" t="n">
        <v>0.1</v>
      </c>
      <c r="N30" s="72" t="n">
        <v>0.14</v>
      </c>
      <c r="O30" s="72" t="n">
        <v>95.32</v>
      </c>
      <c r="P30" s="72" t="n">
        <v>0.14</v>
      </c>
      <c r="Q30" s="72" t="n">
        <v>0.34</v>
      </c>
      <c r="R30" s="72" t="n">
        <v>95.32</v>
      </c>
      <c r="S30" s="73" t="s">
        <v>233</v>
      </c>
      <c r="T30" s="73" t="s">
        <v>200</v>
      </c>
      <c r="U30" s="73" t="s">
        <v>201</v>
      </c>
      <c r="V30" s="74"/>
      <c r="W30" s="73" t="s">
        <v>240</v>
      </c>
      <c r="X30" s="73" t="n">
        <v>0</v>
      </c>
      <c r="Y30" s="73" t="n">
        <v>0</v>
      </c>
      <c r="Z30" s="73" t="n">
        <v>0</v>
      </c>
      <c r="AA30" s="73" t="s">
        <v>211</v>
      </c>
      <c r="AB30" s="73" t="s">
        <v>47</v>
      </c>
      <c r="AC30" s="75"/>
    </row>
    <row r="31" customFormat="false" ht="15" hidden="false" customHeight="false" outlineLevel="0" collapsed="false">
      <c r="A31" s="52" t="e">
        <f aca="false">VLOOKUP(E31,'[1]Listas Desplegables'!$H$3:$J$7,2,FALSE())</f>
        <v>#N/A</v>
      </c>
      <c r="B31" s="52" t="e">
        <f aca="false">VLOOKUP(E31,'[1]Listas Desplegables'!$H$3:$J$7,3,FALSE())</f>
        <v>#N/A</v>
      </c>
      <c r="C31" s="69" t="n">
        <v>26</v>
      </c>
      <c r="D31" s="78" t="s">
        <v>280</v>
      </c>
      <c r="E31" s="78" t="s">
        <v>281</v>
      </c>
      <c r="F31" s="78" t="s">
        <v>282</v>
      </c>
      <c r="G31" s="71" t="n">
        <v>34.5</v>
      </c>
      <c r="H31" s="72" t="n">
        <v>7.98</v>
      </c>
      <c r="I31" s="72" t="n">
        <v>458</v>
      </c>
      <c r="J31" s="72" t="n">
        <v>458</v>
      </c>
      <c r="K31" s="72" t="n">
        <v>458</v>
      </c>
      <c r="L31" s="73" t="s">
        <v>198</v>
      </c>
      <c r="M31" s="72" t="n">
        <v>0.209611528822055</v>
      </c>
      <c r="N31" s="72" t="n">
        <v>0.378834586466165</v>
      </c>
      <c r="O31" s="72" t="n">
        <v>4.414335839599</v>
      </c>
      <c r="P31" s="72" t="n">
        <v>0.544498746867168</v>
      </c>
      <c r="Q31" s="72" t="n">
        <v>1.85709273182957</v>
      </c>
      <c r="R31" s="72" t="n">
        <v>1.72190476190476</v>
      </c>
      <c r="S31" s="73" t="s">
        <v>233</v>
      </c>
      <c r="T31" s="73" t="s">
        <v>200</v>
      </c>
      <c r="U31" s="73" t="s">
        <v>201</v>
      </c>
      <c r="V31" s="74"/>
      <c r="W31" s="73" t="s">
        <v>234</v>
      </c>
      <c r="X31" s="73" t="n">
        <v>0</v>
      </c>
      <c r="Y31" s="73" t="n">
        <v>0</v>
      </c>
      <c r="Z31" s="73" t="n">
        <v>0</v>
      </c>
      <c r="AA31" s="73" t="s">
        <v>211</v>
      </c>
      <c r="AB31" s="73" t="s">
        <v>47</v>
      </c>
      <c r="AC31" s="75" t="n">
        <v>0</v>
      </c>
    </row>
    <row r="32" customFormat="false" ht="15" hidden="false" customHeight="false" outlineLevel="0" collapsed="false">
      <c r="A32" s="52" t="e">
        <f aca="false">VLOOKUP(E32,'[1]Listas Desplegables'!$H$3:$J$7,2,FALSE())</f>
        <v>#N/A</v>
      </c>
      <c r="B32" s="52" t="e">
        <f aca="false">VLOOKUP(E32,'[1]Listas Desplegables'!$H$3:$J$7,3,FALSE())</f>
        <v>#N/A</v>
      </c>
      <c r="C32" s="69" t="n">
        <v>27</v>
      </c>
      <c r="D32" s="78" t="s">
        <v>283</v>
      </c>
      <c r="E32" s="78" t="s">
        <v>253</v>
      </c>
      <c r="F32" s="78" t="s">
        <v>284</v>
      </c>
      <c r="G32" s="71" t="n">
        <v>34.5</v>
      </c>
      <c r="H32" s="72" t="n">
        <v>4.85</v>
      </c>
      <c r="I32" s="72" t="n">
        <v>458</v>
      </c>
      <c r="J32" s="72" t="n">
        <v>458</v>
      </c>
      <c r="K32" s="72" t="n">
        <v>458</v>
      </c>
      <c r="L32" s="73" t="s">
        <v>198</v>
      </c>
      <c r="M32" s="72" t="n">
        <v>0.20960824742268</v>
      </c>
      <c r="N32" s="72" t="n">
        <v>0.378845360824742</v>
      </c>
      <c r="O32" s="72" t="n">
        <v>4.41432989690722</v>
      </c>
      <c r="P32" s="72" t="n">
        <v>0.544494845360825</v>
      </c>
      <c r="Q32" s="72" t="n">
        <v>1.85709278350515</v>
      </c>
      <c r="R32" s="72" t="n">
        <v>1.7218969072165</v>
      </c>
      <c r="S32" s="73" t="s">
        <v>233</v>
      </c>
      <c r="T32" s="73" t="s">
        <v>200</v>
      </c>
      <c r="U32" s="73" t="s">
        <v>201</v>
      </c>
      <c r="V32" s="74"/>
      <c r="W32" s="73" t="s">
        <v>234</v>
      </c>
      <c r="X32" s="73" t="n">
        <v>0</v>
      </c>
      <c r="Y32" s="73" t="n">
        <v>0</v>
      </c>
      <c r="Z32" s="73" t="n">
        <v>0</v>
      </c>
      <c r="AA32" s="73" t="s">
        <v>211</v>
      </c>
      <c r="AB32" s="73" t="s">
        <v>47</v>
      </c>
      <c r="AC32" s="75" t="s">
        <v>285</v>
      </c>
    </row>
    <row r="33" customFormat="false" ht="15" hidden="false" customHeight="false" outlineLevel="0" collapsed="false">
      <c r="A33" s="52" t="e">
        <f aca="false">VLOOKUP(E33,'[1]Listas Desplegables'!$H$3:$J$7,2,FALSE())</f>
        <v>#N/A</v>
      </c>
      <c r="B33" s="52" t="e">
        <f aca="false">VLOOKUP(E33,'[1]Listas Desplegables'!$H$3:$J$7,3,FALSE())</f>
        <v>#N/A</v>
      </c>
      <c r="C33" s="69" t="n">
        <v>28</v>
      </c>
      <c r="D33" s="78" t="s">
        <v>286</v>
      </c>
      <c r="E33" s="78" t="s">
        <v>287</v>
      </c>
      <c r="F33" s="78" t="s">
        <v>288</v>
      </c>
      <c r="G33" s="71" t="n">
        <v>34.5</v>
      </c>
      <c r="H33" s="72" t="n">
        <v>15.525</v>
      </c>
      <c r="I33" s="72" t="n">
        <v>458</v>
      </c>
      <c r="J33" s="72" t="n">
        <v>399.834</v>
      </c>
      <c r="K33" s="72" t="n">
        <v>458</v>
      </c>
      <c r="L33" s="73" t="s">
        <v>239</v>
      </c>
      <c r="M33" s="72" t="n">
        <v>0.209610305958132</v>
      </c>
      <c r="N33" s="72" t="n">
        <v>0.378840579710145</v>
      </c>
      <c r="O33" s="72" t="n">
        <v>4.41433172302738</v>
      </c>
      <c r="P33" s="72" t="n">
        <v>0.544502415458937</v>
      </c>
      <c r="Q33" s="72" t="n">
        <v>1.8570885668277</v>
      </c>
      <c r="R33" s="72" t="n">
        <v>1.7219001610306</v>
      </c>
      <c r="S33" s="73" t="s">
        <v>233</v>
      </c>
      <c r="T33" s="73" t="s">
        <v>200</v>
      </c>
      <c r="U33" s="73" t="s">
        <v>201</v>
      </c>
      <c r="V33" s="74"/>
      <c r="W33" s="73" t="s">
        <v>234</v>
      </c>
      <c r="X33" s="73" t="n">
        <v>1.12067796611839</v>
      </c>
      <c r="Y33" s="73" t="n">
        <v>66.1200000009849</v>
      </c>
      <c r="Z33" s="73" t="n">
        <v>59</v>
      </c>
      <c r="AA33" s="73" t="s">
        <v>211</v>
      </c>
      <c r="AB33" s="73" t="s">
        <v>47</v>
      </c>
      <c r="AC33" s="75" t="s">
        <v>289</v>
      </c>
    </row>
    <row r="34" customFormat="false" ht="15" hidden="false" customHeight="false" outlineLevel="0" collapsed="false">
      <c r="A34" s="52" t="e">
        <f aca="false">VLOOKUP(E34,'[1]Listas Desplegables'!$H$3:$J$7,2,FALSE())</f>
        <v>#N/A</v>
      </c>
      <c r="B34" s="52" t="e">
        <f aca="false">VLOOKUP(E34,'[1]Listas Desplegables'!$H$3:$J$7,3,FALSE())</f>
        <v>#N/A</v>
      </c>
      <c r="C34" s="69" t="n">
        <v>29</v>
      </c>
      <c r="D34" s="78" t="s">
        <v>290</v>
      </c>
      <c r="E34" s="78" t="s">
        <v>291</v>
      </c>
      <c r="F34" s="78" t="s">
        <v>292</v>
      </c>
      <c r="G34" s="71" t="n">
        <v>34.5</v>
      </c>
      <c r="H34" s="72" t="n">
        <v>1</v>
      </c>
      <c r="I34" s="72" t="n">
        <v>458</v>
      </c>
      <c r="J34" s="72" t="n">
        <v>458</v>
      </c>
      <c r="K34" s="72" t="n">
        <v>458</v>
      </c>
      <c r="L34" s="73" t="s">
        <v>198</v>
      </c>
      <c r="M34" s="72" t="n">
        <v>0.2096</v>
      </c>
      <c r="N34" s="72" t="n">
        <v>0.3788</v>
      </c>
      <c r="O34" s="72" t="n">
        <v>4.4143</v>
      </c>
      <c r="P34" s="72" t="n">
        <v>0.5445</v>
      </c>
      <c r="Q34" s="72" t="n">
        <v>1.8571</v>
      </c>
      <c r="R34" s="72" t="n">
        <v>1.7219</v>
      </c>
      <c r="S34" s="73" t="s">
        <v>233</v>
      </c>
      <c r="T34" s="73" t="s">
        <v>200</v>
      </c>
      <c r="U34" s="73" t="s">
        <v>201</v>
      </c>
      <c r="V34" s="74"/>
      <c r="W34" s="73" t="s">
        <v>234</v>
      </c>
      <c r="X34" s="73" t="n">
        <v>0.355454545473384</v>
      </c>
      <c r="Y34" s="73" t="n">
        <v>15.6400000008289</v>
      </c>
      <c r="Z34" s="73" t="n">
        <v>44</v>
      </c>
      <c r="AA34" s="73" t="s">
        <v>211</v>
      </c>
      <c r="AB34" s="73" t="s">
        <v>47</v>
      </c>
      <c r="AC34" s="75" t="s">
        <v>293</v>
      </c>
    </row>
    <row r="35" customFormat="false" ht="15" hidden="false" customHeight="false" outlineLevel="0" collapsed="false">
      <c r="A35" s="52" t="e">
        <f aca="false">VLOOKUP(E35,'[1]Listas Desplegables'!$H$3:$J$7,2,FALSE())</f>
        <v>#N/A</v>
      </c>
      <c r="B35" s="52" t="e">
        <f aca="false">VLOOKUP(E35,'[1]Listas Desplegables'!$H$3:$J$7,3,FALSE())</f>
        <v>#N/A</v>
      </c>
      <c r="C35" s="76" t="n">
        <v>30</v>
      </c>
      <c r="D35" s="78" t="s">
        <v>294</v>
      </c>
      <c r="E35" s="78" t="s">
        <v>295</v>
      </c>
      <c r="F35" s="78" t="s">
        <v>296</v>
      </c>
      <c r="G35" s="71" t="n">
        <v>34.5</v>
      </c>
      <c r="H35" s="72" t="n">
        <v>1.84</v>
      </c>
      <c r="I35" s="72" t="n">
        <v>458</v>
      </c>
      <c r="J35" s="72" t="n">
        <v>458</v>
      </c>
      <c r="K35" s="72" t="n">
        <v>458</v>
      </c>
      <c r="L35" s="73" t="s">
        <v>198</v>
      </c>
      <c r="M35" s="72" t="n">
        <v>0.209619565217391</v>
      </c>
      <c r="N35" s="72" t="n">
        <v>0.378858695652174</v>
      </c>
      <c r="O35" s="72" t="n">
        <v>4.41434782608696</v>
      </c>
      <c r="P35" s="72" t="n">
        <v>0.544510869565217</v>
      </c>
      <c r="Q35" s="72" t="n">
        <v>1.8570652173913</v>
      </c>
      <c r="R35" s="72" t="n">
        <v>1.72190217391304</v>
      </c>
      <c r="S35" s="73" t="s">
        <v>233</v>
      </c>
      <c r="T35" s="73" t="s">
        <v>200</v>
      </c>
      <c r="U35" s="73" t="s">
        <v>201</v>
      </c>
      <c r="V35" s="74"/>
      <c r="W35" s="73" t="s">
        <v>234</v>
      </c>
      <c r="X35" s="73" t="n">
        <v>0.907076271185237</v>
      </c>
      <c r="Y35" s="73" t="n">
        <v>107.034999999858</v>
      </c>
      <c r="Z35" s="73" t="n">
        <v>118</v>
      </c>
      <c r="AA35" s="73" t="s">
        <v>211</v>
      </c>
      <c r="AB35" s="73" t="s">
        <v>47</v>
      </c>
      <c r="AC35" s="75" t="s">
        <v>297</v>
      </c>
    </row>
    <row r="36" customFormat="false" ht="15" hidden="false" customHeight="false" outlineLevel="0" collapsed="false">
      <c r="A36" s="52" t="e">
        <f aca="false">VLOOKUP(E36,'[1]Listas Desplegables'!$H$3:$J$7,2,FALSE())</f>
        <v>#N/A</v>
      </c>
      <c r="B36" s="52" t="e">
        <f aca="false">VLOOKUP(E36,'[1]Listas Desplegables'!$H$3:$J$7,3,FALSE())</f>
        <v>#N/A</v>
      </c>
      <c r="C36" s="69" t="n">
        <v>31</v>
      </c>
      <c r="D36" s="78" t="s">
        <v>298</v>
      </c>
      <c r="E36" s="78" t="s">
        <v>299</v>
      </c>
      <c r="F36" s="78" t="s">
        <v>300</v>
      </c>
      <c r="G36" s="71" t="n">
        <v>34.5</v>
      </c>
      <c r="H36" s="72" t="n">
        <v>6.98</v>
      </c>
      <c r="I36" s="72" t="n">
        <v>355</v>
      </c>
      <c r="J36" s="72" t="n">
        <v>355</v>
      </c>
      <c r="K36" s="72" t="n">
        <v>355</v>
      </c>
      <c r="L36" s="73" t="s">
        <v>198</v>
      </c>
      <c r="M36" s="72" t="n">
        <v>0.261618911174785</v>
      </c>
      <c r="N36" s="72" t="n">
        <v>0.406045845272206</v>
      </c>
      <c r="O36" s="72" t="n">
        <v>4.2960888252149</v>
      </c>
      <c r="P36" s="72" t="n">
        <v>0.596518624641834</v>
      </c>
      <c r="Q36" s="72" t="n">
        <v>1.88429799426934</v>
      </c>
      <c r="R36" s="72" t="n">
        <v>1.70363896848138</v>
      </c>
      <c r="S36" s="73" t="s">
        <v>233</v>
      </c>
      <c r="T36" s="73" t="s">
        <v>200</v>
      </c>
      <c r="U36" s="73" t="s">
        <v>201</v>
      </c>
      <c r="V36" s="74"/>
      <c r="W36" s="73" t="s">
        <v>301</v>
      </c>
      <c r="X36" s="73" t="n">
        <v>0</v>
      </c>
      <c r="Y36" s="73" t="n">
        <v>0</v>
      </c>
      <c r="Z36" s="73" t="n">
        <v>0</v>
      </c>
      <c r="AA36" s="73" t="s">
        <v>211</v>
      </c>
      <c r="AB36" s="73" t="s">
        <v>47</v>
      </c>
      <c r="AC36" s="75" t="n">
        <v>0</v>
      </c>
    </row>
    <row r="37" customFormat="false" ht="15" hidden="false" customHeight="false" outlineLevel="0" collapsed="false">
      <c r="A37" s="52" t="e">
        <f aca="false">VLOOKUP(E37,'[1]Listas Desplegables'!$H$3:$J$7,2,FALSE())</f>
        <v>#N/A</v>
      </c>
      <c r="B37" s="52" t="e">
        <f aca="false">VLOOKUP(E37,'[1]Listas Desplegables'!$H$3:$J$7,3,FALSE())</f>
        <v>#N/A</v>
      </c>
      <c r="C37" s="69" t="n">
        <v>32</v>
      </c>
      <c r="D37" s="78" t="s">
        <v>302</v>
      </c>
      <c r="E37" s="78" t="s">
        <v>303</v>
      </c>
      <c r="F37" s="78" t="n">
        <v>408.4</v>
      </c>
      <c r="G37" s="71" t="n">
        <v>34.5</v>
      </c>
      <c r="H37" s="72" t="n">
        <v>0.005</v>
      </c>
      <c r="I37" s="72" t="n">
        <v>458</v>
      </c>
      <c r="J37" s="72" t="n">
        <v>458</v>
      </c>
      <c r="K37" s="72" t="n">
        <v>458</v>
      </c>
      <c r="L37" s="73" t="s">
        <v>198</v>
      </c>
      <c r="M37" s="72" t="n">
        <v>0.2</v>
      </c>
      <c r="N37" s="72" t="n">
        <v>0.38</v>
      </c>
      <c r="O37" s="72" t="n">
        <v>4.42</v>
      </c>
      <c r="P37" s="72" t="n">
        <v>0.54</v>
      </c>
      <c r="Q37" s="72" t="n">
        <v>1.86</v>
      </c>
      <c r="R37" s="72" t="n">
        <v>1.72</v>
      </c>
      <c r="S37" s="73" t="s">
        <v>233</v>
      </c>
      <c r="T37" s="73" t="s">
        <v>200</v>
      </c>
      <c r="U37" s="73" t="s">
        <v>201</v>
      </c>
      <c r="V37" s="74"/>
      <c r="W37" s="73" t="s">
        <v>234</v>
      </c>
      <c r="X37" s="73" t="n">
        <v>0</v>
      </c>
      <c r="Y37" s="73" t="n">
        <v>0</v>
      </c>
      <c r="Z37" s="73" t="n">
        <v>0</v>
      </c>
      <c r="AA37" s="73" t="s">
        <v>211</v>
      </c>
      <c r="AB37" s="73" t="s">
        <v>47</v>
      </c>
      <c r="AC37" s="75"/>
    </row>
    <row r="38" customFormat="false" ht="15" hidden="false" customHeight="false" outlineLevel="0" collapsed="false">
      <c r="A38" s="52" t="e">
        <f aca="false">VLOOKUP(E38,'[1]Listas Desplegables'!$H$3:$J$7,2,FALSE())</f>
        <v>#N/A</v>
      </c>
      <c r="B38" s="52" t="e">
        <f aca="false">VLOOKUP(E38,'[1]Listas Desplegables'!$H$3:$J$7,3,FALSE())</f>
        <v>#N/A</v>
      </c>
      <c r="C38" s="69" t="n">
        <v>33</v>
      </c>
      <c r="D38" s="78" t="s">
        <v>304</v>
      </c>
      <c r="E38" s="78" t="s">
        <v>248</v>
      </c>
      <c r="F38" s="78" t="s">
        <v>305</v>
      </c>
      <c r="G38" s="71" t="n">
        <v>34.5</v>
      </c>
      <c r="H38" s="72" t="n">
        <v>0.07</v>
      </c>
      <c r="I38" s="72" t="n">
        <v>458</v>
      </c>
      <c r="J38" s="72" t="n">
        <v>399.834</v>
      </c>
      <c r="K38" s="72" t="n">
        <v>458</v>
      </c>
      <c r="L38" s="73" t="s">
        <v>239</v>
      </c>
      <c r="M38" s="72" t="n">
        <v>0.21</v>
      </c>
      <c r="N38" s="72" t="n">
        <v>0.378571428571429</v>
      </c>
      <c r="O38" s="72" t="n">
        <v>4.41428571428571</v>
      </c>
      <c r="P38" s="72" t="n">
        <v>0.544285714285714</v>
      </c>
      <c r="Q38" s="72" t="n">
        <v>1.85714285714286</v>
      </c>
      <c r="R38" s="72" t="n">
        <v>1.72142857142857</v>
      </c>
      <c r="S38" s="73" t="s">
        <v>233</v>
      </c>
      <c r="T38" s="73" t="s">
        <v>200</v>
      </c>
      <c r="U38" s="73" t="s">
        <v>201</v>
      </c>
      <c r="V38" s="74"/>
      <c r="W38" s="73" t="s">
        <v>234</v>
      </c>
      <c r="X38" s="73" t="n">
        <v>0</v>
      </c>
      <c r="Y38" s="73" t="n">
        <v>0</v>
      </c>
      <c r="Z38" s="73" t="n">
        <v>0</v>
      </c>
      <c r="AA38" s="73" t="s">
        <v>211</v>
      </c>
      <c r="AB38" s="73" t="s">
        <v>47</v>
      </c>
      <c r="AC38" s="75"/>
    </row>
    <row r="39" customFormat="false" ht="15" hidden="false" customHeight="false" outlineLevel="0" collapsed="false">
      <c r="A39" s="52" t="e">
        <f aca="false">VLOOKUP(E39,'[1]Listas Desplegables'!$H$3:$J$7,2,FALSE())</f>
        <v>#N/A</v>
      </c>
      <c r="B39" s="52" t="e">
        <f aca="false">VLOOKUP(E39,'[1]Listas Desplegables'!$H$3:$J$7,3,FALSE())</f>
        <v>#N/A</v>
      </c>
      <c r="C39" s="69" t="n">
        <v>34</v>
      </c>
      <c r="D39" s="78" t="s">
        <v>306</v>
      </c>
      <c r="E39" s="78" t="n">
        <v>408.3</v>
      </c>
      <c r="F39" s="78" t="n">
        <v>408.4</v>
      </c>
      <c r="G39" s="71" t="n">
        <v>34.5</v>
      </c>
      <c r="H39" s="72" t="n">
        <v>0.005</v>
      </c>
      <c r="I39" s="72" t="n">
        <v>640</v>
      </c>
      <c r="J39" s="72" t="n">
        <v>640</v>
      </c>
      <c r="K39" s="72" t="n">
        <v>640</v>
      </c>
      <c r="L39" s="73" t="s">
        <v>198</v>
      </c>
      <c r="M39" s="72" t="n">
        <v>0.04</v>
      </c>
      <c r="N39" s="72" t="n">
        <v>0.12</v>
      </c>
      <c r="O39" s="72" t="n">
        <v>0</v>
      </c>
      <c r="P39" s="72" t="n">
        <v>0.08</v>
      </c>
      <c r="Q39" s="72" t="n">
        <v>0.32</v>
      </c>
      <c r="R39" s="72" t="n">
        <v>0</v>
      </c>
      <c r="S39" s="73" t="s">
        <v>233</v>
      </c>
      <c r="T39" s="73" t="s">
        <v>200</v>
      </c>
      <c r="U39" s="73" t="s">
        <v>201</v>
      </c>
      <c r="V39" s="74"/>
      <c r="W39" s="73" t="s">
        <v>307</v>
      </c>
      <c r="X39" s="73" t="n">
        <v>0</v>
      </c>
      <c r="Y39" s="73" t="n">
        <v>0</v>
      </c>
      <c r="Z39" s="73" t="n">
        <v>0</v>
      </c>
      <c r="AA39" s="73" t="s">
        <v>211</v>
      </c>
      <c r="AB39" s="73" t="s">
        <v>47</v>
      </c>
      <c r="AC39" s="75"/>
    </row>
    <row r="40" customFormat="false" ht="15" hidden="false" customHeight="false" outlineLevel="0" collapsed="false">
      <c r="A40" s="52" t="e">
        <f aca="false">VLOOKUP(E40,'[1]Listas Desplegables'!$H$3:$J$7,2,FALSE())</f>
        <v>#N/A</v>
      </c>
      <c r="B40" s="52" t="e">
        <f aca="false">VLOOKUP(E40,'[1]Listas Desplegables'!$H$3:$J$7,3,FALSE())</f>
        <v>#N/A</v>
      </c>
      <c r="C40" s="69" t="n">
        <v>35</v>
      </c>
      <c r="D40" s="78" t="s">
        <v>308</v>
      </c>
      <c r="E40" s="78" t="s">
        <v>309</v>
      </c>
      <c r="F40" s="78" t="s">
        <v>310</v>
      </c>
      <c r="G40" s="71" t="n">
        <v>34.5</v>
      </c>
      <c r="H40" s="72" t="n">
        <v>3.6</v>
      </c>
      <c r="I40" s="72" t="n">
        <v>458</v>
      </c>
      <c r="J40" s="72" t="n">
        <v>192.36</v>
      </c>
      <c r="K40" s="72" t="n">
        <v>458</v>
      </c>
      <c r="L40" s="73" t="s">
        <v>239</v>
      </c>
      <c r="M40" s="72" t="n">
        <v>0.209611111111111</v>
      </c>
      <c r="N40" s="72" t="n">
        <v>0.378833333333333</v>
      </c>
      <c r="O40" s="72" t="n">
        <v>4.41433333333333</v>
      </c>
      <c r="P40" s="72" t="n">
        <v>0.5445</v>
      </c>
      <c r="Q40" s="72" t="n">
        <v>1.85708333333333</v>
      </c>
      <c r="R40" s="72" t="n">
        <v>1.72191666666667</v>
      </c>
      <c r="S40" s="73" t="s">
        <v>233</v>
      </c>
      <c r="T40" s="73" t="s">
        <v>200</v>
      </c>
      <c r="U40" s="73" t="s">
        <v>201</v>
      </c>
      <c r="V40" s="74"/>
      <c r="W40" s="73" t="s">
        <v>234</v>
      </c>
      <c r="X40" s="73" t="n">
        <v>0</v>
      </c>
      <c r="Y40" s="73" t="n">
        <v>0</v>
      </c>
      <c r="Z40" s="73" t="n">
        <v>0</v>
      </c>
      <c r="AA40" s="73" t="s">
        <v>211</v>
      </c>
      <c r="AB40" s="73" t="s">
        <v>47</v>
      </c>
      <c r="AC40" s="75"/>
    </row>
    <row r="41" customFormat="false" ht="15" hidden="false" customHeight="false" outlineLevel="0" collapsed="false">
      <c r="A41" s="52" t="e">
        <f aca="false">VLOOKUP(E41,'[1]Listas Desplegables'!$H$3:$J$7,2,FALSE())</f>
        <v>#N/A</v>
      </c>
      <c r="B41" s="52" t="e">
        <f aca="false">VLOOKUP(E41,'[1]Listas Desplegables'!$H$3:$J$7,3,FALSE())</f>
        <v>#N/A</v>
      </c>
      <c r="C41" s="69" t="n">
        <v>36</v>
      </c>
      <c r="D41" s="78" t="s">
        <v>311</v>
      </c>
      <c r="E41" s="78" t="s">
        <v>312</v>
      </c>
      <c r="F41" s="78" t="s">
        <v>313</v>
      </c>
      <c r="G41" s="71" t="n">
        <v>34.5</v>
      </c>
      <c r="H41" s="72" t="n">
        <v>0.2</v>
      </c>
      <c r="I41" s="72" t="n">
        <v>767</v>
      </c>
      <c r="J41" s="72" t="n">
        <v>767</v>
      </c>
      <c r="K41" s="72" t="n">
        <v>767</v>
      </c>
      <c r="L41" s="73" t="s">
        <v>198</v>
      </c>
      <c r="M41" s="72" t="n">
        <v>0.114</v>
      </c>
      <c r="N41" s="72" t="n">
        <v>0.429</v>
      </c>
      <c r="O41" s="72" t="n">
        <v>6.563</v>
      </c>
      <c r="P41" s="72" t="n">
        <v>0.531</v>
      </c>
      <c r="Q41" s="72" t="n">
        <v>1.492</v>
      </c>
      <c r="R41" s="72" t="n">
        <v>3.496</v>
      </c>
      <c r="S41" s="73" t="s">
        <v>233</v>
      </c>
      <c r="T41" s="73" t="s">
        <v>200</v>
      </c>
      <c r="U41" s="73" t="s">
        <v>201</v>
      </c>
      <c r="V41" s="74"/>
      <c r="W41" s="73" t="s">
        <v>202</v>
      </c>
      <c r="X41" s="73" t="n">
        <v>0</v>
      </c>
      <c r="Y41" s="73" t="n">
        <v>0</v>
      </c>
      <c r="Z41" s="73" t="n">
        <v>0</v>
      </c>
      <c r="AA41" s="73" t="s">
        <v>211</v>
      </c>
      <c r="AB41" s="73" t="s">
        <v>47</v>
      </c>
      <c r="AC41" s="75"/>
    </row>
    <row r="42" customFormat="false" ht="15" hidden="false" customHeight="false" outlineLevel="0" collapsed="false">
      <c r="A42" s="52" t="e">
        <f aca="false">VLOOKUP(E42,'[1]Listas Desplegables'!$H$3:$J$7,2,FALSE())</f>
        <v>#N/A</v>
      </c>
      <c r="B42" s="52" t="e">
        <f aca="false">VLOOKUP(E42,'[1]Listas Desplegables'!$H$3:$J$7,3,FALSE())</f>
        <v>#N/A</v>
      </c>
      <c r="C42" s="69" t="n">
        <v>37</v>
      </c>
      <c r="D42" s="78" t="s">
        <v>314</v>
      </c>
      <c r="E42" s="78" t="s">
        <v>315</v>
      </c>
      <c r="F42" s="78" t="s">
        <v>316</v>
      </c>
      <c r="G42" s="71" t="n">
        <v>34.5</v>
      </c>
      <c r="H42" s="72" t="n">
        <v>1.39</v>
      </c>
      <c r="I42" s="72" t="n">
        <v>458</v>
      </c>
      <c r="J42" s="72" t="n">
        <v>458</v>
      </c>
      <c r="K42" s="72" t="n">
        <v>458</v>
      </c>
      <c r="L42" s="73" t="s">
        <v>198</v>
      </c>
      <c r="M42" s="72" t="n">
        <v>0.209640287769784</v>
      </c>
      <c r="N42" s="72" t="n">
        <v>0.378848920863309</v>
      </c>
      <c r="O42" s="72" t="n">
        <v>4.41431654676259</v>
      </c>
      <c r="P42" s="72" t="n">
        <v>0.54453237410072</v>
      </c>
      <c r="Q42" s="72" t="n">
        <v>1.85712230215827</v>
      </c>
      <c r="R42" s="72" t="n">
        <v>1.72187050359712</v>
      </c>
      <c r="S42" s="73" t="s">
        <v>233</v>
      </c>
      <c r="T42" s="73" t="s">
        <v>200</v>
      </c>
      <c r="U42" s="73" t="s">
        <v>201</v>
      </c>
      <c r="V42" s="74"/>
      <c r="W42" s="73" t="s">
        <v>234</v>
      </c>
      <c r="X42" s="73" t="n">
        <v>1.24107026145023</v>
      </c>
      <c r="Y42" s="73" t="n">
        <v>84.3927777786157</v>
      </c>
      <c r="Z42" s="73" t="n">
        <v>68</v>
      </c>
      <c r="AA42" s="73" t="s">
        <v>211</v>
      </c>
      <c r="AB42" s="73" t="s">
        <v>47</v>
      </c>
      <c r="AC42" s="75" t="s">
        <v>317</v>
      </c>
    </row>
    <row r="43" customFormat="false" ht="15" hidden="false" customHeight="false" outlineLevel="0" collapsed="false">
      <c r="A43" s="52" t="e">
        <f aca="false">VLOOKUP(E43,'[1]Listas Desplegables'!$H$3:$J$7,2,FALSE())</f>
        <v>#N/A</v>
      </c>
      <c r="B43" s="52" t="e">
        <f aca="false">VLOOKUP(E43,'[1]Listas Desplegables'!$H$3:$J$7,3,FALSE())</f>
        <v>#N/A</v>
      </c>
      <c r="C43" s="69" t="n">
        <v>38</v>
      </c>
      <c r="D43" s="78" t="s">
        <v>318</v>
      </c>
      <c r="E43" s="78" t="s">
        <v>319</v>
      </c>
      <c r="F43" s="78" t="s">
        <v>263</v>
      </c>
      <c r="G43" s="71" t="n">
        <v>34.5</v>
      </c>
      <c r="H43" s="72" t="n">
        <v>0.124</v>
      </c>
      <c r="I43" s="72" t="n">
        <v>355</v>
      </c>
      <c r="J43" s="72" t="n">
        <v>355</v>
      </c>
      <c r="K43" s="72" t="n">
        <v>355</v>
      </c>
      <c r="L43" s="73" t="s">
        <v>198</v>
      </c>
      <c r="M43" s="72" t="n">
        <v>0.261290322580645</v>
      </c>
      <c r="N43" s="72" t="n">
        <v>0.405645161290323</v>
      </c>
      <c r="O43" s="72" t="n">
        <v>4.29596774193548</v>
      </c>
      <c r="P43" s="72" t="n">
        <v>0.596774193548387</v>
      </c>
      <c r="Q43" s="72" t="n">
        <v>1.88467741935484</v>
      </c>
      <c r="R43" s="72" t="n">
        <v>1.70403225806452</v>
      </c>
      <c r="S43" s="73" t="s">
        <v>233</v>
      </c>
      <c r="T43" s="73" t="s">
        <v>200</v>
      </c>
      <c r="U43" s="73" t="s">
        <v>201</v>
      </c>
      <c r="V43" s="74"/>
      <c r="W43" s="73" t="s">
        <v>301</v>
      </c>
      <c r="X43" s="73" t="n">
        <v>1.41421052630635</v>
      </c>
      <c r="Y43" s="73" t="n">
        <v>53.7399999996414</v>
      </c>
      <c r="Z43" s="73" t="n">
        <v>38</v>
      </c>
      <c r="AA43" s="73" t="s">
        <v>211</v>
      </c>
      <c r="AB43" s="73" t="s">
        <v>47</v>
      </c>
      <c r="AC43" s="75" t="s">
        <v>265</v>
      </c>
    </row>
    <row r="44" customFormat="false" ht="15" hidden="false" customHeight="false" outlineLevel="0" collapsed="false">
      <c r="A44" s="52" t="e">
        <f aca="false">VLOOKUP(E44,'[1]Listas Desplegables'!$H$3:$J$7,2,FALSE())</f>
        <v>#N/A</v>
      </c>
      <c r="B44" s="52" t="e">
        <f aca="false">VLOOKUP(E44,'[1]Listas Desplegables'!$H$3:$J$7,3,FALSE())</f>
        <v>#N/A</v>
      </c>
      <c r="C44" s="76" t="n">
        <v>39</v>
      </c>
      <c r="D44" s="78" t="s">
        <v>320</v>
      </c>
      <c r="E44" s="78" t="s">
        <v>321</v>
      </c>
      <c r="F44" s="78" t="s">
        <v>322</v>
      </c>
      <c r="G44" s="71" t="n">
        <v>34.5</v>
      </c>
      <c r="H44" s="72" t="n">
        <v>4.2764</v>
      </c>
      <c r="I44" s="72" t="n">
        <v>458</v>
      </c>
      <c r="J44" s="72" t="n">
        <v>458</v>
      </c>
      <c r="K44" s="72" t="n">
        <v>458</v>
      </c>
      <c r="L44" s="73" t="s">
        <v>198</v>
      </c>
      <c r="M44" s="72" t="n">
        <v>0.209615564493499</v>
      </c>
      <c r="N44" s="72" t="n">
        <v>0.378846693480498</v>
      </c>
      <c r="O44" s="72" t="n">
        <v>4.4143672247685</v>
      </c>
      <c r="P44" s="72" t="n">
        <v>0.54450004676831</v>
      </c>
      <c r="Q44" s="72" t="n">
        <v>1.85709942942662</v>
      </c>
      <c r="R44" s="72" t="n">
        <v>1.72191562996913</v>
      </c>
      <c r="S44" s="73" t="s">
        <v>233</v>
      </c>
      <c r="T44" s="73" t="s">
        <v>200</v>
      </c>
      <c r="U44" s="73" t="s">
        <v>201</v>
      </c>
      <c r="V44" s="74"/>
      <c r="W44" s="73" t="s">
        <v>234</v>
      </c>
      <c r="X44" s="73" t="n">
        <v>0</v>
      </c>
      <c r="Y44" s="73" t="n">
        <v>0</v>
      </c>
      <c r="Z44" s="73" t="n">
        <v>0</v>
      </c>
      <c r="AA44" s="73" t="s">
        <v>211</v>
      </c>
      <c r="AB44" s="73" t="s">
        <v>47</v>
      </c>
      <c r="AC44" s="75"/>
    </row>
    <row r="45" customFormat="false" ht="15" hidden="false" customHeight="false" outlineLevel="0" collapsed="false">
      <c r="A45" s="52" t="e">
        <f aca="false">VLOOKUP(E45,'[1]Listas Desplegables'!$H$3:$J$7,2,FALSE())</f>
        <v>#N/A</v>
      </c>
      <c r="B45" s="52" t="e">
        <f aca="false">VLOOKUP(E45,'[1]Listas Desplegables'!$H$3:$J$7,3,FALSE())</f>
        <v>#N/A</v>
      </c>
      <c r="C45" s="77" t="n">
        <v>40</v>
      </c>
      <c r="D45" s="78" t="s">
        <v>323</v>
      </c>
      <c r="E45" s="78" t="s">
        <v>324</v>
      </c>
      <c r="F45" s="78" t="s">
        <v>246</v>
      </c>
      <c r="G45" s="71" t="n">
        <v>34.5</v>
      </c>
      <c r="H45" s="72" t="n">
        <v>1.05</v>
      </c>
      <c r="I45" s="72" t="n">
        <v>458</v>
      </c>
      <c r="J45" s="72" t="n">
        <v>458</v>
      </c>
      <c r="K45" s="72" t="n">
        <v>458</v>
      </c>
      <c r="L45" s="73" t="s">
        <v>198</v>
      </c>
      <c r="M45" s="72" t="n">
        <v>0.209619047619048</v>
      </c>
      <c r="N45" s="72" t="n">
        <v>0.378857142857143</v>
      </c>
      <c r="O45" s="72" t="n">
        <v>4.41438095238095</v>
      </c>
      <c r="P45" s="72" t="n">
        <v>0.54447619047619</v>
      </c>
      <c r="Q45" s="72" t="n">
        <v>1.85704761904762</v>
      </c>
      <c r="R45" s="72" t="n">
        <v>1.72190476190476</v>
      </c>
      <c r="S45" s="73" t="s">
        <v>233</v>
      </c>
      <c r="T45" s="73" t="s">
        <v>200</v>
      </c>
      <c r="U45" s="73" t="s">
        <v>201</v>
      </c>
      <c r="V45" s="74"/>
      <c r="W45" s="73" t="s">
        <v>234</v>
      </c>
      <c r="X45" s="73" t="n">
        <v>0</v>
      </c>
      <c r="Y45" s="73" t="n">
        <v>0</v>
      </c>
      <c r="Z45" s="73" t="n">
        <v>0</v>
      </c>
      <c r="AA45" s="73" t="s">
        <v>211</v>
      </c>
      <c r="AB45" s="73" t="s">
        <v>47</v>
      </c>
      <c r="AC45" s="75"/>
    </row>
    <row r="46" customFormat="false" ht="15" hidden="false" customHeight="false" outlineLevel="0" collapsed="false">
      <c r="A46" s="52" t="e">
        <f aca="false">VLOOKUP(E46,'[1]Listas Desplegables'!$H$3:$J$7,2,FALSE())</f>
        <v>#N/A</v>
      </c>
      <c r="B46" s="52" t="e">
        <f aca="false">VLOOKUP(E46,'[1]Listas Desplegables'!$H$3:$J$7,3,FALSE())</f>
        <v>#N/A</v>
      </c>
      <c r="C46" s="76" t="n">
        <v>41</v>
      </c>
      <c r="D46" s="78" t="s">
        <v>325</v>
      </c>
      <c r="E46" s="78" t="n">
        <v>406.2</v>
      </c>
      <c r="F46" s="78" t="n">
        <v>406.1</v>
      </c>
      <c r="G46" s="71" t="n">
        <v>34.5</v>
      </c>
      <c r="H46" s="72" t="n">
        <v>0.005</v>
      </c>
      <c r="I46" s="72" t="n">
        <v>465</v>
      </c>
      <c r="J46" s="72" t="n">
        <v>465</v>
      </c>
      <c r="K46" s="72" t="n">
        <v>465</v>
      </c>
      <c r="L46" s="73" t="s">
        <v>198</v>
      </c>
      <c r="M46" s="72" t="n">
        <v>0.1</v>
      </c>
      <c r="N46" s="72" t="n">
        <v>0.14</v>
      </c>
      <c r="O46" s="72" t="n">
        <v>95.32</v>
      </c>
      <c r="P46" s="72" t="n">
        <v>0.14</v>
      </c>
      <c r="Q46" s="72" t="n">
        <v>0.34</v>
      </c>
      <c r="R46" s="72" t="n">
        <v>95.32</v>
      </c>
      <c r="S46" s="73" t="s">
        <v>233</v>
      </c>
      <c r="T46" s="73" t="s">
        <v>200</v>
      </c>
      <c r="U46" s="73" t="s">
        <v>201</v>
      </c>
      <c r="V46" s="74"/>
      <c r="W46" s="73" t="s">
        <v>240</v>
      </c>
      <c r="X46" s="73" t="n">
        <v>0</v>
      </c>
      <c r="Y46" s="73" t="n">
        <v>0</v>
      </c>
      <c r="Z46" s="73" t="n">
        <v>0</v>
      </c>
      <c r="AA46" s="73" t="s">
        <v>211</v>
      </c>
      <c r="AB46" s="73" t="s">
        <v>47</v>
      </c>
      <c r="AC46" s="75"/>
    </row>
    <row r="47" customFormat="false" ht="15" hidden="false" customHeight="false" outlineLevel="0" collapsed="false">
      <c r="A47" s="52" t="e">
        <f aca="false">VLOOKUP(E47,'[1]Listas Desplegables'!$H$3:$J$7,2,FALSE())</f>
        <v>#N/A</v>
      </c>
      <c r="B47" s="52" t="e">
        <f aca="false">VLOOKUP(E47,'[1]Listas Desplegables'!$H$3:$J$7,3,FALSE())</f>
        <v>#N/A</v>
      </c>
      <c r="C47" s="69" t="n">
        <v>42</v>
      </c>
      <c r="D47" s="78" t="s">
        <v>326</v>
      </c>
      <c r="E47" s="78" t="s">
        <v>296</v>
      </c>
      <c r="F47" s="78" t="s">
        <v>253</v>
      </c>
      <c r="G47" s="71" t="n">
        <v>34.5</v>
      </c>
      <c r="H47" s="72" t="n">
        <v>0.079</v>
      </c>
      <c r="I47" s="72" t="n">
        <v>465</v>
      </c>
      <c r="J47" s="72" t="n">
        <v>272.025</v>
      </c>
      <c r="K47" s="72" t="n">
        <v>465</v>
      </c>
      <c r="L47" s="73" t="s">
        <v>239</v>
      </c>
      <c r="M47" s="72" t="n">
        <v>0.0455696202531646</v>
      </c>
      <c r="N47" s="72" t="n">
        <v>0.0683544303797468</v>
      </c>
      <c r="O47" s="72" t="n">
        <v>190.646835443038</v>
      </c>
      <c r="P47" s="72" t="n">
        <v>0.0721518987341772</v>
      </c>
      <c r="Q47" s="72" t="n">
        <v>0.174683544303797</v>
      </c>
      <c r="R47" s="72" t="n">
        <v>190.646835443038</v>
      </c>
      <c r="S47" s="73" t="s">
        <v>233</v>
      </c>
      <c r="T47" s="73" t="s">
        <v>200</v>
      </c>
      <c r="U47" s="73" t="s">
        <v>201</v>
      </c>
      <c r="V47" s="74"/>
      <c r="W47" s="73" t="s">
        <v>240</v>
      </c>
      <c r="X47" s="73" t="n">
        <v>0.907076271185237</v>
      </c>
      <c r="Y47" s="73" t="n">
        <v>107.034999999858</v>
      </c>
      <c r="Z47" s="73" t="n">
        <v>118</v>
      </c>
      <c r="AA47" s="73" t="s">
        <v>211</v>
      </c>
      <c r="AB47" s="73" t="s">
        <v>47</v>
      </c>
      <c r="AC47" s="75" t="s">
        <v>297</v>
      </c>
    </row>
    <row r="48" customFormat="false" ht="15" hidden="false" customHeight="false" outlineLevel="0" collapsed="false">
      <c r="A48" s="52" t="e">
        <f aca="false">VLOOKUP(E48,'[1]Listas Desplegables'!$H$3:$J$7,2,FALSE())</f>
        <v>#N/A</v>
      </c>
      <c r="B48" s="52" t="e">
        <f aca="false">VLOOKUP(E48,'[1]Listas Desplegables'!$H$3:$J$7,3,FALSE())</f>
        <v>#N/A</v>
      </c>
      <c r="C48" s="69" t="n">
        <v>43</v>
      </c>
      <c r="D48" s="78" t="s">
        <v>327</v>
      </c>
      <c r="E48" s="78" t="s">
        <v>309</v>
      </c>
      <c r="F48" s="78" t="s">
        <v>328</v>
      </c>
      <c r="G48" s="71" t="n">
        <v>34.5</v>
      </c>
      <c r="H48" s="72" t="n">
        <v>7.72</v>
      </c>
      <c r="I48" s="72" t="n">
        <v>458</v>
      </c>
      <c r="J48" s="72" t="n">
        <v>190.986</v>
      </c>
      <c r="K48" s="72" t="n">
        <v>458</v>
      </c>
      <c r="L48" s="73" t="s">
        <v>239</v>
      </c>
      <c r="M48" s="72" t="n">
        <v>0.209611398963731</v>
      </c>
      <c r="N48" s="72" t="n">
        <v>0.378834196891192</v>
      </c>
      <c r="O48" s="72" t="n">
        <v>4.41433937823834</v>
      </c>
      <c r="P48" s="72" t="n">
        <v>0.54449481865285</v>
      </c>
      <c r="Q48" s="72" t="n">
        <v>1.85708549222798</v>
      </c>
      <c r="R48" s="72" t="n">
        <v>1.72190414507772</v>
      </c>
      <c r="S48" s="73" t="s">
        <v>233</v>
      </c>
      <c r="T48" s="73" t="s">
        <v>200</v>
      </c>
      <c r="U48" s="73" t="s">
        <v>201</v>
      </c>
      <c r="V48" s="74"/>
      <c r="W48" s="73" t="s">
        <v>234</v>
      </c>
      <c r="X48" s="73" t="n">
        <v>0</v>
      </c>
      <c r="Y48" s="73" t="n">
        <v>0</v>
      </c>
      <c r="Z48" s="73" t="n">
        <v>0</v>
      </c>
      <c r="AA48" s="73" t="s">
        <v>211</v>
      </c>
      <c r="AB48" s="73" t="s">
        <v>47</v>
      </c>
      <c r="AC48" s="75"/>
    </row>
    <row r="49" customFormat="false" ht="15" hidden="false" customHeight="false" outlineLevel="0" collapsed="false">
      <c r="A49" s="52" t="e">
        <f aca="false">VLOOKUP(E49,'[1]Listas Desplegables'!$H$3:$J$7,2,FALSE())</f>
        <v>#N/A</v>
      </c>
      <c r="B49" s="52" t="e">
        <f aca="false">VLOOKUP(E49,'[1]Listas Desplegables'!$H$3:$J$7,3,FALSE())</f>
        <v>#N/A</v>
      </c>
      <c r="C49" s="69" t="n">
        <v>44</v>
      </c>
      <c r="D49" s="78" t="s">
        <v>329</v>
      </c>
      <c r="E49" s="78" t="s">
        <v>274</v>
      </c>
      <c r="F49" s="78" t="s">
        <v>330</v>
      </c>
      <c r="G49" s="71" t="n">
        <v>34.5</v>
      </c>
      <c r="H49" s="72" t="n">
        <v>0.45</v>
      </c>
      <c r="I49" s="72" t="n">
        <v>465</v>
      </c>
      <c r="J49" s="72" t="n">
        <v>465</v>
      </c>
      <c r="K49" s="72" t="n">
        <v>465</v>
      </c>
      <c r="L49" s="73" t="s">
        <v>198</v>
      </c>
      <c r="M49" s="72" t="n">
        <v>0.0908888888888889</v>
      </c>
      <c r="N49" s="72" t="n">
        <v>0.137777777777778</v>
      </c>
      <c r="O49" s="72" t="n">
        <v>95.3237777777778</v>
      </c>
      <c r="P49" s="72" t="n">
        <v>0.144444444444444</v>
      </c>
      <c r="Q49" s="72" t="n">
        <v>0.35</v>
      </c>
      <c r="R49" s="72" t="n">
        <v>95.3237777777778</v>
      </c>
      <c r="S49" s="73" t="s">
        <v>233</v>
      </c>
      <c r="T49" s="73" t="s">
        <v>200</v>
      </c>
      <c r="U49" s="73" t="s">
        <v>201</v>
      </c>
      <c r="V49" s="74"/>
      <c r="W49" s="73" t="s">
        <v>240</v>
      </c>
      <c r="X49" s="73" t="n">
        <v>0</v>
      </c>
      <c r="Y49" s="73" t="n">
        <v>0</v>
      </c>
      <c r="Z49" s="73" t="n">
        <v>0</v>
      </c>
      <c r="AA49" s="73" t="s">
        <v>211</v>
      </c>
      <c r="AB49" s="73" t="s">
        <v>47</v>
      </c>
      <c r="AC49" s="75"/>
    </row>
    <row r="50" customFormat="false" ht="15" hidden="false" customHeight="false" outlineLevel="0" collapsed="false">
      <c r="A50" s="52" t="e">
        <f aca="false">VLOOKUP(E50,'[1]Listas Desplegables'!$H$3:$J$7,2,FALSE())</f>
        <v>#N/A</v>
      </c>
      <c r="B50" s="52" t="e">
        <f aca="false">VLOOKUP(E50,'[1]Listas Desplegables'!$H$3:$J$7,3,FALSE())</f>
        <v>#N/A</v>
      </c>
      <c r="C50" s="69" t="n">
        <v>45</v>
      </c>
      <c r="D50" s="78" t="s">
        <v>331</v>
      </c>
      <c r="E50" s="78" t="s">
        <v>282</v>
      </c>
      <c r="F50" s="78" t="s">
        <v>332</v>
      </c>
      <c r="G50" s="71" t="n">
        <v>34.5</v>
      </c>
      <c r="H50" s="72" t="n">
        <v>6.46</v>
      </c>
      <c r="I50" s="72" t="n">
        <v>458</v>
      </c>
      <c r="J50" s="72" t="n">
        <v>458</v>
      </c>
      <c r="K50" s="72" t="n">
        <v>458</v>
      </c>
      <c r="L50" s="73" t="s">
        <v>198</v>
      </c>
      <c r="M50" s="72" t="n">
        <v>0.209613003095975</v>
      </c>
      <c r="N50" s="72" t="n">
        <v>0.378839009287926</v>
      </c>
      <c r="O50" s="72" t="n">
        <v>4.41433436532508</v>
      </c>
      <c r="P50" s="72" t="n">
        <v>0.544504643962848</v>
      </c>
      <c r="Q50" s="72" t="n">
        <v>1.85708978328173</v>
      </c>
      <c r="R50" s="72" t="n">
        <v>1.7219040247678</v>
      </c>
      <c r="S50" s="73" t="s">
        <v>233</v>
      </c>
      <c r="T50" s="73" t="s">
        <v>200</v>
      </c>
      <c r="U50" s="73" t="s">
        <v>201</v>
      </c>
      <c r="V50" s="74"/>
      <c r="W50" s="73" t="s">
        <v>234</v>
      </c>
      <c r="X50" s="73" t="n">
        <v>0</v>
      </c>
      <c r="Y50" s="73" t="n">
        <v>0</v>
      </c>
      <c r="Z50" s="73" t="n">
        <v>0</v>
      </c>
      <c r="AA50" s="73" t="s">
        <v>211</v>
      </c>
      <c r="AB50" s="73" t="s">
        <v>47</v>
      </c>
      <c r="AC50" s="75" t="n">
        <v>0</v>
      </c>
    </row>
    <row r="51" customFormat="false" ht="15" hidden="false" customHeight="false" outlineLevel="0" collapsed="false">
      <c r="A51" s="52" t="e">
        <f aca="false">VLOOKUP(E51,'[1]Listas Desplegables'!$H$3:$J$7,2,FALSE())</f>
        <v>#N/A</v>
      </c>
      <c r="B51" s="52" t="e">
        <f aca="false">VLOOKUP(E51,'[1]Listas Desplegables'!$H$3:$J$7,3,FALSE())</f>
        <v>#N/A</v>
      </c>
      <c r="C51" s="69" t="n">
        <v>46</v>
      </c>
      <c r="D51" s="78" t="s">
        <v>333</v>
      </c>
      <c r="E51" s="78" t="s">
        <v>332</v>
      </c>
      <c r="F51" s="78" t="s">
        <v>299</v>
      </c>
      <c r="G51" s="71" t="n">
        <v>34.5</v>
      </c>
      <c r="H51" s="72" t="n">
        <v>4.51</v>
      </c>
      <c r="I51" s="72" t="n">
        <v>458</v>
      </c>
      <c r="J51" s="72" t="n">
        <v>458</v>
      </c>
      <c r="K51" s="72" t="n">
        <v>458</v>
      </c>
      <c r="L51" s="73" t="s">
        <v>198</v>
      </c>
      <c r="M51" s="72" t="n">
        <v>0.20960088691796</v>
      </c>
      <c r="N51" s="72" t="n">
        <v>0.378847006651885</v>
      </c>
      <c r="O51" s="72" t="n">
        <v>4.41432372505543</v>
      </c>
      <c r="P51" s="72" t="n">
        <v>0.54450110864745</v>
      </c>
      <c r="Q51" s="72" t="n">
        <v>1.85709534368071</v>
      </c>
      <c r="R51" s="72" t="n">
        <v>1.72190687361419</v>
      </c>
      <c r="S51" s="73" t="s">
        <v>233</v>
      </c>
      <c r="T51" s="73" t="s">
        <v>200</v>
      </c>
      <c r="U51" s="73" t="s">
        <v>201</v>
      </c>
      <c r="V51" s="74"/>
      <c r="W51" s="73" t="s">
        <v>234</v>
      </c>
      <c r="X51" s="73" t="n">
        <v>0</v>
      </c>
      <c r="Y51" s="73" t="n">
        <v>0</v>
      </c>
      <c r="Z51" s="73" t="n">
        <v>0</v>
      </c>
      <c r="AA51" s="73" t="s">
        <v>211</v>
      </c>
      <c r="AB51" s="73" t="s">
        <v>47</v>
      </c>
      <c r="AC51" s="75" t="n">
        <v>0</v>
      </c>
    </row>
    <row r="52" customFormat="false" ht="15" hidden="false" customHeight="false" outlineLevel="0" collapsed="false">
      <c r="A52" s="52" t="e">
        <f aca="false">VLOOKUP(E52,'[1]Listas Desplegables'!$H$3:$J$7,2,FALSE())</f>
        <v>#N/A</v>
      </c>
      <c r="B52" s="52" t="e">
        <f aca="false">VLOOKUP(E52,'[1]Listas Desplegables'!$H$3:$J$7,3,FALSE())</f>
        <v>#N/A</v>
      </c>
      <c r="C52" s="69" t="n">
        <v>47</v>
      </c>
      <c r="D52" s="78" t="s">
        <v>334</v>
      </c>
      <c r="E52" s="78" t="s">
        <v>335</v>
      </c>
      <c r="F52" s="78" t="s">
        <v>336</v>
      </c>
      <c r="G52" s="71" t="n">
        <v>34.5</v>
      </c>
      <c r="H52" s="72" t="n">
        <v>0.46</v>
      </c>
      <c r="I52" s="72" t="n">
        <v>458</v>
      </c>
      <c r="J52" s="72" t="n">
        <v>458</v>
      </c>
      <c r="K52" s="72" t="n">
        <v>458</v>
      </c>
      <c r="L52" s="73" t="s">
        <v>198</v>
      </c>
      <c r="M52" s="72" t="n">
        <v>0.209565217391304</v>
      </c>
      <c r="N52" s="72" t="n">
        <v>0.378913043478261</v>
      </c>
      <c r="O52" s="72" t="n">
        <v>4.41434782608696</v>
      </c>
      <c r="P52" s="72" t="n">
        <v>0.544565217391304</v>
      </c>
      <c r="Q52" s="72" t="n">
        <v>1.85717391304348</v>
      </c>
      <c r="R52" s="72" t="n">
        <v>1.72195652173913</v>
      </c>
      <c r="S52" s="73" t="s">
        <v>233</v>
      </c>
      <c r="T52" s="73" t="s">
        <v>200</v>
      </c>
      <c r="U52" s="73" t="s">
        <v>201</v>
      </c>
      <c r="V52" s="74"/>
      <c r="W52" s="73" t="s">
        <v>234</v>
      </c>
      <c r="X52" s="73" t="n">
        <v>1.49711805555853</v>
      </c>
      <c r="Y52" s="73" t="n">
        <v>11.9769444444682</v>
      </c>
      <c r="Z52" s="73" t="n">
        <v>8</v>
      </c>
      <c r="AA52" s="73" t="s">
        <v>211</v>
      </c>
      <c r="AB52" s="73" t="s">
        <v>47</v>
      </c>
      <c r="AC52" s="75" t="s">
        <v>337</v>
      </c>
    </row>
    <row r="53" customFormat="false" ht="15" hidden="false" customHeight="false" outlineLevel="0" collapsed="false">
      <c r="A53" s="52" t="e">
        <f aca="false">VLOOKUP(E53,'[1]Listas Desplegables'!$H$3:$J$7,2,FALSE())</f>
        <v>#N/A</v>
      </c>
      <c r="B53" s="52" t="e">
        <f aca="false">VLOOKUP(E53,'[1]Listas Desplegables'!$H$3:$J$7,3,FALSE())</f>
        <v>#N/A</v>
      </c>
      <c r="C53" s="69" t="n">
        <v>48</v>
      </c>
      <c r="D53" s="78" t="s">
        <v>338</v>
      </c>
      <c r="E53" s="78" t="s">
        <v>257</v>
      </c>
      <c r="F53" s="78" t="s">
        <v>303</v>
      </c>
      <c r="G53" s="71" t="n">
        <v>34.5</v>
      </c>
      <c r="H53" s="72" t="n">
        <v>0.051</v>
      </c>
      <c r="I53" s="72" t="n">
        <v>465</v>
      </c>
      <c r="J53" s="72" t="n">
        <v>259.935</v>
      </c>
      <c r="K53" s="72" t="n">
        <v>465</v>
      </c>
      <c r="L53" s="73" t="s">
        <v>239</v>
      </c>
      <c r="M53" s="72" t="n">
        <v>0.0549019607843137</v>
      </c>
      <c r="N53" s="72" t="n">
        <v>0.162745098039216</v>
      </c>
      <c r="O53" s="72" t="n">
        <v>0</v>
      </c>
      <c r="P53" s="72" t="n">
        <v>0.484313725490196</v>
      </c>
      <c r="Q53" s="72" t="n">
        <v>0.417647058823529</v>
      </c>
      <c r="R53" s="72" t="n">
        <v>0</v>
      </c>
      <c r="S53" s="73" t="s">
        <v>233</v>
      </c>
      <c r="T53" s="73" t="s">
        <v>200</v>
      </c>
      <c r="U53" s="73" t="s">
        <v>201</v>
      </c>
      <c r="V53" s="74"/>
      <c r="W53" s="73" t="s">
        <v>202</v>
      </c>
      <c r="X53" s="73" t="n">
        <v>1.54027777776355</v>
      </c>
      <c r="Y53" s="73" t="n">
        <v>4.62083333329065</v>
      </c>
      <c r="Z53" s="73" t="n">
        <v>3</v>
      </c>
      <c r="AA53" s="73" t="s">
        <v>211</v>
      </c>
      <c r="AB53" s="73" t="s">
        <v>47</v>
      </c>
      <c r="AC53" s="75" t="s">
        <v>339</v>
      </c>
    </row>
    <row r="54" customFormat="false" ht="15" hidden="false" customHeight="false" outlineLevel="0" collapsed="false">
      <c r="A54" s="52" t="e">
        <f aca="false">VLOOKUP(E54,'[1]Listas Desplegables'!$H$3:$J$7,2,FALSE())</f>
        <v>#N/A</v>
      </c>
      <c r="B54" s="52" t="e">
        <f aca="false">VLOOKUP(E54,'[1]Listas Desplegables'!$H$3:$J$7,3,FALSE())</f>
        <v>#N/A</v>
      </c>
      <c r="C54" s="69" t="n">
        <v>49</v>
      </c>
      <c r="D54" s="78" t="s">
        <v>340</v>
      </c>
      <c r="E54" s="78" t="s">
        <v>341</v>
      </c>
      <c r="F54" s="78" t="s">
        <v>274</v>
      </c>
      <c r="G54" s="71" t="n">
        <v>34.5</v>
      </c>
      <c r="H54" s="72" t="n">
        <v>0.435</v>
      </c>
      <c r="I54" s="72" t="n">
        <v>465</v>
      </c>
      <c r="J54" s="72" t="n">
        <v>465</v>
      </c>
      <c r="K54" s="72" t="n">
        <v>465</v>
      </c>
      <c r="L54" s="73" t="s">
        <v>198</v>
      </c>
      <c r="M54" s="72" t="n">
        <v>0.0908045977011494</v>
      </c>
      <c r="N54" s="72" t="n">
        <v>0.137701149425287</v>
      </c>
      <c r="O54" s="72" t="n">
        <v>95.3236781609195</v>
      </c>
      <c r="P54" s="72" t="n">
        <v>0.144597701149425</v>
      </c>
      <c r="Q54" s="72" t="n">
        <v>0.349885057471264</v>
      </c>
      <c r="R54" s="72" t="n">
        <v>95.3236781609195</v>
      </c>
      <c r="S54" s="73" t="s">
        <v>233</v>
      </c>
      <c r="T54" s="73" t="s">
        <v>200</v>
      </c>
      <c r="U54" s="73" t="s">
        <v>201</v>
      </c>
      <c r="V54" s="74"/>
      <c r="W54" s="73" t="s">
        <v>240</v>
      </c>
      <c r="X54" s="73" t="n">
        <v>0</v>
      </c>
      <c r="Y54" s="73" t="n">
        <v>0</v>
      </c>
      <c r="Z54" s="73" t="n">
        <v>0</v>
      </c>
      <c r="AA54" s="73" t="s">
        <v>211</v>
      </c>
      <c r="AB54" s="73" t="s">
        <v>47</v>
      </c>
      <c r="AC54" s="75"/>
    </row>
    <row r="55" customFormat="false" ht="15" hidden="false" customHeight="false" outlineLevel="0" collapsed="false">
      <c r="A55" s="52" t="e">
        <f aca="false">VLOOKUP(E55,'[1]Listas Desplegables'!$H$3:$J$7,2,FALSE())</f>
        <v>#N/A</v>
      </c>
      <c r="B55" s="52" t="e">
        <f aca="false">VLOOKUP(E55,'[1]Listas Desplegables'!$H$3:$J$7,3,FALSE())</f>
        <v>#N/A</v>
      </c>
      <c r="C55" s="76" t="n">
        <v>50</v>
      </c>
      <c r="D55" s="78" t="s">
        <v>342</v>
      </c>
      <c r="E55" s="78" t="s">
        <v>343</v>
      </c>
      <c r="F55" s="78" t="s">
        <v>344</v>
      </c>
      <c r="G55" s="71" t="n">
        <v>34.5</v>
      </c>
      <c r="H55" s="72" t="n">
        <v>2.9</v>
      </c>
      <c r="I55" s="72" t="n">
        <v>458</v>
      </c>
      <c r="J55" s="72" t="n">
        <v>190.07</v>
      </c>
      <c r="K55" s="72" t="n">
        <v>458</v>
      </c>
      <c r="L55" s="73" t="s">
        <v>239</v>
      </c>
      <c r="M55" s="72" t="n">
        <v>0.209620689655172</v>
      </c>
      <c r="N55" s="72" t="n">
        <v>0.378827586206897</v>
      </c>
      <c r="O55" s="72" t="n">
        <v>4.41434482758621</v>
      </c>
      <c r="P55" s="72" t="n">
        <v>0.54448275862069</v>
      </c>
      <c r="Q55" s="72" t="n">
        <v>1.85710344827586</v>
      </c>
      <c r="R55" s="72" t="n">
        <v>1.72189655172414</v>
      </c>
      <c r="S55" s="73" t="s">
        <v>233</v>
      </c>
      <c r="T55" s="73" t="s">
        <v>200</v>
      </c>
      <c r="U55" s="73" t="s">
        <v>201</v>
      </c>
      <c r="V55" s="74"/>
      <c r="W55" s="73" t="s">
        <v>234</v>
      </c>
      <c r="X55" s="73" t="n">
        <v>0</v>
      </c>
      <c r="Y55" s="73" t="n">
        <v>0</v>
      </c>
      <c r="Z55" s="73" t="n">
        <v>0</v>
      </c>
      <c r="AA55" s="73" t="s">
        <v>211</v>
      </c>
      <c r="AB55" s="73" t="s">
        <v>47</v>
      </c>
      <c r="AC55" s="75"/>
    </row>
    <row r="56" customFormat="false" ht="15" hidden="false" customHeight="false" outlineLevel="0" collapsed="false">
      <c r="A56" s="52" t="e">
        <f aca="false">VLOOKUP(E56,'[1]Listas Desplegables'!$H$3:$J$7,2,FALSE())</f>
        <v>#N/A</v>
      </c>
      <c r="B56" s="52" t="e">
        <f aca="false">VLOOKUP(E56,'[1]Listas Desplegables'!$H$3:$J$7,3,FALSE())</f>
        <v>#N/A</v>
      </c>
      <c r="C56" s="69" t="n">
        <v>51</v>
      </c>
      <c r="D56" s="78" t="s">
        <v>345</v>
      </c>
      <c r="E56" s="78" t="s">
        <v>346</v>
      </c>
      <c r="F56" s="78" t="s">
        <v>344</v>
      </c>
      <c r="G56" s="71" t="n">
        <v>34.5</v>
      </c>
      <c r="H56" s="72" t="n">
        <v>6.1</v>
      </c>
      <c r="I56" s="72" t="n">
        <v>458</v>
      </c>
      <c r="J56" s="72" t="n">
        <v>458</v>
      </c>
      <c r="K56" s="72" t="n">
        <v>458</v>
      </c>
      <c r="L56" s="73" t="s">
        <v>198</v>
      </c>
      <c r="M56" s="72" t="n">
        <v>0.209606557377049</v>
      </c>
      <c r="N56" s="72" t="n">
        <v>0.378836065573771</v>
      </c>
      <c r="O56" s="72" t="n">
        <v>4.41432786885246</v>
      </c>
      <c r="P56" s="72" t="n">
        <v>0.544491803278689</v>
      </c>
      <c r="Q56" s="72" t="n">
        <v>1.85708196721312</v>
      </c>
      <c r="R56" s="72" t="n">
        <v>1.72190163934426</v>
      </c>
      <c r="S56" s="73" t="s">
        <v>233</v>
      </c>
      <c r="T56" s="73" t="s">
        <v>200</v>
      </c>
      <c r="U56" s="73" t="s">
        <v>201</v>
      </c>
      <c r="V56" s="74"/>
      <c r="W56" s="73" t="s">
        <v>234</v>
      </c>
      <c r="X56" s="73" t="n">
        <v>0</v>
      </c>
      <c r="Y56" s="73" t="n">
        <v>0</v>
      </c>
      <c r="Z56" s="73" t="n">
        <v>0</v>
      </c>
      <c r="AA56" s="73" t="s">
        <v>211</v>
      </c>
      <c r="AB56" s="73" t="s">
        <v>47</v>
      </c>
      <c r="AC56" s="75"/>
    </row>
    <row r="57" customFormat="false" ht="15" hidden="false" customHeight="false" outlineLevel="0" collapsed="false">
      <c r="C57" s="76" t="n">
        <v>52</v>
      </c>
      <c r="D57" s="78" t="s">
        <v>347</v>
      </c>
      <c r="E57" s="78" t="s">
        <v>312</v>
      </c>
      <c r="F57" s="78" t="s">
        <v>348</v>
      </c>
      <c r="G57" s="79" t="n">
        <v>34.5</v>
      </c>
      <c r="H57" s="80" t="n">
        <v>0.2</v>
      </c>
      <c r="I57" s="80" t="n">
        <v>767</v>
      </c>
      <c r="J57" s="80" t="n">
        <v>767</v>
      </c>
      <c r="K57" s="80" t="n">
        <v>767</v>
      </c>
      <c r="L57" s="81" t="s">
        <v>198</v>
      </c>
      <c r="M57" s="80" t="n">
        <v>0.114</v>
      </c>
      <c r="N57" s="80" t="n">
        <v>0.429</v>
      </c>
      <c r="O57" s="80" t="n">
        <v>6.563</v>
      </c>
      <c r="P57" s="80" t="n">
        <v>0.531</v>
      </c>
      <c r="Q57" s="80" t="n">
        <v>1.492</v>
      </c>
      <c r="R57" s="80" t="n">
        <v>3.496</v>
      </c>
      <c r="S57" s="81" t="s">
        <v>233</v>
      </c>
      <c r="T57" s="81" t="s">
        <v>200</v>
      </c>
      <c r="U57" s="81" t="s">
        <v>201</v>
      </c>
      <c r="V57" s="82"/>
      <c r="W57" s="81" t="s">
        <v>202</v>
      </c>
      <c r="X57" s="81" t="n">
        <v>0</v>
      </c>
      <c r="Y57" s="81" t="n">
        <v>0</v>
      </c>
      <c r="Z57" s="81" t="n">
        <v>0</v>
      </c>
      <c r="AA57" s="81" t="s">
        <v>211</v>
      </c>
      <c r="AB57" s="73" t="s">
        <v>47</v>
      </c>
      <c r="AC57" s="83"/>
    </row>
    <row r="58" customFormat="false" ht="15" hidden="false" customHeight="false" outlineLevel="0" collapsed="false">
      <c r="C58" s="69" t="n">
        <v>53</v>
      </c>
      <c r="D58" s="78" t="s">
        <v>349</v>
      </c>
      <c r="E58" s="78" t="s">
        <v>350</v>
      </c>
      <c r="F58" s="78" t="s">
        <v>351</v>
      </c>
      <c r="G58" s="79" t="n">
        <v>34.5</v>
      </c>
      <c r="H58" s="80" t="n">
        <v>4.41</v>
      </c>
      <c r="I58" s="80" t="n">
        <v>458</v>
      </c>
      <c r="J58" s="80" t="n">
        <v>458</v>
      </c>
      <c r="K58" s="80" t="n">
        <v>458</v>
      </c>
      <c r="L58" s="81" t="s">
        <v>198</v>
      </c>
      <c r="M58" s="80" t="n">
        <v>0.209614512471655</v>
      </c>
      <c r="N58" s="80" t="n">
        <v>0.378843537414966</v>
      </c>
      <c r="O58" s="80" t="n">
        <v>4.41433106575964</v>
      </c>
      <c r="P58" s="80" t="n">
        <v>0.544489795918367</v>
      </c>
      <c r="Q58" s="80" t="n">
        <v>1.85709750566893</v>
      </c>
      <c r="R58" s="80" t="n">
        <v>1.72190476190476</v>
      </c>
      <c r="S58" s="81" t="s">
        <v>233</v>
      </c>
      <c r="T58" s="81" t="s">
        <v>200</v>
      </c>
      <c r="U58" s="81" t="s">
        <v>201</v>
      </c>
      <c r="V58" s="82"/>
      <c r="W58" s="81" t="s">
        <v>234</v>
      </c>
      <c r="X58" s="81" t="n">
        <v>0</v>
      </c>
      <c r="Y58" s="81" t="n">
        <v>0</v>
      </c>
      <c r="Z58" s="81" t="n">
        <v>0</v>
      </c>
      <c r="AA58" s="81" t="s">
        <v>211</v>
      </c>
      <c r="AB58" s="73" t="s">
        <v>47</v>
      </c>
      <c r="AC58" s="83"/>
    </row>
    <row r="59" customFormat="false" ht="15" hidden="false" customHeight="false" outlineLevel="0" collapsed="false">
      <c r="C59" s="76" t="n">
        <v>54</v>
      </c>
      <c r="D59" s="78" t="s">
        <v>352</v>
      </c>
      <c r="E59" s="78" t="s">
        <v>353</v>
      </c>
      <c r="F59" s="78" t="s">
        <v>354</v>
      </c>
      <c r="G59" s="79" t="n">
        <v>34.5</v>
      </c>
      <c r="H59" s="80" t="n">
        <v>1</v>
      </c>
      <c r="I59" s="80" t="n">
        <v>458</v>
      </c>
      <c r="J59" s="80" t="n">
        <v>458</v>
      </c>
      <c r="K59" s="80" t="n">
        <v>458</v>
      </c>
      <c r="L59" s="81" t="s">
        <v>198</v>
      </c>
      <c r="M59" s="80" t="n">
        <v>0.2096</v>
      </c>
      <c r="N59" s="80" t="n">
        <v>0.3788</v>
      </c>
      <c r="O59" s="80" t="n">
        <v>4.4143</v>
      </c>
      <c r="P59" s="80" t="n">
        <v>0.5445</v>
      </c>
      <c r="Q59" s="80" t="n">
        <v>1.8571</v>
      </c>
      <c r="R59" s="80" t="n">
        <v>1.7219</v>
      </c>
      <c r="S59" s="81" t="s">
        <v>233</v>
      </c>
      <c r="T59" s="81" t="s">
        <v>200</v>
      </c>
      <c r="U59" s="81" t="s">
        <v>355</v>
      </c>
      <c r="V59" s="82" t="n">
        <v>45856</v>
      </c>
      <c r="W59" s="81" t="s">
        <v>234</v>
      </c>
      <c r="X59" s="81" t="n">
        <v>0</v>
      </c>
      <c r="Y59" s="81" t="n">
        <v>0</v>
      </c>
      <c r="Z59" s="81" t="n">
        <v>0</v>
      </c>
      <c r="AA59" s="81" t="s">
        <v>211</v>
      </c>
      <c r="AB59" s="73" t="s">
        <v>47</v>
      </c>
      <c r="AC59" s="83"/>
    </row>
    <row r="60" customFormat="false" ht="15" hidden="false" customHeight="false" outlineLevel="0" collapsed="false">
      <c r="C60" s="69" t="n">
        <v>55</v>
      </c>
      <c r="D60" s="78" t="s">
        <v>356</v>
      </c>
      <c r="E60" s="78" t="n">
        <v>7397518</v>
      </c>
      <c r="F60" s="78" t="s">
        <v>357</v>
      </c>
      <c r="G60" s="79" t="n">
        <v>34.5</v>
      </c>
      <c r="H60" s="80" t="n">
        <v>27.6725</v>
      </c>
      <c r="I60" s="80" t="n">
        <v>458</v>
      </c>
      <c r="J60" s="80" t="n">
        <v>458</v>
      </c>
      <c r="K60" s="80" t="n">
        <v>458</v>
      </c>
      <c r="L60" s="81" t="s">
        <v>198</v>
      </c>
      <c r="M60" s="80" t="n">
        <v>0.209608817418014</v>
      </c>
      <c r="N60" s="80" t="n">
        <v>0.378838196765742</v>
      </c>
      <c r="O60" s="80" t="n">
        <v>4.4143319179691</v>
      </c>
      <c r="P60" s="80" t="n">
        <v>0.544500858252778</v>
      </c>
      <c r="Q60" s="80" t="n">
        <v>1.85708555425061</v>
      </c>
      <c r="R60" s="80" t="n">
        <v>1.72190080404734</v>
      </c>
      <c r="S60" s="81" t="s">
        <v>233</v>
      </c>
      <c r="T60" s="81" t="s">
        <v>200</v>
      </c>
      <c r="U60" s="81" t="s">
        <v>355</v>
      </c>
      <c r="V60" s="82" t="n">
        <v>45856</v>
      </c>
      <c r="W60" s="81" t="s">
        <v>234</v>
      </c>
      <c r="X60" s="81" t="n">
        <v>0</v>
      </c>
      <c r="Y60" s="81" t="n">
        <v>0</v>
      </c>
      <c r="Z60" s="81" t="n">
        <v>0</v>
      </c>
      <c r="AA60" s="81" t="s">
        <v>211</v>
      </c>
      <c r="AB60" s="73" t="s">
        <v>47</v>
      </c>
      <c r="AC60" s="83"/>
    </row>
    <row r="61" customFormat="false" ht="15" hidden="false" customHeight="false" outlineLevel="0" collapsed="false">
      <c r="C61" s="76" t="n">
        <v>56</v>
      </c>
      <c r="D61" s="78" t="s">
        <v>358</v>
      </c>
      <c r="E61" s="78" t="s">
        <v>359</v>
      </c>
      <c r="F61" s="78" t="n">
        <v>48504</v>
      </c>
      <c r="G61" s="79" t="n">
        <v>34.5</v>
      </c>
      <c r="H61" s="80" t="n">
        <v>1</v>
      </c>
      <c r="I61" s="80" t="n">
        <v>275</v>
      </c>
      <c r="J61" s="80" t="n">
        <v>275</v>
      </c>
      <c r="K61" s="80" t="n">
        <v>275</v>
      </c>
      <c r="L61" s="81" t="s">
        <v>198</v>
      </c>
      <c r="M61" s="80" t="n">
        <v>0.4151</v>
      </c>
      <c r="N61" s="80" t="n">
        <v>0.4237</v>
      </c>
      <c r="O61" s="80" t="n">
        <v>4.0998</v>
      </c>
      <c r="P61" s="80" t="n">
        <v>0.75</v>
      </c>
      <c r="Q61" s="80" t="n">
        <v>1.902</v>
      </c>
      <c r="R61" s="80" t="n">
        <v>1.672</v>
      </c>
      <c r="S61" s="81" t="s">
        <v>233</v>
      </c>
      <c r="T61" s="81" t="s">
        <v>200</v>
      </c>
      <c r="U61" s="81" t="s">
        <v>201</v>
      </c>
      <c r="V61" s="82"/>
      <c r="W61" s="81" t="s">
        <v>360</v>
      </c>
      <c r="X61" s="81" t="n">
        <v>0</v>
      </c>
      <c r="Y61" s="81" t="n">
        <v>0</v>
      </c>
      <c r="Z61" s="81" t="n">
        <v>0</v>
      </c>
      <c r="AA61" s="81" t="s">
        <v>211</v>
      </c>
      <c r="AB61" s="73" t="s">
        <v>47</v>
      </c>
      <c r="AC61" s="83"/>
    </row>
    <row r="62" customFormat="false" ht="15" hidden="false" customHeight="false" outlineLevel="0" collapsed="false">
      <c r="C62" s="69" t="n">
        <v>57</v>
      </c>
      <c r="D62" s="78" t="s">
        <v>361</v>
      </c>
      <c r="E62" s="78" t="s">
        <v>362</v>
      </c>
      <c r="F62" s="78" t="s">
        <v>363</v>
      </c>
      <c r="G62" s="79" t="n">
        <v>34.5</v>
      </c>
      <c r="H62" s="80" t="n">
        <v>1</v>
      </c>
      <c r="I62" s="80" t="n">
        <v>241</v>
      </c>
      <c r="J62" s="80" t="n">
        <v>241</v>
      </c>
      <c r="K62" s="80" t="n">
        <v>241</v>
      </c>
      <c r="L62" s="81" t="s">
        <v>198</v>
      </c>
      <c r="M62" s="80" t="n">
        <v>0.5229</v>
      </c>
      <c r="N62" s="80" t="n">
        <v>0.4325</v>
      </c>
      <c r="O62" s="80" t="n">
        <v>4.0085</v>
      </c>
      <c r="P62" s="80" t="n">
        <v>0.8578</v>
      </c>
      <c r="Q62" s="80" t="n">
        <v>1.9107</v>
      </c>
      <c r="R62" s="80" t="n">
        <v>1.6566</v>
      </c>
      <c r="S62" s="81" t="s">
        <v>233</v>
      </c>
      <c r="T62" s="81" t="s">
        <v>200</v>
      </c>
      <c r="U62" s="81" t="s">
        <v>201</v>
      </c>
      <c r="V62" s="82"/>
      <c r="W62" s="81" t="s">
        <v>364</v>
      </c>
      <c r="X62" s="81" t="n">
        <v>0</v>
      </c>
      <c r="Y62" s="81" t="n">
        <v>0</v>
      </c>
      <c r="Z62" s="81" t="n">
        <v>0</v>
      </c>
      <c r="AA62" s="81" t="s">
        <v>211</v>
      </c>
      <c r="AB62" s="73" t="s">
        <v>47</v>
      </c>
      <c r="AC62" s="83"/>
    </row>
    <row r="63" customFormat="false" ht="15" hidden="false" customHeight="false" outlineLevel="0" collapsed="false">
      <c r="C63" s="76" t="n">
        <v>58</v>
      </c>
      <c r="D63" s="78" t="s">
        <v>365</v>
      </c>
      <c r="E63" s="78" t="s">
        <v>237</v>
      </c>
      <c r="F63" s="78" t="s">
        <v>366</v>
      </c>
      <c r="G63" s="79" t="n">
        <v>34.5</v>
      </c>
      <c r="H63" s="80" t="n">
        <v>27</v>
      </c>
      <c r="I63" s="80" t="n">
        <v>458</v>
      </c>
      <c r="J63" s="80" t="n">
        <v>458</v>
      </c>
      <c r="K63" s="80" t="n">
        <v>458</v>
      </c>
      <c r="L63" s="81" t="s">
        <v>198</v>
      </c>
      <c r="M63" s="80" t="n">
        <v>0.209611111111111</v>
      </c>
      <c r="N63" s="80" t="n">
        <v>0.378837037037037</v>
      </c>
      <c r="O63" s="80" t="n">
        <v>4.41433333333333</v>
      </c>
      <c r="P63" s="80" t="n">
        <v>0.5445</v>
      </c>
      <c r="Q63" s="80" t="n">
        <v>1.85708888888889</v>
      </c>
      <c r="R63" s="80" t="n">
        <v>1.7219037037037</v>
      </c>
      <c r="S63" s="81" t="s">
        <v>233</v>
      </c>
      <c r="T63" s="81" t="s">
        <v>200</v>
      </c>
      <c r="U63" s="81" t="s">
        <v>355</v>
      </c>
      <c r="V63" s="82" t="n">
        <v>46022</v>
      </c>
      <c r="W63" s="81" t="s">
        <v>234</v>
      </c>
      <c r="X63" s="81" t="n">
        <v>0</v>
      </c>
      <c r="Y63" s="81" t="n">
        <v>0</v>
      </c>
      <c r="Z63" s="81" t="n">
        <v>0</v>
      </c>
      <c r="AA63" s="81" t="s">
        <v>211</v>
      </c>
      <c r="AB63" s="73" t="s">
        <v>47</v>
      </c>
      <c r="AC63" s="83" t="s">
        <v>367</v>
      </c>
    </row>
    <row r="64" customFormat="false" ht="15" hidden="false" customHeight="false" outlineLevel="0" collapsed="false">
      <c r="C64" s="69" t="n">
        <v>59</v>
      </c>
      <c r="D64" s="78" t="s">
        <v>368</v>
      </c>
      <c r="E64" s="78" t="s">
        <v>369</v>
      </c>
      <c r="F64" s="78" t="s">
        <v>370</v>
      </c>
      <c r="G64" s="79" t="n">
        <v>34.5</v>
      </c>
      <c r="H64" s="80" t="n">
        <v>13.72</v>
      </c>
      <c r="I64" s="80" t="n">
        <v>458</v>
      </c>
      <c r="J64" s="80" t="n">
        <v>458</v>
      </c>
      <c r="K64" s="80" t="n">
        <v>458</v>
      </c>
      <c r="L64" s="81" t="s">
        <v>198</v>
      </c>
      <c r="M64" s="80" t="n">
        <v>0.209606413994169</v>
      </c>
      <c r="N64" s="80" t="n">
        <v>0.37884110787172</v>
      </c>
      <c r="O64" s="80" t="n">
        <v>4.41433673469388</v>
      </c>
      <c r="P64" s="80" t="n">
        <v>0.544497084548105</v>
      </c>
      <c r="Q64" s="80" t="n">
        <v>1.85708454810496</v>
      </c>
      <c r="R64" s="80" t="n">
        <v>1.72190233236152</v>
      </c>
      <c r="S64" s="81" t="s">
        <v>233</v>
      </c>
      <c r="T64" s="81" t="s">
        <v>200</v>
      </c>
      <c r="U64" s="81" t="s">
        <v>201</v>
      </c>
      <c r="V64" s="82"/>
      <c r="W64" s="81" t="s">
        <v>234</v>
      </c>
      <c r="X64" s="81" t="n">
        <v>0</v>
      </c>
      <c r="Y64" s="81" t="n">
        <v>0</v>
      </c>
      <c r="Z64" s="81" t="n">
        <v>0</v>
      </c>
      <c r="AA64" s="81" t="s">
        <v>211</v>
      </c>
      <c r="AB64" s="73" t="s">
        <v>47</v>
      </c>
      <c r="AC64" s="83"/>
    </row>
    <row r="65" customFormat="false" ht="15" hidden="false" customHeight="false" outlineLevel="0" collapsed="false">
      <c r="C65" s="76" t="n">
        <v>60</v>
      </c>
      <c r="D65" s="78" t="n">
        <v>702286</v>
      </c>
      <c r="E65" s="78" t="s">
        <v>371</v>
      </c>
      <c r="F65" s="78" t="n">
        <v>7397526</v>
      </c>
      <c r="G65" s="79" t="n">
        <v>34.5</v>
      </c>
      <c r="H65" s="80" t="n">
        <v>0.1694</v>
      </c>
      <c r="I65" s="80" t="n">
        <v>458</v>
      </c>
      <c r="J65" s="80" t="n">
        <v>458</v>
      </c>
      <c r="K65" s="80" t="n">
        <v>458</v>
      </c>
      <c r="L65" s="81" t="s">
        <v>198</v>
      </c>
      <c r="M65" s="80" t="n">
        <v>0.209563164108619</v>
      </c>
      <c r="N65" s="80" t="n">
        <v>0.378984651711924</v>
      </c>
      <c r="O65" s="80" t="n">
        <v>4.41322314049587</v>
      </c>
      <c r="P65" s="80" t="n">
        <v>0.544273907910272</v>
      </c>
      <c r="Q65" s="80" t="n">
        <v>1.85655253837072</v>
      </c>
      <c r="R65" s="80" t="n">
        <v>1.72136953955136</v>
      </c>
      <c r="S65" s="81" t="s">
        <v>233</v>
      </c>
      <c r="T65" s="81" t="s">
        <v>200</v>
      </c>
      <c r="U65" s="81" t="s">
        <v>201</v>
      </c>
      <c r="V65" s="82"/>
      <c r="W65" s="81" t="s">
        <v>234</v>
      </c>
      <c r="X65" s="81" t="n">
        <v>0</v>
      </c>
      <c r="Y65" s="81" t="n">
        <v>0</v>
      </c>
      <c r="Z65" s="81" t="n">
        <v>0</v>
      </c>
      <c r="AA65" s="81" t="s">
        <v>211</v>
      </c>
      <c r="AB65" s="73" t="s">
        <v>47</v>
      </c>
      <c r="AC65" s="83"/>
    </row>
    <row r="66" customFormat="false" ht="15" hidden="false" customHeight="false" outlineLevel="0" collapsed="false">
      <c r="C66" s="69" t="n">
        <v>61</v>
      </c>
      <c r="D66" s="78" t="s">
        <v>372</v>
      </c>
      <c r="E66" s="78" t="s">
        <v>373</v>
      </c>
      <c r="F66" s="78" t="s">
        <v>374</v>
      </c>
      <c r="G66" s="79" t="n">
        <v>34.5</v>
      </c>
      <c r="H66" s="80" t="n">
        <v>4.75</v>
      </c>
      <c r="I66" s="80" t="n">
        <v>241</v>
      </c>
      <c r="J66" s="80" t="n">
        <v>120.018</v>
      </c>
      <c r="K66" s="80" t="n">
        <v>241</v>
      </c>
      <c r="L66" s="81" t="s">
        <v>239</v>
      </c>
      <c r="M66" s="80" t="n">
        <v>0.522926315789474</v>
      </c>
      <c r="N66" s="80" t="n">
        <v>0.432463157894737</v>
      </c>
      <c r="O66" s="80" t="n">
        <v>4.00846315789474</v>
      </c>
      <c r="P66" s="80" t="n">
        <v>0.85781052631579</v>
      </c>
      <c r="Q66" s="80" t="n">
        <v>1.91071578947368</v>
      </c>
      <c r="R66" s="80" t="n">
        <v>1.65656842105263</v>
      </c>
      <c r="S66" s="81" t="s">
        <v>233</v>
      </c>
      <c r="T66" s="81" t="s">
        <v>200</v>
      </c>
      <c r="U66" s="81" t="s">
        <v>201</v>
      </c>
      <c r="V66" s="82"/>
      <c r="W66" s="81" t="s">
        <v>364</v>
      </c>
      <c r="X66" s="81" t="n">
        <v>0</v>
      </c>
      <c r="Y66" s="81" t="n">
        <v>0</v>
      </c>
      <c r="Z66" s="81" t="n">
        <v>0</v>
      </c>
      <c r="AA66" s="81" t="s">
        <v>211</v>
      </c>
      <c r="AB66" s="73" t="s">
        <v>47</v>
      </c>
      <c r="AC66" s="83"/>
    </row>
    <row r="67" customFormat="false" ht="15" hidden="false" customHeight="false" outlineLevel="0" collapsed="false">
      <c r="C67" s="76" t="n">
        <v>62</v>
      </c>
      <c r="D67" s="78" t="s">
        <v>375</v>
      </c>
      <c r="E67" s="78" t="s">
        <v>376</v>
      </c>
      <c r="F67" s="78" t="s">
        <v>353</v>
      </c>
      <c r="G67" s="79" t="n">
        <v>34.5</v>
      </c>
      <c r="H67" s="80" t="n">
        <v>12.71</v>
      </c>
      <c r="I67" s="80" t="n">
        <v>458</v>
      </c>
      <c r="J67" s="80" t="n">
        <v>458</v>
      </c>
      <c r="K67" s="80" t="n">
        <v>458</v>
      </c>
      <c r="L67" s="81" t="s">
        <v>198</v>
      </c>
      <c r="M67" s="80" t="n">
        <v>0.209606608969316</v>
      </c>
      <c r="N67" s="80" t="n">
        <v>0.378835562549174</v>
      </c>
      <c r="O67" s="80" t="n">
        <v>4.41433516915814</v>
      </c>
      <c r="P67" s="80" t="n">
        <v>0.544500393391031</v>
      </c>
      <c r="Q67" s="80" t="n">
        <v>1.85708890637293</v>
      </c>
      <c r="R67" s="80" t="n">
        <v>1.72190401258851</v>
      </c>
      <c r="S67" s="81" t="s">
        <v>233</v>
      </c>
      <c r="T67" s="81" t="s">
        <v>200</v>
      </c>
      <c r="U67" s="81" t="s">
        <v>201</v>
      </c>
      <c r="V67" s="82"/>
      <c r="W67" s="81" t="s">
        <v>234</v>
      </c>
      <c r="X67" s="81" t="n">
        <v>0</v>
      </c>
      <c r="Y67" s="81" t="n">
        <v>0</v>
      </c>
      <c r="Z67" s="81" t="n">
        <v>0</v>
      </c>
      <c r="AA67" s="81" t="s">
        <v>211</v>
      </c>
      <c r="AB67" s="73" t="s">
        <v>47</v>
      </c>
      <c r="AC67" s="83"/>
    </row>
    <row r="68" customFormat="false" ht="15" hidden="false" customHeight="false" outlineLevel="0" collapsed="false">
      <c r="C68" s="69" t="n">
        <v>63</v>
      </c>
      <c r="D68" s="78" t="s">
        <v>377</v>
      </c>
      <c r="E68" s="78" t="s">
        <v>378</v>
      </c>
      <c r="F68" s="78" t="s">
        <v>379</v>
      </c>
      <c r="G68" s="79" t="n">
        <v>34.5</v>
      </c>
      <c r="H68" s="80" t="n">
        <v>0.45</v>
      </c>
      <c r="I68" s="80" t="n">
        <v>184</v>
      </c>
      <c r="J68" s="80" t="n">
        <v>184</v>
      </c>
      <c r="K68" s="80" t="n">
        <v>184</v>
      </c>
      <c r="L68" s="81" t="s">
        <v>198</v>
      </c>
      <c r="M68" s="80" t="n">
        <v>0.830666666666667</v>
      </c>
      <c r="N68" s="80" t="n">
        <v>0.45</v>
      </c>
      <c r="O68" s="80" t="n">
        <v>3.83644444444444</v>
      </c>
      <c r="P68" s="80" t="n">
        <v>1.16555555555556</v>
      </c>
      <c r="Q68" s="80" t="n">
        <v>1.92822222222222</v>
      </c>
      <c r="R68" s="80" t="n">
        <v>1.62644444444444</v>
      </c>
      <c r="S68" s="81" t="s">
        <v>233</v>
      </c>
      <c r="T68" s="81" t="s">
        <v>200</v>
      </c>
      <c r="U68" s="81" t="s">
        <v>201</v>
      </c>
      <c r="V68" s="82"/>
      <c r="W68" s="81" t="s">
        <v>380</v>
      </c>
      <c r="X68" s="81" t="n">
        <v>0</v>
      </c>
      <c r="Y68" s="81" t="n">
        <v>0</v>
      </c>
      <c r="Z68" s="81" t="n">
        <v>0</v>
      </c>
      <c r="AA68" s="81" t="s">
        <v>211</v>
      </c>
      <c r="AB68" s="73" t="s">
        <v>47</v>
      </c>
      <c r="AC68" s="83"/>
    </row>
    <row r="69" customFormat="false" ht="15" hidden="false" customHeight="false" outlineLevel="0" collapsed="false">
      <c r="C69" s="76" t="n">
        <v>64</v>
      </c>
      <c r="D69" s="78" t="s">
        <v>381</v>
      </c>
      <c r="E69" s="78" t="s">
        <v>288</v>
      </c>
      <c r="F69" s="78" t="s">
        <v>382</v>
      </c>
      <c r="G69" s="79" t="n">
        <v>34.5</v>
      </c>
      <c r="H69" s="80" t="n">
        <v>0.037</v>
      </c>
      <c r="I69" s="80" t="n">
        <v>458</v>
      </c>
      <c r="J69" s="80" t="n">
        <v>399.834</v>
      </c>
      <c r="K69" s="80" t="n">
        <v>458</v>
      </c>
      <c r="L69" s="81" t="s">
        <v>239</v>
      </c>
      <c r="M69" s="80" t="n">
        <v>0.210810810810811</v>
      </c>
      <c r="N69" s="80" t="n">
        <v>0.378378378378378</v>
      </c>
      <c r="O69" s="80" t="n">
        <v>4.41351351351351</v>
      </c>
      <c r="P69" s="80" t="n">
        <v>0.543243243243243</v>
      </c>
      <c r="Q69" s="80" t="n">
        <v>1.85675675675676</v>
      </c>
      <c r="R69" s="80" t="n">
        <v>1.72162162162162</v>
      </c>
      <c r="S69" s="81" t="s">
        <v>233</v>
      </c>
      <c r="T69" s="81" t="s">
        <v>200</v>
      </c>
      <c r="U69" s="81" t="s">
        <v>201</v>
      </c>
      <c r="V69" s="82"/>
      <c r="W69" s="81" t="s">
        <v>234</v>
      </c>
      <c r="X69" s="81" t="n">
        <v>0</v>
      </c>
      <c r="Y69" s="81" t="n">
        <v>0</v>
      </c>
      <c r="Z69" s="81" t="n">
        <v>0</v>
      </c>
      <c r="AA69" s="81" t="s">
        <v>211</v>
      </c>
      <c r="AB69" s="73" t="s">
        <v>47</v>
      </c>
      <c r="AC69" s="83"/>
    </row>
    <row r="70" customFormat="false" ht="15" hidden="false" customHeight="false" outlineLevel="0" collapsed="false">
      <c r="C70" s="69" t="n">
        <v>65</v>
      </c>
      <c r="D70" s="78" t="n">
        <v>702273</v>
      </c>
      <c r="E70" s="78" t="n">
        <v>7397518</v>
      </c>
      <c r="F70" s="78" t="n">
        <v>7397526</v>
      </c>
      <c r="G70" s="79" t="n">
        <v>34.5</v>
      </c>
      <c r="H70" s="80" t="n">
        <v>0.2656</v>
      </c>
      <c r="I70" s="80" t="n">
        <v>458</v>
      </c>
      <c r="J70" s="80" t="n">
        <v>458</v>
      </c>
      <c r="K70" s="80" t="n">
        <v>458</v>
      </c>
      <c r="L70" s="81" t="s">
        <v>198</v>
      </c>
      <c r="M70" s="80" t="n">
        <v>0.209713855421687</v>
      </c>
      <c r="N70" s="80" t="n">
        <v>0.378765060240964</v>
      </c>
      <c r="O70" s="80" t="n">
        <v>4.41415662650602</v>
      </c>
      <c r="P70" s="80" t="n">
        <v>0.544427710843374</v>
      </c>
      <c r="Q70" s="80" t="n">
        <v>1.85692771084337</v>
      </c>
      <c r="R70" s="80" t="n">
        <v>1.72176204819277</v>
      </c>
      <c r="S70" s="81" t="s">
        <v>233</v>
      </c>
      <c r="T70" s="81" t="s">
        <v>200</v>
      </c>
      <c r="U70" s="81" t="s">
        <v>201</v>
      </c>
      <c r="V70" s="82"/>
      <c r="W70" s="81" t="s">
        <v>234</v>
      </c>
      <c r="X70" s="81" t="n">
        <v>0</v>
      </c>
      <c r="Y70" s="81" t="n">
        <v>0</v>
      </c>
      <c r="Z70" s="81" t="n">
        <v>0</v>
      </c>
      <c r="AA70" s="81" t="s">
        <v>211</v>
      </c>
      <c r="AB70" s="73" t="s">
        <v>47</v>
      </c>
      <c r="AC70" s="83"/>
    </row>
    <row r="71" customFormat="false" ht="15" hidden="false" customHeight="false" outlineLevel="0" collapsed="false">
      <c r="C71" s="76" t="n">
        <v>66</v>
      </c>
      <c r="D71" s="78" t="s">
        <v>383</v>
      </c>
      <c r="E71" s="78" t="s">
        <v>384</v>
      </c>
      <c r="F71" s="78" t="s">
        <v>382</v>
      </c>
      <c r="G71" s="79" t="n">
        <v>34.5</v>
      </c>
      <c r="H71" s="80" t="n">
        <v>0.037</v>
      </c>
      <c r="I71" s="80" t="n">
        <v>458</v>
      </c>
      <c r="J71" s="80" t="n">
        <v>399.834</v>
      </c>
      <c r="K71" s="80" t="n">
        <v>458</v>
      </c>
      <c r="L71" s="81" t="s">
        <v>239</v>
      </c>
      <c r="M71" s="80" t="n">
        <v>0.210810810810811</v>
      </c>
      <c r="N71" s="80" t="n">
        <v>0.378378378378378</v>
      </c>
      <c r="O71" s="80" t="n">
        <v>4.41351351351351</v>
      </c>
      <c r="P71" s="80" t="n">
        <v>0.543243243243243</v>
      </c>
      <c r="Q71" s="80" t="n">
        <v>1.85675675675676</v>
      </c>
      <c r="R71" s="80" t="n">
        <v>1.72162162162162</v>
      </c>
      <c r="S71" s="81" t="s">
        <v>233</v>
      </c>
      <c r="T71" s="81" t="s">
        <v>200</v>
      </c>
      <c r="U71" s="81" t="s">
        <v>201</v>
      </c>
      <c r="V71" s="82"/>
      <c r="W71" s="81" t="s">
        <v>234</v>
      </c>
      <c r="X71" s="81" t="n">
        <v>0</v>
      </c>
      <c r="Y71" s="81" t="n">
        <v>0</v>
      </c>
      <c r="Z71" s="81" t="n">
        <v>0</v>
      </c>
      <c r="AA71" s="81" t="s">
        <v>211</v>
      </c>
      <c r="AB71" s="73" t="s">
        <v>47</v>
      </c>
      <c r="AC71" s="83"/>
    </row>
    <row r="72" customFormat="false" ht="15" hidden="false" customHeight="false" outlineLevel="0" collapsed="false">
      <c r="C72" s="69" t="n">
        <v>67</v>
      </c>
      <c r="D72" s="78" t="s">
        <v>385</v>
      </c>
      <c r="E72" s="78" t="s">
        <v>386</v>
      </c>
      <c r="F72" s="78" t="s">
        <v>387</v>
      </c>
      <c r="G72" s="79" t="n">
        <v>34.5</v>
      </c>
      <c r="H72" s="80" t="n">
        <v>1.8</v>
      </c>
      <c r="I72" s="80" t="n">
        <v>1000</v>
      </c>
      <c r="J72" s="80" t="n">
        <v>1000</v>
      </c>
      <c r="K72" s="80" t="n">
        <v>1000</v>
      </c>
      <c r="L72" s="81" t="s">
        <v>198</v>
      </c>
      <c r="M72" s="80" t="n">
        <v>0.0958888888888889</v>
      </c>
      <c r="N72" s="80" t="n">
        <v>0.469555555555556</v>
      </c>
      <c r="O72" s="80" t="n">
        <v>3.58016666666667</v>
      </c>
      <c r="P72" s="80" t="n">
        <v>0.271333333333333</v>
      </c>
      <c r="Q72" s="80" t="n">
        <v>1.70794444444444</v>
      </c>
      <c r="R72" s="80" t="n">
        <v>2.30311111111111</v>
      </c>
      <c r="S72" s="81" t="s">
        <v>233</v>
      </c>
      <c r="T72" s="81" t="s">
        <v>200</v>
      </c>
      <c r="U72" s="81" t="s">
        <v>201</v>
      </c>
      <c r="V72" s="82"/>
      <c r="W72" s="81" t="s">
        <v>388</v>
      </c>
      <c r="X72" s="81" t="n">
        <v>0.315793650823512</v>
      </c>
      <c r="Y72" s="81" t="n">
        <v>2.21055555576459</v>
      </c>
      <c r="Z72" s="81" t="n">
        <v>7</v>
      </c>
      <c r="AA72" s="81" t="s">
        <v>211</v>
      </c>
      <c r="AB72" s="73" t="s">
        <v>47</v>
      </c>
      <c r="AC72" s="83"/>
    </row>
    <row r="73" customFormat="false" ht="15" hidden="false" customHeight="false" outlineLevel="0" collapsed="false">
      <c r="C73" s="76" t="n">
        <v>68</v>
      </c>
      <c r="D73" s="78" t="s">
        <v>389</v>
      </c>
      <c r="E73" s="78" t="s">
        <v>390</v>
      </c>
      <c r="F73" s="78" t="s">
        <v>391</v>
      </c>
      <c r="G73" s="79" t="n">
        <v>34.5</v>
      </c>
      <c r="H73" s="80" t="n">
        <v>0.196</v>
      </c>
      <c r="I73" s="80" t="n">
        <v>241</v>
      </c>
      <c r="J73" s="80" t="n">
        <v>241</v>
      </c>
      <c r="K73" s="80" t="n">
        <v>241</v>
      </c>
      <c r="L73" s="81" t="s">
        <v>198</v>
      </c>
      <c r="M73" s="80" t="n">
        <v>0.522959183673469</v>
      </c>
      <c r="N73" s="80" t="n">
        <v>0.43265306122449</v>
      </c>
      <c r="O73" s="80" t="n">
        <v>4.00867346938775</v>
      </c>
      <c r="P73" s="80" t="n">
        <v>0.85765306122449</v>
      </c>
      <c r="Q73" s="80" t="n">
        <v>1.91071428571429</v>
      </c>
      <c r="R73" s="80" t="n">
        <v>1.65663265306122</v>
      </c>
      <c r="S73" s="81" t="s">
        <v>233</v>
      </c>
      <c r="T73" s="81" t="s">
        <v>200</v>
      </c>
      <c r="U73" s="81" t="s">
        <v>201</v>
      </c>
      <c r="V73" s="82"/>
      <c r="W73" s="81" t="s">
        <v>364</v>
      </c>
      <c r="X73" s="81" t="n">
        <v>0</v>
      </c>
      <c r="Y73" s="81" t="n">
        <v>0</v>
      </c>
      <c r="Z73" s="81" t="n">
        <v>0</v>
      </c>
      <c r="AA73" s="81" t="s">
        <v>211</v>
      </c>
      <c r="AB73" s="73" t="s">
        <v>47</v>
      </c>
      <c r="AC73" s="83"/>
    </row>
    <row r="74" customFormat="false" ht="15" hidden="false" customHeight="false" outlineLevel="0" collapsed="false">
      <c r="C74" s="69" t="n">
        <v>69</v>
      </c>
      <c r="D74" s="78" t="s">
        <v>392</v>
      </c>
      <c r="E74" s="78" t="s">
        <v>393</v>
      </c>
      <c r="F74" s="78" t="s">
        <v>394</v>
      </c>
      <c r="G74" s="79" t="n">
        <v>34.5</v>
      </c>
      <c r="H74" s="80" t="n">
        <v>0.358</v>
      </c>
      <c r="I74" s="80" t="n">
        <v>230</v>
      </c>
      <c r="J74" s="80" t="n">
        <v>230</v>
      </c>
      <c r="K74" s="80" t="n">
        <v>230</v>
      </c>
      <c r="L74" s="81" t="s">
        <v>198</v>
      </c>
      <c r="M74" s="80" t="n">
        <v>0.332960893854749</v>
      </c>
      <c r="N74" s="80" t="n">
        <v>0.16731843575419</v>
      </c>
      <c r="O74" s="80" t="n">
        <v>0</v>
      </c>
      <c r="P74" s="80" t="n">
        <v>0.529608938547486</v>
      </c>
      <c r="Q74" s="80" t="n">
        <v>0.425139664804469</v>
      </c>
      <c r="R74" s="80" t="n">
        <v>0</v>
      </c>
      <c r="S74" s="81" t="s">
        <v>233</v>
      </c>
      <c r="T74" s="81" t="s">
        <v>200</v>
      </c>
      <c r="U74" s="81" t="s">
        <v>201</v>
      </c>
      <c r="V74" s="82"/>
      <c r="W74" s="81" t="s">
        <v>395</v>
      </c>
      <c r="X74" s="81" t="n">
        <v>0</v>
      </c>
      <c r="Y74" s="81" t="n">
        <v>0</v>
      </c>
      <c r="Z74" s="81" t="n">
        <v>0</v>
      </c>
      <c r="AA74" s="81" t="s">
        <v>211</v>
      </c>
      <c r="AB74" s="73" t="s">
        <v>47</v>
      </c>
      <c r="AC74" s="83"/>
    </row>
    <row r="75" customFormat="false" ht="15" hidden="false" customHeight="false" outlineLevel="0" collapsed="false">
      <c r="C75" s="76" t="n">
        <v>70</v>
      </c>
      <c r="D75" s="78" t="s">
        <v>396</v>
      </c>
      <c r="E75" s="78" t="s">
        <v>397</v>
      </c>
      <c r="F75" s="78" t="s">
        <v>394</v>
      </c>
      <c r="G75" s="79" t="n">
        <v>34.5</v>
      </c>
      <c r="H75" s="80" t="n">
        <v>0.14</v>
      </c>
      <c r="I75" s="80" t="n">
        <v>295</v>
      </c>
      <c r="J75" s="80" t="n">
        <v>295</v>
      </c>
      <c r="K75" s="80" t="n">
        <v>295</v>
      </c>
      <c r="L75" s="81" t="s">
        <v>198</v>
      </c>
      <c r="M75" s="80" t="n">
        <v>0.21</v>
      </c>
      <c r="N75" s="80" t="n">
        <v>0.154285714285714</v>
      </c>
      <c r="O75" s="80" t="n">
        <v>0</v>
      </c>
      <c r="P75" s="80" t="n">
        <v>0.333571428571429</v>
      </c>
      <c r="Q75" s="80" t="n">
        <v>0.391428571428571</v>
      </c>
      <c r="R75" s="80" t="n">
        <v>0</v>
      </c>
      <c r="S75" s="81" t="s">
        <v>233</v>
      </c>
      <c r="T75" s="81" t="s">
        <v>200</v>
      </c>
      <c r="U75" s="81" t="s">
        <v>201</v>
      </c>
      <c r="V75" s="82"/>
      <c r="W75" s="81" t="s">
        <v>398</v>
      </c>
      <c r="X75" s="81" t="n">
        <v>0</v>
      </c>
      <c r="Y75" s="81" t="n">
        <v>0</v>
      </c>
      <c r="Z75" s="81" t="n">
        <v>0</v>
      </c>
      <c r="AA75" s="81" t="s">
        <v>211</v>
      </c>
      <c r="AB75" s="73" t="s">
        <v>47</v>
      </c>
      <c r="AC75" s="83"/>
    </row>
    <row r="76" customFormat="false" ht="15" hidden="false" customHeight="false" outlineLevel="0" collapsed="false">
      <c r="C76" s="69" t="n">
        <v>71</v>
      </c>
      <c r="D76" s="78" t="s">
        <v>399</v>
      </c>
      <c r="E76" s="78" t="s">
        <v>357</v>
      </c>
      <c r="F76" s="78" t="s">
        <v>354</v>
      </c>
      <c r="G76" s="79" t="n">
        <v>34.5</v>
      </c>
      <c r="H76" s="80" t="n">
        <v>1</v>
      </c>
      <c r="I76" s="80" t="n">
        <v>458</v>
      </c>
      <c r="J76" s="80" t="n">
        <v>458</v>
      </c>
      <c r="K76" s="80" t="n">
        <v>458</v>
      </c>
      <c r="L76" s="81" t="s">
        <v>198</v>
      </c>
      <c r="M76" s="80" t="n">
        <v>0.2096</v>
      </c>
      <c r="N76" s="80" t="n">
        <v>0.3788</v>
      </c>
      <c r="O76" s="80" t="n">
        <v>4.4143</v>
      </c>
      <c r="P76" s="80" t="n">
        <v>0.5445</v>
      </c>
      <c r="Q76" s="80" t="n">
        <v>1.8571</v>
      </c>
      <c r="R76" s="80" t="n">
        <v>1.7219</v>
      </c>
      <c r="S76" s="81" t="s">
        <v>233</v>
      </c>
      <c r="T76" s="81" t="s">
        <v>200</v>
      </c>
      <c r="U76" s="81" t="s">
        <v>355</v>
      </c>
      <c r="V76" s="82" t="n">
        <v>45856</v>
      </c>
      <c r="W76" s="81" t="s">
        <v>234</v>
      </c>
      <c r="X76" s="81" t="n">
        <v>0</v>
      </c>
      <c r="Y76" s="81" t="n">
        <v>0</v>
      </c>
      <c r="Z76" s="81" t="n">
        <v>0</v>
      </c>
      <c r="AA76" s="81" t="s">
        <v>211</v>
      </c>
      <c r="AB76" s="73" t="s">
        <v>47</v>
      </c>
      <c r="AC76" s="83"/>
    </row>
    <row r="77" customFormat="false" ht="15" hidden="false" customHeight="false" outlineLevel="0" collapsed="false">
      <c r="C77" s="76" t="n">
        <v>72</v>
      </c>
      <c r="D77" s="78" t="s">
        <v>400</v>
      </c>
      <c r="E77" s="78" t="s">
        <v>401</v>
      </c>
      <c r="F77" s="78" t="s">
        <v>402</v>
      </c>
      <c r="G77" s="79" t="n">
        <v>115</v>
      </c>
      <c r="H77" s="80" t="n">
        <v>45.16</v>
      </c>
      <c r="I77" s="80" t="n">
        <v>478</v>
      </c>
      <c r="J77" s="80" t="n">
        <v>478</v>
      </c>
      <c r="K77" s="80" t="n">
        <v>616.142</v>
      </c>
      <c r="L77" s="81" t="s">
        <v>198</v>
      </c>
      <c r="M77" s="80" t="n">
        <v>0.118000442869796</v>
      </c>
      <c r="N77" s="80" t="n">
        <v>0.485500442869796</v>
      </c>
      <c r="O77" s="80" t="n">
        <v>3.42</v>
      </c>
      <c r="P77" s="80" t="n">
        <v>0.290799379982285</v>
      </c>
      <c r="Q77" s="80" t="n">
        <v>1.6380004428698</v>
      </c>
      <c r="R77" s="80" t="n">
        <v>2.0830004428698</v>
      </c>
      <c r="S77" s="81" t="s">
        <v>210</v>
      </c>
      <c r="T77" s="81" t="s">
        <v>200</v>
      </c>
      <c r="U77" s="81" t="s">
        <v>201</v>
      </c>
      <c r="V77" s="82"/>
      <c r="W77" s="81" t="s">
        <v>202</v>
      </c>
      <c r="X77" s="81" t="n">
        <v>0</v>
      </c>
      <c r="Y77" s="81" t="n">
        <v>0</v>
      </c>
      <c r="Z77" s="81" t="n">
        <v>0</v>
      </c>
      <c r="AA77" s="73" t="s">
        <v>211</v>
      </c>
      <c r="AB77" s="81" t="s">
        <v>47</v>
      </c>
      <c r="AC77" s="83"/>
    </row>
    <row r="78" customFormat="false" ht="15" hidden="false" customHeight="false" outlineLevel="0" collapsed="false">
      <c r="C78" s="69" t="n">
        <v>73</v>
      </c>
      <c r="D78" s="78" t="s">
        <v>403</v>
      </c>
      <c r="E78" s="78" t="s">
        <v>402</v>
      </c>
      <c r="F78" s="78" t="s">
        <v>404</v>
      </c>
      <c r="G78" s="79" t="n">
        <v>115</v>
      </c>
      <c r="H78" s="80" t="n">
        <v>11.193</v>
      </c>
      <c r="I78" s="80" t="n">
        <v>112</v>
      </c>
      <c r="J78" s="80" t="n">
        <v>112</v>
      </c>
      <c r="K78" s="80" t="n">
        <v>130.144</v>
      </c>
      <c r="L78" s="81" t="s">
        <v>198</v>
      </c>
      <c r="M78" s="80" t="n">
        <v>0.224997766461181</v>
      </c>
      <c r="N78" s="80" t="n">
        <v>0.502001250781739</v>
      </c>
      <c r="O78" s="80" t="n">
        <v>3.73699633699634</v>
      </c>
      <c r="P78" s="80" t="n">
        <v>0.491003305637452</v>
      </c>
      <c r="Q78" s="80" t="n">
        <v>1.22299651567944</v>
      </c>
      <c r="R78" s="80" t="n">
        <v>2.20799606897168</v>
      </c>
      <c r="S78" s="81" t="s">
        <v>210</v>
      </c>
      <c r="T78" s="81" t="s">
        <v>200</v>
      </c>
      <c r="U78" s="81" t="s">
        <v>201</v>
      </c>
      <c r="V78" s="82"/>
      <c r="W78" s="81" t="s">
        <v>202</v>
      </c>
      <c r="X78" s="81" t="n">
        <v>0</v>
      </c>
      <c r="Y78" s="81" t="n">
        <v>0</v>
      </c>
      <c r="Z78" s="81" t="n">
        <v>0</v>
      </c>
      <c r="AA78" s="73" t="s">
        <v>211</v>
      </c>
      <c r="AB78" s="81" t="s">
        <v>47</v>
      </c>
      <c r="AC78" s="83"/>
    </row>
    <row r="79" customFormat="false" ht="15" hidden="false" customHeight="false" outlineLevel="0" collapsed="false">
      <c r="C79" s="76" t="n">
        <v>74</v>
      </c>
      <c r="D79" s="78" t="s">
        <v>405</v>
      </c>
      <c r="E79" s="78" t="s">
        <v>402</v>
      </c>
      <c r="F79" s="78" t="s">
        <v>406</v>
      </c>
      <c r="G79" s="79" t="n">
        <v>115</v>
      </c>
      <c r="H79" s="80" t="n">
        <v>8.29</v>
      </c>
      <c r="I79" s="80" t="n">
        <v>112</v>
      </c>
      <c r="J79" s="80" t="n">
        <v>112</v>
      </c>
      <c r="K79" s="80" t="n">
        <v>130.144</v>
      </c>
      <c r="L79" s="81" t="s">
        <v>198</v>
      </c>
      <c r="M79" s="80" t="n">
        <v>0.22400482509047</v>
      </c>
      <c r="N79" s="80" t="n">
        <v>0.503003618817853</v>
      </c>
      <c r="O79" s="80" t="n">
        <v>3.73499396863691</v>
      </c>
      <c r="P79" s="80" t="n">
        <v>0.478998793727382</v>
      </c>
      <c r="Q79" s="80" t="n">
        <v>1.29100120627262</v>
      </c>
      <c r="R79" s="80" t="n">
        <v>2.2</v>
      </c>
      <c r="S79" s="81" t="s">
        <v>210</v>
      </c>
      <c r="T79" s="81" t="s">
        <v>200</v>
      </c>
      <c r="U79" s="81" t="s">
        <v>201</v>
      </c>
      <c r="V79" s="82"/>
      <c r="W79" s="81" t="s">
        <v>202</v>
      </c>
      <c r="X79" s="81" t="n">
        <v>0</v>
      </c>
      <c r="Y79" s="81" t="n">
        <v>0</v>
      </c>
      <c r="Z79" s="81" t="n">
        <v>0</v>
      </c>
      <c r="AA79" s="73" t="s">
        <v>211</v>
      </c>
      <c r="AB79" s="81" t="s">
        <v>47</v>
      </c>
      <c r="AC79" s="83"/>
    </row>
    <row r="80" customFormat="false" ht="15" hidden="false" customHeight="false" outlineLevel="0" collapsed="false">
      <c r="C80" s="69" t="n">
        <v>75</v>
      </c>
      <c r="D80" s="78" t="s">
        <v>407</v>
      </c>
      <c r="E80" s="78" t="s">
        <v>408</v>
      </c>
      <c r="F80" s="78" t="s">
        <v>409</v>
      </c>
      <c r="G80" s="79" t="n">
        <v>115</v>
      </c>
      <c r="H80" s="80" t="n">
        <v>9.516</v>
      </c>
      <c r="I80" s="80" t="n">
        <v>592</v>
      </c>
      <c r="J80" s="80" t="n">
        <v>592</v>
      </c>
      <c r="K80" s="80" t="n">
        <v>719.872</v>
      </c>
      <c r="L80" s="81" t="s">
        <v>198</v>
      </c>
      <c r="M80" s="80" t="n">
        <v>0.139302227826818</v>
      </c>
      <c r="N80" s="80" t="n">
        <v>0.48139974779319</v>
      </c>
      <c r="O80" s="80" t="n">
        <v>3.43270281630937</v>
      </c>
      <c r="P80" s="80" t="n">
        <v>0.589197141656158</v>
      </c>
      <c r="Q80" s="80" t="n">
        <v>1.27220470786045</v>
      </c>
      <c r="R80" s="80" t="n">
        <v>2.31029844472467</v>
      </c>
      <c r="S80" s="81" t="s">
        <v>210</v>
      </c>
      <c r="T80" s="81" t="s">
        <v>200</v>
      </c>
      <c r="U80" s="81" t="s">
        <v>201</v>
      </c>
      <c r="V80" s="82"/>
      <c r="W80" s="81" t="s">
        <v>202</v>
      </c>
      <c r="X80" s="81" t="n">
        <v>0.173809523852209</v>
      </c>
      <c r="Y80" s="81" t="n">
        <v>1.21666666696547</v>
      </c>
      <c r="Z80" s="81" t="n">
        <v>7</v>
      </c>
      <c r="AA80" s="73" t="s">
        <v>211</v>
      </c>
      <c r="AB80" s="81" t="s">
        <v>47</v>
      </c>
      <c r="AC80" s="83"/>
    </row>
    <row r="81" customFormat="false" ht="15" hidden="false" customHeight="false" outlineLevel="0" collapsed="false">
      <c r="C81" s="76" t="n">
        <v>76</v>
      </c>
      <c r="D81" s="78" t="s">
        <v>410</v>
      </c>
      <c r="E81" s="78" t="s">
        <v>411</v>
      </c>
      <c r="F81" s="78" t="s">
        <v>412</v>
      </c>
      <c r="G81" s="79" t="n">
        <v>115</v>
      </c>
      <c r="H81" s="80" t="n">
        <v>3.58</v>
      </c>
      <c r="I81" s="80" t="n">
        <v>584</v>
      </c>
      <c r="J81" s="80" t="n">
        <v>584</v>
      </c>
      <c r="K81" s="80" t="n">
        <v>599.768</v>
      </c>
      <c r="L81" s="81" t="s">
        <v>198</v>
      </c>
      <c r="M81" s="80" t="n">
        <v>0.119385474860335</v>
      </c>
      <c r="N81" s="80" t="n">
        <v>0.47840782122905</v>
      </c>
      <c r="O81" s="80" t="n">
        <v>3.46857541899441</v>
      </c>
      <c r="P81" s="80" t="n">
        <v>0.472122905027933</v>
      </c>
      <c r="Q81" s="80" t="n">
        <v>1.3686312849162</v>
      </c>
      <c r="R81" s="80" t="n">
        <v>1.76877094972067</v>
      </c>
      <c r="S81" s="81" t="s">
        <v>210</v>
      </c>
      <c r="T81" s="81" t="s">
        <v>200</v>
      </c>
      <c r="U81" s="81" t="s">
        <v>201</v>
      </c>
      <c r="V81" s="82"/>
      <c r="W81" s="81" t="s">
        <v>202</v>
      </c>
      <c r="X81" s="81" t="n">
        <v>0.116666666697711</v>
      </c>
      <c r="Y81" s="81" t="n">
        <v>0.116666666697711</v>
      </c>
      <c r="Z81" s="81" t="n">
        <v>1</v>
      </c>
      <c r="AA81" s="73" t="s">
        <v>211</v>
      </c>
      <c r="AB81" s="81" t="s">
        <v>47</v>
      </c>
      <c r="AC81" s="83"/>
    </row>
    <row r="82" customFormat="false" ht="15" hidden="false" customHeight="false" outlineLevel="0" collapsed="false">
      <c r="C82" s="69" t="n">
        <v>77</v>
      </c>
      <c r="D82" s="78" t="s">
        <v>413</v>
      </c>
      <c r="E82" s="78" t="s">
        <v>414</v>
      </c>
      <c r="F82" s="78" t="s">
        <v>415</v>
      </c>
      <c r="G82" s="79" t="n">
        <v>115</v>
      </c>
      <c r="H82" s="80" t="n">
        <v>21.49</v>
      </c>
      <c r="I82" s="80" t="n">
        <v>360</v>
      </c>
      <c r="J82" s="80" t="n">
        <v>360</v>
      </c>
      <c r="K82" s="80" t="n">
        <v>360</v>
      </c>
      <c r="L82" s="81" t="s">
        <v>198</v>
      </c>
      <c r="M82" s="80" t="n">
        <v>0.193201489064681</v>
      </c>
      <c r="N82" s="80" t="n">
        <v>0.411000465332713</v>
      </c>
      <c r="O82" s="80" t="n">
        <v>2.76</v>
      </c>
      <c r="P82" s="80" t="n">
        <v>0.340697999069335</v>
      </c>
      <c r="Q82" s="80" t="n">
        <v>1.26</v>
      </c>
      <c r="R82" s="80" t="n">
        <v>2.11699860400186</v>
      </c>
      <c r="S82" s="81" t="s">
        <v>210</v>
      </c>
      <c r="T82" s="81" t="s">
        <v>200</v>
      </c>
      <c r="U82" s="81" t="s">
        <v>201</v>
      </c>
      <c r="V82" s="82"/>
      <c r="W82" s="81" t="s">
        <v>202</v>
      </c>
      <c r="X82" s="81" t="n">
        <v>0</v>
      </c>
      <c r="Y82" s="81" t="n">
        <v>0</v>
      </c>
      <c r="Z82" s="81" t="n">
        <v>0</v>
      </c>
      <c r="AA82" s="73" t="s">
        <v>211</v>
      </c>
      <c r="AB82" s="81" t="s">
        <v>47</v>
      </c>
      <c r="AC82" s="83"/>
    </row>
    <row r="83" customFormat="false" ht="15" hidden="false" customHeight="false" outlineLevel="0" collapsed="false">
      <c r="C83" s="76" t="n">
        <v>78</v>
      </c>
      <c r="D83" s="78" t="s">
        <v>416</v>
      </c>
      <c r="E83" s="78" t="s">
        <v>417</v>
      </c>
      <c r="F83" s="78" t="s">
        <v>414</v>
      </c>
      <c r="G83" s="79" t="n">
        <v>115</v>
      </c>
      <c r="H83" s="80" t="n">
        <v>12.8</v>
      </c>
      <c r="I83" s="80" t="n">
        <v>589</v>
      </c>
      <c r="J83" s="80" t="n">
        <v>589</v>
      </c>
      <c r="K83" s="80" t="n">
        <v>589</v>
      </c>
      <c r="L83" s="81" t="s">
        <v>198</v>
      </c>
      <c r="M83" s="80" t="n">
        <v>0.193203125</v>
      </c>
      <c r="N83" s="80" t="n">
        <v>0.411</v>
      </c>
      <c r="O83" s="80" t="n">
        <v>2.76</v>
      </c>
      <c r="P83" s="80" t="n">
        <v>0.340703125</v>
      </c>
      <c r="Q83" s="80" t="n">
        <v>1.26</v>
      </c>
      <c r="R83" s="80" t="n">
        <v>2.117</v>
      </c>
      <c r="S83" s="81" t="s">
        <v>210</v>
      </c>
      <c r="T83" s="81" t="s">
        <v>200</v>
      </c>
      <c r="U83" s="81" t="s">
        <v>201</v>
      </c>
      <c r="V83" s="82"/>
      <c r="W83" s="81" t="s">
        <v>202</v>
      </c>
      <c r="X83" s="81" t="n">
        <v>0</v>
      </c>
      <c r="Y83" s="81" t="n">
        <v>0</v>
      </c>
      <c r="Z83" s="81" t="n">
        <v>0</v>
      </c>
      <c r="AA83" s="73" t="s">
        <v>211</v>
      </c>
      <c r="AB83" s="81" t="s">
        <v>47</v>
      </c>
      <c r="AC83" s="83"/>
    </row>
    <row r="84" customFormat="false" ht="15" hidden="false" customHeight="false" outlineLevel="0" collapsed="false">
      <c r="C84" s="69" t="n">
        <v>79</v>
      </c>
      <c r="D84" s="78" t="s">
        <v>418</v>
      </c>
      <c r="E84" s="78" t="s">
        <v>419</v>
      </c>
      <c r="F84" s="78" t="s">
        <v>414</v>
      </c>
      <c r="G84" s="79" t="n">
        <v>115</v>
      </c>
      <c r="H84" s="80" t="n">
        <v>39.41</v>
      </c>
      <c r="I84" s="80" t="n">
        <v>360</v>
      </c>
      <c r="J84" s="80" t="n">
        <v>360</v>
      </c>
      <c r="K84" s="80" t="n">
        <v>360</v>
      </c>
      <c r="L84" s="81" t="s">
        <v>198</v>
      </c>
      <c r="M84" s="80" t="n">
        <v>0.193199695508754</v>
      </c>
      <c r="N84" s="80" t="n">
        <v>0.410999746257295</v>
      </c>
      <c r="O84" s="80" t="n">
        <v>2.76</v>
      </c>
      <c r="P84" s="80" t="n">
        <v>0.340700329865516</v>
      </c>
      <c r="Q84" s="80" t="n">
        <v>1.26</v>
      </c>
      <c r="R84" s="80" t="n">
        <v>2.11700076122811</v>
      </c>
      <c r="S84" s="81" t="s">
        <v>210</v>
      </c>
      <c r="T84" s="81" t="s">
        <v>200</v>
      </c>
      <c r="U84" s="81" t="s">
        <v>201</v>
      </c>
      <c r="V84" s="82"/>
      <c r="W84" s="81" t="s">
        <v>202</v>
      </c>
      <c r="X84" s="81" t="n">
        <v>0</v>
      </c>
      <c r="Y84" s="81" t="n">
        <v>0</v>
      </c>
      <c r="Z84" s="81" t="n">
        <v>0</v>
      </c>
      <c r="AA84" s="73" t="s">
        <v>211</v>
      </c>
      <c r="AB84" s="81" t="s">
        <v>47</v>
      </c>
      <c r="AC84" s="83"/>
    </row>
    <row r="85" customFormat="false" ht="15" hidden="false" customHeight="false" outlineLevel="0" collapsed="false">
      <c r="C85" s="76" t="n">
        <v>80</v>
      </c>
      <c r="D85" s="78" t="s">
        <v>420</v>
      </c>
      <c r="E85" s="78" t="s">
        <v>220</v>
      </c>
      <c r="F85" s="78" t="s">
        <v>421</v>
      </c>
      <c r="G85" s="79" t="n">
        <v>230</v>
      </c>
      <c r="H85" s="80" t="n">
        <v>54.182</v>
      </c>
      <c r="I85" s="80" t="n">
        <v>900</v>
      </c>
      <c r="J85" s="80" t="n">
        <v>900</v>
      </c>
      <c r="K85" s="80" t="n">
        <v>900</v>
      </c>
      <c r="L85" s="81" t="s">
        <v>198</v>
      </c>
      <c r="M85" s="80" t="n">
        <v>0.0801004023476431</v>
      </c>
      <c r="N85" s="80" t="n">
        <v>0.491100365435015</v>
      </c>
      <c r="O85" s="80" t="n">
        <v>3.33799970469898</v>
      </c>
      <c r="P85" s="80" t="n">
        <v>0.256000147650511</v>
      </c>
      <c r="Q85" s="80" t="n">
        <v>1.3979993355727</v>
      </c>
      <c r="R85" s="80" t="n">
        <v>2.13699937248533</v>
      </c>
      <c r="S85" s="81" t="s">
        <v>199</v>
      </c>
      <c r="T85" s="81" t="s">
        <v>200</v>
      </c>
      <c r="U85" s="81" t="s">
        <v>201</v>
      </c>
      <c r="V85" s="82"/>
      <c r="W85" s="81" t="s">
        <v>202</v>
      </c>
      <c r="X85" s="81" t="n">
        <v>0</v>
      </c>
      <c r="Y85" s="81" t="n">
        <v>0</v>
      </c>
      <c r="Z85" s="81" t="n">
        <v>0</v>
      </c>
      <c r="AA85" s="81" t="s">
        <v>211</v>
      </c>
      <c r="AB85" s="81" t="s">
        <v>44</v>
      </c>
      <c r="AC85" s="83"/>
    </row>
    <row r="86" customFormat="false" ht="15" hidden="false" customHeight="false" outlineLevel="0" collapsed="false">
      <c r="C86" s="69" t="n">
        <v>81</v>
      </c>
      <c r="D86" s="78" t="s">
        <v>422</v>
      </c>
      <c r="E86" s="78" t="s">
        <v>218</v>
      </c>
      <c r="F86" s="78" t="s">
        <v>423</v>
      </c>
      <c r="G86" s="79" t="n">
        <v>230</v>
      </c>
      <c r="H86" s="80" t="n">
        <v>10.91</v>
      </c>
      <c r="I86" s="80" t="n">
        <v>809</v>
      </c>
      <c r="J86" s="80" t="n">
        <v>809</v>
      </c>
      <c r="K86" s="80" t="n">
        <v>1051.7</v>
      </c>
      <c r="L86" s="81" t="s">
        <v>198</v>
      </c>
      <c r="M86" s="80" t="n">
        <v>0.0724014665444546</v>
      </c>
      <c r="N86" s="80" t="n">
        <v>0.534399633363886</v>
      </c>
      <c r="O86" s="80" t="n">
        <v>3.21639780018332</v>
      </c>
      <c r="P86" s="80" t="n">
        <v>0.419495875343721</v>
      </c>
      <c r="Q86" s="80" t="n">
        <v>1.34399633363886</v>
      </c>
      <c r="R86" s="80" t="n">
        <v>2.18910174152154</v>
      </c>
      <c r="S86" s="81" t="s">
        <v>199</v>
      </c>
      <c r="T86" s="81" t="s">
        <v>200</v>
      </c>
      <c r="U86" s="81" t="s">
        <v>201</v>
      </c>
      <c r="V86" s="82"/>
      <c r="W86" s="81" t="s">
        <v>202</v>
      </c>
      <c r="X86" s="81" t="n">
        <v>0</v>
      </c>
      <c r="Y86" s="81" t="n">
        <v>0</v>
      </c>
      <c r="Z86" s="81" t="n">
        <v>0</v>
      </c>
      <c r="AA86" s="81" t="s">
        <v>211</v>
      </c>
      <c r="AB86" s="81" t="s">
        <v>44</v>
      </c>
      <c r="AC86" s="83"/>
    </row>
    <row r="87" customFormat="false" ht="15" hidden="false" customHeight="false" outlineLevel="0" collapsed="false">
      <c r="C87" s="76" t="n">
        <v>82</v>
      </c>
      <c r="D87" s="78" t="s">
        <v>424</v>
      </c>
      <c r="E87" s="78" t="s">
        <v>425</v>
      </c>
      <c r="F87" s="78" t="s">
        <v>426</v>
      </c>
      <c r="G87" s="79" t="n">
        <v>230</v>
      </c>
      <c r="H87" s="80" t="n">
        <v>12.11</v>
      </c>
      <c r="I87" s="80" t="n">
        <v>837</v>
      </c>
      <c r="J87" s="80" t="n">
        <v>837</v>
      </c>
      <c r="K87" s="80" t="n">
        <v>1088.1</v>
      </c>
      <c r="L87" s="81" t="s">
        <v>198</v>
      </c>
      <c r="M87" s="80" t="n">
        <v>0.0714037985136251</v>
      </c>
      <c r="N87" s="80" t="n">
        <v>0.512303881090008</v>
      </c>
      <c r="O87" s="80" t="n">
        <v>3.22880264244426</v>
      </c>
      <c r="P87" s="80" t="n">
        <v>0.393699421965318</v>
      </c>
      <c r="Q87" s="80" t="n">
        <v>1.35900082576383</v>
      </c>
      <c r="R87" s="80" t="n">
        <v>2.18420313790256</v>
      </c>
      <c r="S87" s="81" t="s">
        <v>199</v>
      </c>
      <c r="T87" s="81" t="s">
        <v>200</v>
      </c>
      <c r="U87" s="81" t="s">
        <v>201</v>
      </c>
      <c r="V87" s="82"/>
      <c r="W87" s="81" t="s">
        <v>202</v>
      </c>
      <c r="X87" s="81" t="n">
        <v>0</v>
      </c>
      <c r="Y87" s="81" t="n">
        <v>0</v>
      </c>
      <c r="Z87" s="81" t="n">
        <v>0</v>
      </c>
      <c r="AA87" s="81" t="s">
        <v>211</v>
      </c>
      <c r="AB87" s="81" t="s">
        <v>44</v>
      </c>
      <c r="AC87" s="83"/>
    </row>
    <row r="88" customFormat="false" ht="15" hidden="false" customHeight="false" outlineLevel="0" collapsed="false">
      <c r="C88" s="69" t="n">
        <v>83</v>
      </c>
      <c r="D88" s="78" t="s">
        <v>427</v>
      </c>
      <c r="E88" s="78" t="s">
        <v>428</v>
      </c>
      <c r="F88" s="78" t="s">
        <v>429</v>
      </c>
      <c r="G88" s="79" t="n">
        <v>230</v>
      </c>
      <c r="H88" s="80" t="n">
        <v>45.438</v>
      </c>
      <c r="I88" s="80" t="n">
        <v>900</v>
      </c>
      <c r="J88" s="80" t="n">
        <v>900</v>
      </c>
      <c r="K88" s="80" t="n">
        <v>900</v>
      </c>
      <c r="L88" s="81" t="s">
        <v>198</v>
      </c>
      <c r="M88" s="80" t="n">
        <v>0.0801003565297768</v>
      </c>
      <c r="N88" s="80" t="n">
        <v>0.49109996038558</v>
      </c>
      <c r="O88" s="80" t="n">
        <v>3.33799903164752</v>
      </c>
      <c r="P88" s="80" t="n">
        <v>0.255999383775694</v>
      </c>
      <c r="Q88" s="80" t="n">
        <v>1.39799947180774</v>
      </c>
      <c r="R88" s="80" t="n">
        <v>2.13699986795193</v>
      </c>
      <c r="S88" s="81" t="s">
        <v>199</v>
      </c>
      <c r="T88" s="81" t="s">
        <v>200</v>
      </c>
      <c r="U88" s="81" t="s">
        <v>201</v>
      </c>
      <c r="V88" s="82"/>
      <c r="W88" s="81" t="s">
        <v>202</v>
      </c>
      <c r="X88" s="81" t="n">
        <v>0.450000000069849</v>
      </c>
      <c r="Y88" s="81" t="n">
        <v>0.450000000069849</v>
      </c>
      <c r="Z88" s="81" t="n">
        <v>1</v>
      </c>
      <c r="AA88" s="81" t="s">
        <v>211</v>
      </c>
      <c r="AB88" s="81" t="s">
        <v>44</v>
      </c>
      <c r="AC88" s="83"/>
    </row>
    <row r="89" customFormat="false" ht="15" hidden="false" customHeight="false" outlineLevel="0" collapsed="false">
      <c r="C89" s="76" t="n">
        <v>84</v>
      </c>
      <c r="D89" s="78" t="s">
        <v>430</v>
      </c>
      <c r="E89" s="78" t="s">
        <v>431</v>
      </c>
      <c r="F89" s="78" t="s">
        <v>432</v>
      </c>
      <c r="G89" s="79" t="n">
        <v>230</v>
      </c>
      <c r="H89" s="80" t="n">
        <v>23.45</v>
      </c>
      <c r="I89" s="80" t="n">
        <v>900</v>
      </c>
      <c r="J89" s="80" t="n">
        <v>900</v>
      </c>
      <c r="K89" s="80" t="n">
        <v>900</v>
      </c>
      <c r="L89" s="81" t="s">
        <v>198</v>
      </c>
      <c r="M89" s="80" t="n">
        <v>0.0788017057569296</v>
      </c>
      <c r="N89" s="80" t="n">
        <v>0.492498933901919</v>
      </c>
      <c r="O89" s="80" t="n">
        <v>3.314</v>
      </c>
      <c r="P89" s="80" t="n">
        <v>0.254899786780384</v>
      </c>
      <c r="Q89" s="80" t="n">
        <v>1.5566012793177</v>
      </c>
      <c r="R89" s="80" t="n">
        <v>2.74499786780384</v>
      </c>
      <c r="S89" s="81" t="s">
        <v>199</v>
      </c>
      <c r="T89" s="81" t="s">
        <v>200</v>
      </c>
      <c r="U89" s="81" t="s">
        <v>201</v>
      </c>
      <c r="V89" s="82"/>
      <c r="W89" s="81" t="s">
        <v>202</v>
      </c>
      <c r="X89" s="81" t="n">
        <v>0.445833333389601</v>
      </c>
      <c r="Y89" s="81" t="n">
        <v>1.7833333335584</v>
      </c>
      <c r="Z89" s="81" t="n">
        <v>4</v>
      </c>
      <c r="AA89" s="81" t="s">
        <v>211</v>
      </c>
      <c r="AB89" s="81" t="s">
        <v>44</v>
      </c>
      <c r="AC89" s="83"/>
    </row>
    <row r="90" customFormat="false" ht="15" hidden="false" customHeight="false" outlineLevel="0" collapsed="false">
      <c r="C90" s="69" t="n">
        <v>85</v>
      </c>
      <c r="D90" s="78" t="s">
        <v>433</v>
      </c>
      <c r="E90" s="78" t="s">
        <v>434</v>
      </c>
      <c r="F90" s="78" t="s">
        <v>435</v>
      </c>
      <c r="G90" s="79" t="n">
        <v>230</v>
      </c>
      <c r="H90" s="80" t="n">
        <v>30.6</v>
      </c>
      <c r="I90" s="80" t="n">
        <v>836</v>
      </c>
      <c r="J90" s="80" t="n">
        <v>836</v>
      </c>
      <c r="K90" s="80" t="n">
        <v>1086.8</v>
      </c>
      <c r="L90" s="81" t="s">
        <v>198</v>
      </c>
      <c r="M90" s="80" t="n">
        <v>0.0614934640522876</v>
      </c>
      <c r="N90" s="80" t="n">
        <v>0.483369281045752</v>
      </c>
      <c r="O90" s="80" t="n">
        <v>3.396</v>
      </c>
      <c r="P90" s="80" t="n">
        <v>0.278</v>
      </c>
      <c r="Q90" s="80" t="n">
        <v>1.197</v>
      </c>
      <c r="R90" s="80" t="n">
        <v>2.198</v>
      </c>
      <c r="S90" s="81" t="s">
        <v>199</v>
      </c>
      <c r="T90" s="81" t="s">
        <v>200</v>
      </c>
      <c r="U90" s="81" t="s">
        <v>201</v>
      </c>
      <c r="V90" s="82"/>
      <c r="W90" s="81" t="s">
        <v>202</v>
      </c>
      <c r="X90" s="81" t="n">
        <v>0</v>
      </c>
      <c r="Y90" s="81" t="n">
        <v>0</v>
      </c>
      <c r="Z90" s="81" t="n">
        <v>0</v>
      </c>
      <c r="AA90" s="81" t="s">
        <v>203</v>
      </c>
      <c r="AB90" s="81" t="s">
        <v>44</v>
      </c>
      <c r="AC90" s="83"/>
    </row>
    <row r="91" customFormat="false" ht="15" hidden="false" customHeight="false" outlineLevel="0" collapsed="false">
      <c r="C91" s="76" t="n">
        <v>86</v>
      </c>
      <c r="D91" s="78" t="s">
        <v>436</v>
      </c>
      <c r="E91" s="78" t="s">
        <v>437</v>
      </c>
      <c r="F91" s="78" t="s">
        <v>438</v>
      </c>
      <c r="G91" s="79" t="n">
        <v>230</v>
      </c>
      <c r="H91" s="80" t="n">
        <v>119.43</v>
      </c>
      <c r="I91" s="80" t="n">
        <v>887</v>
      </c>
      <c r="J91" s="80" t="n">
        <v>887</v>
      </c>
      <c r="K91" s="80" t="n">
        <v>1153.1</v>
      </c>
      <c r="L91" s="81" t="s">
        <v>198</v>
      </c>
      <c r="M91" s="80" t="n">
        <v>0.0648999413882609</v>
      </c>
      <c r="N91" s="80" t="n">
        <v>0.516500041865528</v>
      </c>
      <c r="O91" s="80" t="n">
        <v>3.30150046052081</v>
      </c>
      <c r="P91" s="80" t="n">
        <v>0.29370007535795</v>
      </c>
      <c r="Q91" s="80" t="n">
        <v>1.0655002930587</v>
      </c>
      <c r="R91" s="80" t="n">
        <v>2.20200033492422</v>
      </c>
      <c r="S91" s="81" t="s">
        <v>199</v>
      </c>
      <c r="T91" s="81" t="s">
        <v>200</v>
      </c>
      <c r="U91" s="81" t="s">
        <v>201</v>
      </c>
      <c r="V91" s="82"/>
      <c r="W91" s="81" t="s">
        <v>202</v>
      </c>
      <c r="X91" s="81" t="n">
        <v>0</v>
      </c>
      <c r="Y91" s="81" t="n">
        <v>0</v>
      </c>
      <c r="Z91" s="81" t="n">
        <v>0</v>
      </c>
      <c r="AA91" s="81" t="s">
        <v>203</v>
      </c>
      <c r="AB91" s="81" t="s">
        <v>44</v>
      </c>
      <c r="AC91" s="83"/>
    </row>
    <row r="92" customFormat="false" ht="15" hidden="false" customHeight="false" outlineLevel="0" collapsed="false">
      <c r="C92" s="69" t="n">
        <v>87</v>
      </c>
      <c r="D92" s="78" t="s">
        <v>439</v>
      </c>
      <c r="E92" s="78" t="s">
        <v>440</v>
      </c>
      <c r="F92" s="78" t="s">
        <v>441</v>
      </c>
      <c r="G92" s="79" t="n">
        <v>230</v>
      </c>
      <c r="H92" s="80" t="n">
        <v>101.46</v>
      </c>
      <c r="I92" s="80" t="n">
        <v>820</v>
      </c>
      <c r="J92" s="80" t="n">
        <v>820</v>
      </c>
      <c r="K92" s="80" t="n">
        <v>1066</v>
      </c>
      <c r="L92" s="81" t="s">
        <v>198</v>
      </c>
      <c r="M92" s="80" t="n">
        <v>0.0678001182732111</v>
      </c>
      <c r="N92" s="80" t="n">
        <v>0.531099940863394</v>
      </c>
      <c r="O92" s="80" t="n">
        <v>3.23520007884881</v>
      </c>
      <c r="P92" s="80" t="n">
        <v>0.41430021683422</v>
      </c>
      <c r="Q92" s="80" t="n">
        <v>1.33979992115119</v>
      </c>
      <c r="R92" s="80" t="n">
        <v>2.19749950719495</v>
      </c>
      <c r="S92" s="81" t="s">
        <v>199</v>
      </c>
      <c r="T92" s="81" t="s">
        <v>200</v>
      </c>
      <c r="U92" s="81" t="s">
        <v>201</v>
      </c>
      <c r="V92" s="82"/>
      <c r="W92" s="81" t="s">
        <v>202</v>
      </c>
      <c r="X92" s="81" t="n">
        <v>0</v>
      </c>
      <c r="Y92" s="81" t="n">
        <v>0</v>
      </c>
      <c r="Z92" s="81" t="n">
        <v>0</v>
      </c>
      <c r="AA92" s="81" t="s">
        <v>203</v>
      </c>
      <c r="AB92" s="81" t="s">
        <v>44</v>
      </c>
      <c r="AC92" s="83"/>
    </row>
    <row r="93" customFormat="false" ht="15" hidden="false" customHeight="false" outlineLevel="0" collapsed="false">
      <c r="C93" s="76" t="n">
        <v>88</v>
      </c>
      <c r="D93" s="78" t="s">
        <v>442</v>
      </c>
      <c r="E93" s="78" t="s">
        <v>443</v>
      </c>
      <c r="F93" s="78" t="s">
        <v>444</v>
      </c>
      <c r="G93" s="79" t="n">
        <v>230</v>
      </c>
      <c r="H93" s="80" t="n">
        <v>95.24</v>
      </c>
      <c r="I93" s="80" t="n">
        <v>809</v>
      </c>
      <c r="J93" s="80" t="n">
        <v>809</v>
      </c>
      <c r="K93" s="80" t="n">
        <v>1051.7</v>
      </c>
      <c r="L93" s="81" t="s">
        <v>198</v>
      </c>
      <c r="M93" s="80" t="n">
        <v>0.0525</v>
      </c>
      <c r="N93" s="80" t="n">
        <v>0.47469970600588</v>
      </c>
      <c r="O93" s="80" t="n">
        <v>3.43139962200756</v>
      </c>
      <c r="P93" s="80" t="n">
        <v>0.2090004199916</v>
      </c>
      <c r="Q93" s="80" t="n">
        <v>1.02940046199076</v>
      </c>
      <c r="R93" s="80" t="n">
        <v>2.2</v>
      </c>
      <c r="S93" s="81" t="s">
        <v>199</v>
      </c>
      <c r="T93" s="81" t="s">
        <v>200</v>
      </c>
      <c r="U93" s="81" t="s">
        <v>201</v>
      </c>
      <c r="V93" s="82"/>
      <c r="W93" s="81" t="s">
        <v>202</v>
      </c>
      <c r="X93" s="81" t="n">
        <v>0</v>
      </c>
      <c r="Y93" s="81" t="n">
        <v>0</v>
      </c>
      <c r="Z93" s="81" t="n">
        <v>0</v>
      </c>
      <c r="AA93" s="81" t="s">
        <v>211</v>
      </c>
      <c r="AB93" s="81" t="s">
        <v>44</v>
      </c>
      <c r="AC93" s="83"/>
    </row>
    <row r="94" customFormat="false" ht="15" hidden="false" customHeight="false" outlineLevel="0" collapsed="false">
      <c r="C94" s="69" t="n">
        <v>89</v>
      </c>
      <c r="D94" s="78" t="s">
        <v>445</v>
      </c>
      <c r="E94" s="78" t="s">
        <v>446</v>
      </c>
      <c r="F94" s="78" t="s">
        <v>446</v>
      </c>
      <c r="G94" s="79" t="n">
        <v>230</v>
      </c>
      <c r="H94" s="80" t="n">
        <v>79.45</v>
      </c>
      <c r="I94" s="80" t="n">
        <v>800</v>
      </c>
      <c r="J94" s="80" t="n">
        <v>800</v>
      </c>
      <c r="K94" s="80" t="n">
        <v>1129.6</v>
      </c>
      <c r="L94" s="81" t="s">
        <v>198</v>
      </c>
      <c r="M94" s="80" t="n">
        <v>0.0537998741346759</v>
      </c>
      <c r="N94" s="80" t="n">
        <v>0.516200125865324</v>
      </c>
      <c r="O94" s="80" t="n">
        <v>3.2908005034613</v>
      </c>
      <c r="P94" s="80" t="n">
        <v>0.285100062932662</v>
      </c>
      <c r="Q94" s="80" t="n">
        <v>1.04130018879799</v>
      </c>
      <c r="R94" s="80" t="n">
        <v>2.22049968533669</v>
      </c>
      <c r="S94" s="81" t="s">
        <v>199</v>
      </c>
      <c r="T94" s="81" t="s">
        <v>200</v>
      </c>
      <c r="U94" s="81" t="s">
        <v>201</v>
      </c>
      <c r="V94" s="82"/>
      <c r="W94" s="81" t="s">
        <v>202</v>
      </c>
      <c r="X94" s="81" t="n">
        <v>0</v>
      </c>
      <c r="Y94" s="81" t="n">
        <v>0</v>
      </c>
      <c r="Z94" s="81" t="n">
        <v>0</v>
      </c>
      <c r="AA94" s="81" t="s">
        <v>203</v>
      </c>
      <c r="AB94" s="81" t="s">
        <v>44</v>
      </c>
      <c r="AC94" s="83"/>
    </row>
    <row r="95" customFormat="false" ht="15" hidden="false" customHeight="false" outlineLevel="0" collapsed="false">
      <c r="C95" s="76" t="n">
        <v>90</v>
      </c>
      <c r="D95" s="78" t="s">
        <v>447</v>
      </c>
      <c r="E95" s="78" t="s">
        <v>448</v>
      </c>
      <c r="F95" s="78" t="s">
        <v>448</v>
      </c>
      <c r="G95" s="79" t="n">
        <v>115</v>
      </c>
      <c r="H95" s="80" t="n">
        <v>36.493</v>
      </c>
      <c r="I95" s="80" t="n">
        <v>530</v>
      </c>
      <c r="J95" s="80" t="n">
        <v>530</v>
      </c>
      <c r="K95" s="80" t="n">
        <v>690.06</v>
      </c>
      <c r="L95" s="81" t="s">
        <v>198</v>
      </c>
      <c r="M95" s="80" t="n">
        <v>0.19319869564026</v>
      </c>
      <c r="N95" s="80" t="n">
        <v>0.412799715013838</v>
      </c>
      <c r="O95" s="80" t="n">
        <v>2.74420025758365</v>
      </c>
      <c r="P95" s="80" t="n">
        <v>0.340700956347793</v>
      </c>
      <c r="Q95" s="80" t="n">
        <v>1.25639985750692</v>
      </c>
      <c r="R95" s="80" t="n">
        <v>2.01299975337736</v>
      </c>
      <c r="S95" s="81" t="s">
        <v>210</v>
      </c>
      <c r="T95" s="81" t="s">
        <v>200</v>
      </c>
      <c r="U95" s="81" t="s">
        <v>201</v>
      </c>
      <c r="V95" s="82"/>
      <c r="W95" s="81" t="s">
        <v>202</v>
      </c>
      <c r="X95" s="81" t="n">
        <v>0.0541666667122627</v>
      </c>
      <c r="Y95" s="81" t="n">
        <v>0.216666666849051</v>
      </c>
      <c r="Z95" s="81" t="n">
        <v>4</v>
      </c>
      <c r="AA95" s="73" t="s">
        <v>211</v>
      </c>
      <c r="AB95" s="81" t="s">
        <v>47</v>
      </c>
      <c r="AC95" s="83"/>
    </row>
    <row r="96" customFormat="false" ht="15" hidden="false" customHeight="false" outlineLevel="0" collapsed="false">
      <c r="C96" s="69" t="n">
        <v>91</v>
      </c>
      <c r="D96" s="78" t="s">
        <v>449</v>
      </c>
      <c r="E96" s="78" t="s">
        <v>450</v>
      </c>
      <c r="F96" s="78" t="s">
        <v>451</v>
      </c>
      <c r="G96" s="79" t="n">
        <v>115</v>
      </c>
      <c r="H96" s="80" t="n">
        <v>65.23</v>
      </c>
      <c r="I96" s="80" t="n">
        <v>460</v>
      </c>
      <c r="J96" s="80" t="n">
        <v>460</v>
      </c>
      <c r="K96" s="80" t="n">
        <v>475.18</v>
      </c>
      <c r="L96" s="81" t="s">
        <v>198</v>
      </c>
      <c r="M96" s="80" t="n">
        <v>0.195799478767438</v>
      </c>
      <c r="N96" s="80" t="n">
        <v>0.501700137973325</v>
      </c>
      <c r="O96" s="80" t="n">
        <v>3.27200061321478</v>
      </c>
      <c r="P96" s="80" t="n">
        <v>0.501399662731872</v>
      </c>
      <c r="Q96" s="80" t="n">
        <v>1.51439981603557</v>
      </c>
      <c r="R96" s="80" t="n">
        <v>1.83600030660739</v>
      </c>
      <c r="S96" s="81" t="s">
        <v>210</v>
      </c>
      <c r="T96" s="81" t="s">
        <v>200</v>
      </c>
      <c r="U96" s="81" t="s">
        <v>201</v>
      </c>
      <c r="V96" s="82"/>
      <c r="W96" s="81" t="s">
        <v>202</v>
      </c>
      <c r="X96" s="81" t="n">
        <v>0.3</v>
      </c>
      <c r="Y96" s="81" t="n">
        <v>0.3</v>
      </c>
      <c r="Z96" s="81" t="n">
        <v>1</v>
      </c>
      <c r="AA96" s="73" t="s">
        <v>211</v>
      </c>
      <c r="AB96" s="81" t="s">
        <v>47</v>
      </c>
      <c r="AC96" s="83"/>
    </row>
    <row r="97" customFormat="false" ht="15" hidden="false" customHeight="false" outlineLevel="0" collapsed="false">
      <c r="C97" s="76" t="n">
        <v>92</v>
      </c>
      <c r="D97" s="78" t="s">
        <v>452</v>
      </c>
      <c r="E97" s="78" t="s">
        <v>453</v>
      </c>
      <c r="F97" s="78" t="s">
        <v>454</v>
      </c>
      <c r="G97" s="79" t="n">
        <v>115</v>
      </c>
      <c r="H97" s="80" t="n">
        <v>38.27</v>
      </c>
      <c r="I97" s="80" t="n">
        <v>458</v>
      </c>
      <c r="J97" s="80" t="n">
        <v>458</v>
      </c>
      <c r="K97" s="80" t="n">
        <v>595.858</v>
      </c>
      <c r="L97" s="81" t="s">
        <v>198</v>
      </c>
      <c r="M97" s="80" t="n">
        <v>0.212900444212177</v>
      </c>
      <c r="N97" s="80" t="n">
        <v>0.517099555787823</v>
      </c>
      <c r="O97" s="80" t="n">
        <v>3.15220015678077</v>
      </c>
      <c r="P97" s="80" t="n">
        <v>0.389900705513457</v>
      </c>
      <c r="Q97" s="80" t="n">
        <v>1.62719885027437</v>
      </c>
      <c r="R97" s="80" t="n">
        <v>1.8015991638359</v>
      </c>
      <c r="S97" s="81" t="s">
        <v>210</v>
      </c>
      <c r="T97" s="81" t="s">
        <v>200</v>
      </c>
      <c r="U97" s="81" t="s">
        <v>201</v>
      </c>
      <c r="V97" s="82"/>
      <c r="W97" s="81" t="s">
        <v>202</v>
      </c>
      <c r="X97" s="81" t="n">
        <v>0</v>
      </c>
      <c r="Y97" s="81" t="n">
        <v>0</v>
      </c>
      <c r="Z97" s="81" t="n">
        <v>0</v>
      </c>
      <c r="AA97" s="73" t="s">
        <v>211</v>
      </c>
      <c r="AB97" s="81" t="s">
        <v>47</v>
      </c>
      <c r="AC97" s="83"/>
    </row>
    <row r="98" customFormat="false" ht="15" hidden="false" customHeight="false" outlineLevel="0" collapsed="false">
      <c r="C98" s="69" t="n">
        <v>93</v>
      </c>
      <c r="D98" s="78" t="s">
        <v>455</v>
      </c>
      <c r="E98" s="78" t="s">
        <v>456</v>
      </c>
      <c r="F98" s="78" t="s">
        <v>456</v>
      </c>
      <c r="G98" s="79" t="n">
        <v>115</v>
      </c>
      <c r="H98" s="80" t="n">
        <v>45</v>
      </c>
      <c r="I98" s="80" t="n">
        <v>400</v>
      </c>
      <c r="J98" s="80" t="n">
        <v>400</v>
      </c>
      <c r="K98" s="80" t="n">
        <v>456.8</v>
      </c>
      <c r="L98" s="81" t="s">
        <v>198</v>
      </c>
      <c r="M98" s="80" t="n">
        <v>0.1958</v>
      </c>
      <c r="N98" s="80" t="n">
        <v>0.5017</v>
      </c>
      <c r="O98" s="80" t="n">
        <v>3.272</v>
      </c>
      <c r="P98" s="80" t="n">
        <v>0.5014</v>
      </c>
      <c r="Q98" s="80" t="n">
        <v>1.5144</v>
      </c>
      <c r="R98" s="80" t="n">
        <v>1.836</v>
      </c>
      <c r="S98" s="81" t="s">
        <v>210</v>
      </c>
      <c r="T98" s="81" t="s">
        <v>200</v>
      </c>
      <c r="U98" s="81" t="s">
        <v>201</v>
      </c>
      <c r="V98" s="82"/>
      <c r="W98" s="81" t="s">
        <v>202</v>
      </c>
      <c r="X98" s="81" t="n">
        <v>0</v>
      </c>
      <c r="Y98" s="81" t="n">
        <v>0</v>
      </c>
      <c r="Z98" s="81" t="n">
        <v>0</v>
      </c>
      <c r="AA98" s="81" t="s">
        <v>457</v>
      </c>
      <c r="AB98" s="81" t="s">
        <v>47</v>
      </c>
      <c r="AC98" s="83"/>
    </row>
    <row r="99" customFormat="false" ht="15" hidden="false" customHeight="false" outlineLevel="0" collapsed="false">
      <c r="C99" s="76" t="n">
        <v>94</v>
      </c>
      <c r="D99" s="78" t="s">
        <v>458</v>
      </c>
      <c r="E99" s="78" t="s">
        <v>459</v>
      </c>
      <c r="F99" s="78" t="s">
        <v>454</v>
      </c>
      <c r="G99" s="79" t="n">
        <v>115</v>
      </c>
      <c r="H99" s="80" t="n">
        <v>23.9</v>
      </c>
      <c r="I99" s="80" t="n">
        <v>458</v>
      </c>
      <c r="J99" s="80" t="n">
        <v>458</v>
      </c>
      <c r="K99" s="80" t="n">
        <v>595.858</v>
      </c>
      <c r="L99" s="81" t="s">
        <v>198</v>
      </c>
      <c r="M99" s="80" t="n">
        <v>0.212899581589958</v>
      </c>
      <c r="N99" s="80" t="n">
        <v>0.517100418410042</v>
      </c>
      <c r="O99" s="80" t="n">
        <v>3.15220083682008</v>
      </c>
      <c r="P99" s="80" t="n">
        <v>0.389899581589958</v>
      </c>
      <c r="Q99" s="80" t="n">
        <v>1.62720083682008</v>
      </c>
      <c r="R99" s="80" t="n">
        <v>1.80159832635983</v>
      </c>
      <c r="S99" s="81" t="s">
        <v>210</v>
      </c>
      <c r="T99" s="81" t="s">
        <v>200</v>
      </c>
      <c r="U99" s="81" t="s">
        <v>201</v>
      </c>
      <c r="V99" s="82"/>
      <c r="W99" s="81" t="s">
        <v>202</v>
      </c>
      <c r="X99" s="81" t="n">
        <v>0</v>
      </c>
      <c r="Y99" s="81" t="n">
        <v>0</v>
      </c>
      <c r="Z99" s="81" t="n">
        <v>0</v>
      </c>
      <c r="AA99" s="73" t="s">
        <v>211</v>
      </c>
      <c r="AB99" s="81" t="s">
        <v>47</v>
      </c>
      <c r="AC99" s="83"/>
    </row>
    <row r="100" customFormat="false" ht="15" hidden="false" customHeight="false" outlineLevel="0" collapsed="false">
      <c r="C100" s="69" t="n">
        <v>95</v>
      </c>
      <c r="D100" s="78" t="s">
        <v>460</v>
      </c>
      <c r="E100" s="78" t="s">
        <v>461</v>
      </c>
      <c r="F100" s="78" t="s">
        <v>461</v>
      </c>
      <c r="G100" s="79" t="n">
        <v>115</v>
      </c>
      <c r="H100" s="80" t="n">
        <v>33.11</v>
      </c>
      <c r="I100" s="80" t="n">
        <v>589</v>
      </c>
      <c r="J100" s="80" t="n">
        <v>589</v>
      </c>
      <c r="K100" s="80" t="n">
        <v>719.758</v>
      </c>
      <c r="L100" s="81" t="s">
        <v>198</v>
      </c>
      <c r="M100" s="80" t="n">
        <v>0.162401087284808</v>
      </c>
      <c r="N100" s="80" t="n">
        <v>0.412600422832981</v>
      </c>
      <c r="O100" s="80" t="n">
        <v>2.73900030202356</v>
      </c>
      <c r="P100" s="80" t="n">
        <v>0.309800664451827</v>
      </c>
      <c r="Q100" s="80" t="n">
        <v>1.23289942615524</v>
      </c>
      <c r="R100" s="80" t="n">
        <v>1.31</v>
      </c>
      <c r="S100" s="81" t="s">
        <v>210</v>
      </c>
      <c r="T100" s="81" t="s">
        <v>200</v>
      </c>
      <c r="U100" s="81" t="s">
        <v>201</v>
      </c>
      <c r="V100" s="82"/>
      <c r="W100" s="81" t="s">
        <v>202</v>
      </c>
      <c r="X100" s="81" t="n">
        <v>0</v>
      </c>
      <c r="Y100" s="81" t="n">
        <v>0</v>
      </c>
      <c r="Z100" s="81" t="n">
        <v>0</v>
      </c>
      <c r="AA100" s="73" t="s">
        <v>211</v>
      </c>
      <c r="AB100" s="81" t="s">
        <v>47</v>
      </c>
      <c r="AC100" s="83"/>
    </row>
    <row r="101" customFormat="false" ht="15" hidden="false" customHeight="false" outlineLevel="0" collapsed="false">
      <c r="C101" s="76" t="n">
        <v>96</v>
      </c>
      <c r="D101" s="78" t="s">
        <v>462</v>
      </c>
      <c r="E101" s="78" t="s">
        <v>228</v>
      </c>
      <c r="F101" s="78" t="s">
        <v>463</v>
      </c>
      <c r="G101" s="79" t="n">
        <v>115</v>
      </c>
      <c r="H101" s="80" t="n">
        <v>11.812</v>
      </c>
      <c r="I101" s="80" t="n">
        <v>592</v>
      </c>
      <c r="J101" s="80" t="n">
        <v>592</v>
      </c>
      <c r="K101" s="80" t="n">
        <v>719.872</v>
      </c>
      <c r="L101" s="81" t="s">
        <v>198</v>
      </c>
      <c r="M101" s="80" t="n">
        <v>0.065298002031832</v>
      </c>
      <c r="N101" s="80" t="n">
        <v>0.458601422282425</v>
      </c>
      <c r="O101" s="80" t="n">
        <v>3.63559939045039</v>
      </c>
      <c r="P101" s="80" t="n">
        <v>0.515298002031832</v>
      </c>
      <c r="Q101" s="80" t="n">
        <v>1.24939891635625</v>
      </c>
      <c r="R101" s="80" t="n">
        <v>2.4</v>
      </c>
      <c r="S101" s="81" t="s">
        <v>210</v>
      </c>
      <c r="T101" s="81" t="s">
        <v>200</v>
      </c>
      <c r="U101" s="81" t="s">
        <v>201</v>
      </c>
      <c r="V101" s="82"/>
      <c r="W101" s="81" t="s">
        <v>202</v>
      </c>
      <c r="X101" s="81" t="n">
        <v>0.216666666709352</v>
      </c>
      <c r="Y101" s="81" t="n">
        <v>1.08333333354676</v>
      </c>
      <c r="Z101" s="81" t="n">
        <v>5</v>
      </c>
      <c r="AA101" s="73" t="s">
        <v>211</v>
      </c>
      <c r="AB101" s="81" t="s">
        <v>47</v>
      </c>
      <c r="AC101" s="83"/>
    </row>
    <row r="102" customFormat="false" ht="15" hidden="false" customHeight="false" outlineLevel="0" collapsed="false">
      <c r="C102" s="69" t="n">
        <v>97</v>
      </c>
      <c r="D102" s="78" t="s">
        <v>464</v>
      </c>
      <c r="E102" s="78" t="s">
        <v>465</v>
      </c>
      <c r="F102" s="78" t="s">
        <v>465</v>
      </c>
      <c r="G102" s="79" t="n">
        <v>115</v>
      </c>
      <c r="H102" s="80" t="n">
        <v>80.16</v>
      </c>
      <c r="I102" s="80" t="n">
        <v>530</v>
      </c>
      <c r="J102" s="80" t="n">
        <v>530</v>
      </c>
      <c r="K102" s="80" t="n">
        <v>690.06</v>
      </c>
      <c r="L102" s="81" t="s">
        <v>198</v>
      </c>
      <c r="M102" s="80" t="n">
        <v>0.179300149700599</v>
      </c>
      <c r="N102" s="80" t="n">
        <v>0.478500499001996</v>
      </c>
      <c r="O102" s="80" t="n">
        <v>3.05960079840319</v>
      </c>
      <c r="P102" s="80" t="n">
        <v>0.868000249500998</v>
      </c>
      <c r="Q102" s="80" t="n">
        <v>1.318000249501</v>
      </c>
      <c r="R102" s="80" t="n">
        <v>2.0886002994012</v>
      </c>
      <c r="S102" s="81" t="s">
        <v>210</v>
      </c>
      <c r="T102" s="81" t="s">
        <v>200</v>
      </c>
      <c r="U102" s="81" t="s">
        <v>201</v>
      </c>
      <c r="V102" s="82"/>
      <c r="W102" s="81" t="s">
        <v>202</v>
      </c>
      <c r="X102" s="81" t="n">
        <v>0.0266666666138917</v>
      </c>
      <c r="Y102" s="81" t="n">
        <v>0.133333333069459</v>
      </c>
      <c r="Z102" s="81" t="n">
        <v>5</v>
      </c>
      <c r="AA102" s="73" t="s">
        <v>211</v>
      </c>
      <c r="AB102" s="81" t="s">
        <v>47</v>
      </c>
      <c r="AC102" s="83"/>
    </row>
    <row r="103" customFormat="false" ht="15" hidden="false" customHeight="false" outlineLevel="0" collapsed="false">
      <c r="C103" s="76" t="n">
        <v>98</v>
      </c>
      <c r="D103" s="78" t="s">
        <v>466</v>
      </c>
      <c r="E103" s="78" t="s">
        <v>467</v>
      </c>
      <c r="F103" s="78" t="s">
        <v>468</v>
      </c>
      <c r="G103" s="79" t="n">
        <v>115</v>
      </c>
      <c r="H103" s="80" t="n">
        <v>8.61</v>
      </c>
      <c r="I103" s="80" t="n">
        <v>530</v>
      </c>
      <c r="J103" s="80" t="n">
        <v>530</v>
      </c>
      <c r="K103" s="80" t="n">
        <v>599.96</v>
      </c>
      <c r="L103" s="81" t="s">
        <v>198</v>
      </c>
      <c r="M103" s="80" t="n">
        <v>0.186701509872242</v>
      </c>
      <c r="N103" s="80" t="n">
        <v>0.491405342624855</v>
      </c>
      <c r="O103" s="80" t="n">
        <v>3.32199767711963</v>
      </c>
      <c r="P103" s="80" t="n">
        <v>0.363600464576074</v>
      </c>
      <c r="Q103" s="80" t="n">
        <v>1.4949012775842</v>
      </c>
      <c r="R103" s="80" t="n">
        <v>2.01600464576074</v>
      </c>
      <c r="S103" s="81" t="s">
        <v>210</v>
      </c>
      <c r="T103" s="81" t="s">
        <v>200</v>
      </c>
      <c r="U103" s="81" t="s">
        <v>201</v>
      </c>
      <c r="V103" s="82"/>
      <c r="W103" s="81" t="s">
        <v>202</v>
      </c>
      <c r="X103" s="81" t="n">
        <v>0.122222222213168</v>
      </c>
      <c r="Y103" s="81" t="n">
        <v>0.366666666639503</v>
      </c>
      <c r="Z103" s="81" t="n">
        <v>3</v>
      </c>
      <c r="AA103" s="73" t="s">
        <v>211</v>
      </c>
      <c r="AB103" s="81" t="s">
        <v>47</v>
      </c>
      <c r="AC103" s="83"/>
    </row>
    <row r="104" customFormat="false" ht="15" hidden="false" customHeight="false" outlineLevel="0" collapsed="false">
      <c r="C104" s="69" t="n">
        <v>99</v>
      </c>
      <c r="D104" s="78" t="s">
        <v>469</v>
      </c>
      <c r="E104" s="78" t="s">
        <v>470</v>
      </c>
      <c r="F104" s="78" t="s">
        <v>470</v>
      </c>
      <c r="G104" s="79" t="n">
        <v>115</v>
      </c>
      <c r="H104" s="80" t="n">
        <v>10.69</v>
      </c>
      <c r="I104" s="80" t="n">
        <v>530</v>
      </c>
      <c r="J104" s="80" t="n">
        <v>530</v>
      </c>
      <c r="K104" s="80" t="n">
        <v>599.96</v>
      </c>
      <c r="L104" s="81" t="s">
        <v>198</v>
      </c>
      <c r="M104" s="80" t="n">
        <v>0.193302151543499</v>
      </c>
      <c r="N104" s="80" t="n">
        <v>0.491403180542563</v>
      </c>
      <c r="O104" s="80" t="n">
        <v>3.31899906454631</v>
      </c>
      <c r="P104" s="80" t="n">
        <v>0.370299345182414</v>
      </c>
      <c r="Q104" s="80" t="n">
        <v>1.49499532273153</v>
      </c>
      <c r="R104" s="80" t="n">
        <v>2.11699719363892</v>
      </c>
      <c r="S104" s="81" t="s">
        <v>210</v>
      </c>
      <c r="T104" s="81" t="s">
        <v>200</v>
      </c>
      <c r="U104" s="81" t="s">
        <v>201</v>
      </c>
      <c r="V104" s="82"/>
      <c r="W104" s="81" t="s">
        <v>202</v>
      </c>
      <c r="X104" s="81" t="n">
        <v>0.491666666785022</v>
      </c>
      <c r="Y104" s="81" t="n">
        <v>0.983333333570045</v>
      </c>
      <c r="Z104" s="81" t="n">
        <v>2</v>
      </c>
      <c r="AA104" s="73" t="s">
        <v>211</v>
      </c>
      <c r="AB104" s="81" t="s">
        <v>47</v>
      </c>
      <c r="AC104" s="83"/>
    </row>
    <row r="105" customFormat="false" ht="15" hidden="false" customHeight="false" outlineLevel="0" collapsed="false">
      <c r="C105" s="76" t="n">
        <v>100</v>
      </c>
      <c r="D105" s="78" t="s">
        <v>471</v>
      </c>
      <c r="E105" s="78" t="s">
        <v>472</v>
      </c>
      <c r="F105" s="78" t="s">
        <v>472</v>
      </c>
      <c r="G105" s="79" t="n">
        <v>115</v>
      </c>
      <c r="H105" s="80" t="n">
        <v>5.12</v>
      </c>
      <c r="I105" s="80" t="n">
        <v>530</v>
      </c>
      <c r="J105" s="80" t="n">
        <v>530</v>
      </c>
      <c r="K105" s="80" t="n">
        <v>599.96</v>
      </c>
      <c r="L105" s="81" t="s">
        <v>198</v>
      </c>
      <c r="M105" s="80" t="n">
        <v>0.21439453125</v>
      </c>
      <c r="N105" s="80" t="n">
        <v>0.4976953125</v>
      </c>
      <c r="O105" s="80" t="n">
        <v>3.3208984375</v>
      </c>
      <c r="P105" s="80" t="n">
        <v>0.359296875</v>
      </c>
      <c r="Q105" s="80" t="n">
        <v>1.33509765625</v>
      </c>
      <c r="R105" s="80" t="n">
        <v>2.10849609375</v>
      </c>
      <c r="S105" s="81" t="s">
        <v>210</v>
      </c>
      <c r="T105" s="81" t="s">
        <v>200</v>
      </c>
      <c r="U105" s="81" t="s">
        <v>201</v>
      </c>
      <c r="V105" s="82"/>
      <c r="W105" s="81" t="s">
        <v>202</v>
      </c>
      <c r="X105" s="81" t="n">
        <v>0.14285714289872</v>
      </c>
      <c r="Y105" s="81" t="n">
        <v>1.00000000029104</v>
      </c>
      <c r="Z105" s="81" t="n">
        <v>7</v>
      </c>
      <c r="AA105" s="73" t="s">
        <v>211</v>
      </c>
      <c r="AB105" s="81" t="s">
        <v>47</v>
      </c>
      <c r="AC105" s="83"/>
    </row>
    <row r="106" customFormat="false" ht="15" hidden="false" customHeight="false" outlineLevel="0" collapsed="false">
      <c r="C106" s="69" t="n">
        <v>101</v>
      </c>
      <c r="D106" s="78" t="s">
        <v>473</v>
      </c>
      <c r="E106" s="78" t="s">
        <v>474</v>
      </c>
      <c r="F106" s="78" t="s">
        <v>475</v>
      </c>
      <c r="G106" s="79" t="n">
        <v>115</v>
      </c>
      <c r="H106" s="80" t="n">
        <v>11.95</v>
      </c>
      <c r="I106" s="80" t="n">
        <v>525</v>
      </c>
      <c r="J106" s="80" t="n">
        <v>525</v>
      </c>
      <c r="K106" s="80" t="n">
        <v>679.875</v>
      </c>
      <c r="L106" s="81" t="s">
        <v>198</v>
      </c>
      <c r="M106" s="80" t="n">
        <v>0.136476987447699</v>
      </c>
      <c r="N106" s="80" t="n">
        <v>0.500108786610879</v>
      </c>
      <c r="O106" s="80" t="n">
        <v>3.31298744769875</v>
      </c>
      <c r="P106" s="80" t="n">
        <v>0.271355648535565</v>
      </c>
      <c r="Q106" s="80" t="n">
        <v>1.06083682008368</v>
      </c>
      <c r="R106" s="80" t="n">
        <v>2.2870460251046</v>
      </c>
      <c r="S106" s="81" t="s">
        <v>210</v>
      </c>
      <c r="T106" s="81" t="s">
        <v>200</v>
      </c>
      <c r="U106" s="81" t="s">
        <v>201</v>
      </c>
      <c r="V106" s="82"/>
      <c r="W106" s="81" t="s">
        <v>202</v>
      </c>
      <c r="X106" s="81" t="n">
        <v>0.608333333395422</v>
      </c>
      <c r="Y106" s="81" t="n">
        <v>1.21666666679084</v>
      </c>
      <c r="Z106" s="81" t="n">
        <v>2</v>
      </c>
      <c r="AA106" s="73" t="s">
        <v>211</v>
      </c>
      <c r="AB106" s="81" t="s">
        <v>47</v>
      </c>
      <c r="AC106" s="83"/>
    </row>
    <row r="107" customFormat="false" ht="15" hidden="false" customHeight="false" outlineLevel="0" collapsed="false">
      <c r="C107" s="76" t="n">
        <v>102</v>
      </c>
      <c r="D107" s="78" t="s">
        <v>476</v>
      </c>
      <c r="E107" s="78" t="s">
        <v>477</v>
      </c>
      <c r="F107" s="78" t="s">
        <v>477</v>
      </c>
      <c r="G107" s="79" t="n">
        <v>115</v>
      </c>
      <c r="H107" s="80" t="n">
        <v>44.56</v>
      </c>
      <c r="I107" s="80" t="n">
        <v>589</v>
      </c>
      <c r="J107" s="80" t="n">
        <v>589</v>
      </c>
      <c r="K107" s="80" t="n">
        <v>719.758</v>
      </c>
      <c r="L107" s="81" t="s">
        <v>198</v>
      </c>
      <c r="M107" s="80" t="n">
        <v>0.162600987432675</v>
      </c>
      <c r="N107" s="80" t="n">
        <v>0.460300718132855</v>
      </c>
      <c r="O107" s="80" t="n">
        <v>3.54300044883303</v>
      </c>
      <c r="P107" s="80" t="n">
        <v>0.339400807899461</v>
      </c>
      <c r="Q107" s="80" t="n">
        <v>1.52</v>
      </c>
      <c r="R107" s="80" t="n">
        <v>2.13699955116697</v>
      </c>
      <c r="S107" s="81" t="s">
        <v>210</v>
      </c>
      <c r="T107" s="81" t="s">
        <v>200</v>
      </c>
      <c r="U107" s="81" t="s">
        <v>201</v>
      </c>
      <c r="V107" s="82"/>
      <c r="W107" s="81" t="s">
        <v>202</v>
      </c>
      <c r="X107" s="81" t="n">
        <v>0</v>
      </c>
      <c r="Y107" s="81" t="n">
        <v>15.6400000008289</v>
      </c>
      <c r="Z107" s="81" t="n">
        <v>44</v>
      </c>
      <c r="AA107" s="73" t="s">
        <v>211</v>
      </c>
      <c r="AB107" s="81" t="s">
        <v>47</v>
      </c>
      <c r="AC107" s="83"/>
    </row>
    <row r="108" customFormat="false" ht="15" hidden="false" customHeight="false" outlineLevel="0" collapsed="false">
      <c r="C108" s="69" t="n">
        <v>103</v>
      </c>
      <c r="D108" s="78" t="s">
        <v>478</v>
      </c>
      <c r="E108" s="78" t="s">
        <v>479</v>
      </c>
      <c r="F108" s="78" t="s">
        <v>480</v>
      </c>
      <c r="G108" s="79" t="n">
        <v>115</v>
      </c>
      <c r="H108" s="80" t="n">
        <v>12.117</v>
      </c>
      <c r="I108" s="80" t="n">
        <v>530</v>
      </c>
      <c r="J108" s="80" t="n">
        <v>530</v>
      </c>
      <c r="K108" s="80" t="n">
        <v>690.06</v>
      </c>
      <c r="L108" s="81" t="s">
        <v>198</v>
      </c>
      <c r="M108" s="80" t="n">
        <v>0.193199636873814</v>
      </c>
      <c r="N108" s="80" t="n">
        <v>0.412800198068829</v>
      </c>
      <c r="O108" s="80" t="n">
        <v>2.74420236032021</v>
      </c>
      <c r="P108" s="80" t="n">
        <v>0.340703144342659</v>
      </c>
      <c r="Q108" s="80" t="n">
        <v>1.25640009903441</v>
      </c>
      <c r="R108" s="80" t="n">
        <v>2.01299826689775</v>
      </c>
      <c r="S108" s="81" t="s">
        <v>210</v>
      </c>
      <c r="T108" s="81" t="s">
        <v>200</v>
      </c>
      <c r="U108" s="81" t="s">
        <v>201</v>
      </c>
      <c r="V108" s="82"/>
      <c r="W108" s="81" t="s">
        <v>202</v>
      </c>
      <c r="X108" s="81" t="n">
        <v>0.0722222223412246</v>
      </c>
      <c r="Y108" s="81" t="n">
        <v>0.216666667023674</v>
      </c>
      <c r="Z108" s="81" t="n">
        <v>3</v>
      </c>
      <c r="AA108" s="73" t="s">
        <v>211</v>
      </c>
      <c r="AB108" s="81" t="s">
        <v>47</v>
      </c>
      <c r="AC108" s="83"/>
    </row>
    <row r="109" customFormat="false" ht="15" hidden="false" customHeight="false" outlineLevel="0" collapsed="false">
      <c r="C109" s="76" t="n">
        <v>104</v>
      </c>
      <c r="D109" s="78" t="s">
        <v>481</v>
      </c>
      <c r="E109" s="78" t="s">
        <v>482</v>
      </c>
      <c r="F109" s="78" t="s">
        <v>482</v>
      </c>
      <c r="G109" s="79" t="n">
        <v>115</v>
      </c>
      <c r="H109" s="80" t="n">
        <v>8.68</v>
      </c>
      <c r="I109" s="80" t="n">
        <v>530</v>
      </c>
      <c r="J109" s="80" t="n">
        <v>530</v>
      </c>
      <c r="K109" s="80" t="n">
        <v>599.96</v>
      </c>
      <c r="L109" s="81" t="s">
        <v>198</v>
      </c>
      <c r="M109" s="80" t="n">
        <v>0.228698156682028</v>
      </c>
      <c r="N109" s="80" t="n">
        <v>0.475702764976959</v>
      </c>
      <c r="O109" s="80" t="n">
        <v>3.11320276497696</v>
      </c>
      <c r="P109" s="80" t="n">
        <v>0.397304147465438</v>
      </c>
      <c r="Q109" s="80" t="n">
        <v>1.43059907834101</v>
      </c>
      <c r="R109" s="80" t="n">
        <v>2.03380184331797</v>
      </c>
      <c r="S109" s="81" t="s">
        <v>210</v>
      </c>
      <c r="T109" s="81" t="s">
        <v>200</v>
      </c>
      <c r="U109" s="81" t="s">
        <v>201</v>
      </c>
      <c r="V109" s="82"/>
      <c r="W109" s="81" t="s">
        <v>202</v>
      </c>
      <c r="X109" s="81" t="n">
        <v>0.383333333360497</v>
      </c>
      <c r="Y109" s="81" t="n">
        <v>0.766666666720994</v>
      </c>
      <c r="Z109" s="81" t="n">
        <v>2</v>
      </c>
      <c r="AA109" s="73" t="s">
        <v>211</v>
      </c>
      <c r="AB109" s="81" t="s">
        <v>47</v>
      </c>
      <c r="AC109" s="83"/>
    </row>
    <row r="110" customFormat="false" ht="15" hidden="false" customHeight="false" outlineLevel="0" collapsed="false">
      <c r="C110" s="69" t="n">
        <v>105</v>
      </c>
      <c r="D110" s="78" t="s">
        <v>483</v>
      </c>
      <c r="E110" s="78" t="s">
        <v>484</v>
      </c>
      <c r="F110" s="78" t="s">
        <v>484</v>
      </c>
      <c r="G110" s="79" t="n">
        <v>115</v>
      </c>
      <c r="H110" s="80" t="n">
        <v>45.64</v>
      </c>
      <c r="I110" s="80" t="n">
        <v>530</v>
      </c>
      <c r="J110" s="80" t="n">
        <v>530</v>
      </c>
      <c r="K110" s="80" t="n">
        <v>690.06</v>
      </c>
      <c r="L110" s="81" t="s">
        <v>198</v>
      </c>
      <c r="M110" s="80" t="n">
        <v>0.193198948290973</v>
      </c>
      <c r="N110" s="80" t="n">
        <v>0.412800175284838</v>
      </c>
      <c r="O110" s="80" t="n">
        <v>2.74420026292726</v>
      </c>
      <c r="P110" s="80" t="n">
        <v>0.340698948290973</v>
      </c>
      <c r="Q110" s="80" t="n">
        <v>1.25640008764242</v>
      </c>
      <c r="R110" s="80" t="n">
        <v>2.01299956178791</v>
      </c>
      <c r="S110" s="81" t="s">
        <v>210</v>
      </c>
      <c r="T110" s="81" t="s">
        <v>200</v>
      </c>
      <c r="U110" s="81" t="s">
        <v>201</v>
      </c>
      <c r="V110" s="82"/>
      <c r="W110" s="81" t="s">
        <v>202</v>
      </c>
      <c r="X110" s="81" t="n">
        <v>0.0249999999068677</v>
      </c>
      <c r="Y110" s="81" t="n">
        <v>0.0499999998137355</v>
      </c>
      <c r="Z110" s="81" t="n">
        <v>2</v>
      </c>
      <c r="AA110" s="73" t="s">
        <v>211</v>
      </c>
      <c r="AB110" s="81" t="s">
        <v>47</v>
      </c>
      <c r="AC110" s="83"/>
    </row>
    <row r="111" customFormat="false" ht="15" hidden="false" customHeight="false" outlineLevel="0" collapsed="false">
      <c r="C111" s="76" t="n">
        <v>106</v>
      </c>
      <c r="D111" s="78" t="s">
        <v>485</v>
      </c>
      <c r="E111" s="78" t="s">
        <v>486</v>
      </c>
      <c r="F111" s="78" t="s">
        <v>487</v>
      </c>
      <c r="G111" s="79" t="n">
        <v>115</v>
      </c>
      <c r="H111" s="80" t="n">
        <v>1.65</v>
      </c>
      <c r="I111" s="80" t="n">
        <v>792</v>
      </c>
      <c r="J111" s="80" t="n">
        <v>792</v>
      </c>
      <c r="K111" s="80" t="n">
        <v>1030.392</v>
      </c>
      <c r="L111" s="81" t="s">
        <v>198</v>
      </c>
      <c r="M111" s="80" t="n">
        <v>0.0901212121212121</v>
      </c>
      <c r="N111" s="80" t="n">
        <v>0.461393939393939</v>
      </c>
      <c r="O111" s="80" t="n">
        <v>3.60515151515152</v>
      </c>
      <c r="P111" s="80" t="n">
        <v>0.412121212121212</v>
      </c>
      <c r="Q111" s="80" t="n">
        <v>1.39793939393939</v>
      </c>
      <c r="R111" s="80" t="n">
        <v>1.77763636363636</v>
      </c>
      <c r="S111" s="81" t="s">
        <v>210</v>
      </c>
      <c r="T111" s="81" t="s">
        <v>200</v>
      </c>
      <c r="U111" s="81" t="s">
        <v>201</v>
      </c>
      <c r="V111" s="82"/>
      <c r="W111" s="81" t="s">
        <v>202</v>
      </c>
      <c r="X111" s="81" t="n">
        <v>0.0874999999796273</v>
      </c>
      <c r="Y111" s="81" t="n">
        <v>0.349999999918509</v>
      </c>
      <c r="Z111" s="81" t="n">
        <v>4</v>
      </c>
      <c r="AA111" s="73" t="s">
        <v>211</v>
      </c>
      <c r="AB111" s="81" t="s">
        <v>47</v>
      </c>
      <c r="AC111" s="83"/>
    </row>
    <row r="112" customFormat="false" ht="15" hidden="false" customHeight="false" outlineLevel="0" collapsed="false">
      <c r="C112" s="69" t="n">
        <v>107</v>
      </c>
      <c r="D112" s="78" t="s">
        <v>488</v>
      </c>
      <c r="E112" s="78" t="s">
        <v>489</v>
      </c>
      <c r="F112" s="78" t="s">
        <v>490</v>
      </c>
      <c r="G112" s="79" t="n">
        <v>115</v>
      </c>
      <c r="H112" s="80" t="n">
        <v>37.5</v>
      </c>
      <c r="I112" s="80" t="n">
        <v>726</v>
      </c>
      <c r="J112" s="80" t="n">
        <v>726</v>
      </c>
      <c r="K112" s="80" t="n">
        <v>863.94</v>
      </c>
      <c r="L112" s="81" t="s">
        <v>198</v>
      </c>
      <c r="M112" s="80" t="n">
        <v>0.105050666666667</v>
      </c>
      <c r="N112" s="80" t="n">
        <v>0.477189333333333</v>
      </c>
      <c r="O112" s="80" t="n">
        <v>3.42270933333333</v>
      </c>
      <c r="P112" s="80" t="n">
        <v>0.28152</v>
      </c>
      <c r="Q112" s="80" t="n">
        <v>1.62332</v>
      </c>
      <c r="R112" s="80" t="n">
        <v>1.51370133333333</v>
      </c>
      <c r="S112" s="81" t="s">
        <v>210</v>
      </c>
      <c r="T112" s="81" t="s">
        <v>200</v>
      </c>
      <c r="U112" s="81" t="s">
        <v>201</v>
      </c>
      <c r="V112" s="82"/>
      <c r="W112" s="81" t="s">
        <v>202</v>
      </c>
      <c r="X112" s="81" t="n">
        <v>0.0277777776937</v>
      </c>
      <c r="Y112" s="81" t="n">
        <v>0.0833333330811001</v>
      </c>
      <c r="Z112" s="81" t="n">
        <v>3</v>
      </c>
      <c r="AA112" s="73" t="s">
        <v>211</v>
      </c>
      <c r="AB112" s="81" t="s">
        <v>47</v>
      </c>
      <c r="AC112" s="83"/>
    </row>
    <row r="113" customFormat="false" ht="15" hidden="false" customHeight="false" outlineLevel="0" collapsed="false">
      <c r="C113" s="76" t="n">
        <v>108</v>
      </c>
      <c r="D113" s="78" t="s">
        <v>491</v>
      </c>
      <c r="E113" s="78" t="s">
        <v>492</v>
      </c>
      <c r="F113" s="78" t="s">
        <v>493</v>
      </c>
      <c r="G113" s="79" t="n">
        <v>115</v>
      </c>
      <c r="H113" s="80" t="n">
        <v>26.64</v>
      </c>
      <c r="I113" s="80" t="n">
        <v>478</v>
      </c>
      <c r="J113" s="80" t="n">
        <v>478</v>
      </c>
      <c r="K113" s="80" t="n">
        <v>616.142</v>
      </c>
      <c r="L113" s="81" t="s">
        <v>198</v>
      </c>
      <c r="M113" s="80" t="n">
        <v>0.117999249249249</v>
      </c>
      <c r="N113" s="80" t="n">
        <v>0.485499249249249</v>
      </c>
      <c r="O113" s="80" t="n">
        <v>3.42</v>
      </c>
      <c r="P113" s="80" t="n">
        <v>0.29079954954955</v>
      </c>
      <c r="Q113" s="80" t="n">
        <v>1.63799924924925</v>
      </c>
      <c r="R113" s="80" t="n">
        <v>2.08299924924925</v>
      </c>
      <c r="S113" s="81" t="s">
        <v>210</v>
      </c>
      <c r="T113" s="81" t="s">
        <v>200</v>
      </c>
      <c r="U113" s="81" t="s">
        <v>201</v>
      </c>
      <c r="V113" s="82"/>
      <c r="W113" s="81" t="s">
        <v>202</v>
      </c>
      <c r="X113" s="81" t="n">
        <v>0</v>
      </c>
      <c r="Y113" s="81" t="n">
        <v>0</v>
      </c>
      <c r="Z113" s="81" t="n">
        <v>0</v>
      </c>
      <c r="AA113" s="73" t="s">
        <v>211</v>
      </c>
      <c r="AB113" s="81" t="s">
        <v>47</v>
      </c>
      <c r="AC113" s="83"/>
    </row>
    <row r="114" customFormat="false" ht="15" hidden="false" customHeight="false" outlineLevel="0" collapsed="false">
      <c r="C114" s="69" t="n">
        <v>109</v>
      </c>
      <c r="D114" s="78" t="s">
        <v>494</v>
      </c>
      <c r="E114" s="78" t="s">
        <v>493</v>
      </c>
      <c r="F114" s="78" t="s">
        <v>402</v>
      </c>
      <c r="G114" s="79" t="n">
        <v>115</v>
      </c>
      <c r="H114" s="80" t="n">
        <v>28.96</v>
      </c>
      <c r="I114" s="80" t="n">
        <v>478</v>
      </c>
      <c r="J114" s="80" t="n">
        <v>478</v>
      </c>
      <c r="K114" s="80" t="n">
        <v>616.142</v>
      </c>
      <c r="L114" s="81" t="s">
        <v>198</v>
      </c>
      <c r="M114" s="80" t="n">
        <v>0.118000690607735</v>
      </c>
      <c r="N114" s="80" t="n">
        <v>0.485500690607735</v>
      </c>
      <c r="O114" s="80" t="n">
        <v>3.42</v>
      </c>
      <c r="P114" s="80" t="n">
        <v>0.290801104972376</v>
      </c>
      <c r="Q114" s="80" t="n">
        <v>1.63800069060774</v>
      </c>
      <c r="R114" s="80" t="n">
        <v>2.08300069060773</v>
      </c>
      <c r="S114" s="81" t="s">
        <v>210</v>
      </c>
      <c r="T114" s="81" t="s">
        <v>200</v>
      </c>
      <c r="U114" s="81" t="s">
        <v>201</v>
      </c>
      <c r="V114" s="82"/>
      <c r="W114" s="81" t="s">
        <v>202</v>
      </c>
      <c r="X114" s="81" t="n">
        <v>0</v>
      </c>
      <c r="Y114" s="81" t="n">
        <v>0</v>
      </c>
      <c r="Z114" s="81" t="n">
        <v>0</v>
      </c>
      <c r="AA114" s="73" t="s">
        <v>211</v>
      </c>
      <c r="AB114" s="81" t="s">
        <v>47</v>
      </c>
      <c r="AC114" s="83"/>
    </row>
    <row r="115" customFormat="false" ht="15" hidden="false" customHeight="false" outlineLevel="0" collapsed="false">
      <c r="C115" s="76" t="n">
        <v>110</v>
      </c>
      <c r="D115" s="78" t="s">
        <v>495</v>
      </c>
      <c r="E115" s="78" t="s">
        <v>409</v>
      </c>
      <c r="F115" s="78" t="s">
        <v>496</v>
      </c>
      <c r="G115" s="79" t="n">
        <v>115</v>
      </c>
      <c r="H115" s="80" t="n">
        <v>1.04</v>
      </c>
      <c r="I115" s="80" t="n">
        <v>140</v>
      </c>
      <c r="J115" s="80" t="n">
        <v>140</v>
      </c>
      <c r="K115" s="80" t="n">
        <v>140</v>
      </c>
      <c r="L115" s="81" t="s">
        <v>198</v>
      </c>
      <c r="M115" s="80" t="n">
        <v>1.375</v>
      </c>
      <c r="N115" s="80" t="n">
        <v>0.5</v>
      </c>
      <c r="O115" s="80" t="n">
        <v>3.43798076923077</v>
      </c>
      <c r="P115" s="80" t="n">
        <v>1.56298076923077</v>
      </c>
      <c r="Q115" s="80" t="n">
        <v>1.93798076923077</v>
      </c>
      <c r="R115" s="80" t="n">
        <v>1.56298076923077</v>
      </c>
      <c r="S115" s="81" t="s">
        <v>210</v>
      </c>
      <c r="T115" s="81" t="s">
        <v>200</v>
      </c>
      <c r="U115" s="81" t="s">
        <v>201</v>
      </c>
      <c r="V115" s="82"/>
      <c r="W115" s="81" t="s">
        <v>202</v>
      </c>
      <c r="X115" s="81" t="n">
        <v>14.4208333333663</v>
      </c>
      <c r="Y115" s="81" t="n">
        <v>57.6833333334653</v>
      </c>
      <c r="Z115" s="81" t="n">
        <v>4</v>
      </c>
      <c r="AA115" s="73" t="s">
        <v>211</v>
      </c>
      <c r="AB115" s="81" t="s">
        <v>47</v>
      </c>
      <c r="AC115" s="83"/>
    </row>
    <row r="116" customFormat="false" ht="15" hidden="false" customHeight="false" outlineLevel="0" collapsed="false">
      <c r="C116" s="69" t="n">
        <v>111</v>
      </c>
      <c r="D116" s="78" t="s">
        <v>497</v>
      </c>
      <c r="E116" s="78" t="s">
        <v>409</v>
      </c>
      <c r="F116" s="78" t="s">
        <v>408</v>
      </c>
      <c r="G116" s="79" t="n">
        <v>115</v>
      </c>
      <c r="H116" s="80" t="n">
        <v>3.054</v>
      </c>
      <c r="I116" s="80" t="n">
        <v>592</v>
      </c>
      <c r="J116" s="80" t="n">
        <v>592</v>
      </c>
      <c r="K116" s="80" t="n">
        <v>719.872</v>
      </c>
      <c r="L116" s="81" t="s">
        <v>198</v>
      </c>
      <c r="M116" s="80" t="n">
        <v>0.118500327439424</v>
      </c>
      <c r="N116" s="80" t="n">
        <v>0.477897838899804</v>
      </c>
      <c r="O116" s="80" t="n">
        <v>3.4683038637852</v>
      </c>
      <c r="P116" s="80" t="n">
        <v>0.568402095612312</v>
      </c>
      <c r="Q116" s="80" t="n">
        <v>1.26869679109365</v>
      </c>
      <c r="R116" s="80" t="n">
        <v>2.32629338572364</v>
      </c>
      <c r="S116" s="81" t="s">
        <v>210</v>
      </c>
      <c r="T116" s="81" t="s">
        <v>200</v>
      </c>
      <c r="U116" s="81" t="s">
        <v>201</v>
      </c>
      <c r="V116" s="82"/>
      <c r="W116" s="81" t="s">
        <v>202</v>
      </c>
      <c r="X116" s="81" t="n">
        <v>14.4208333333663</v>
      </c>
      <c r="Y116" s="81" t="n">
        <v>57.6833333334653</v>
      </c>
      <c r="Z116" s="81" t="n">
        <v>4</v>
      </c>
      <c r="AA116" s="73" t="s">
        <v>211</v>
      </c>
      <c r="AB116" s="81" t="s">
        <v>47</v>
      </c>
      <c r="AC116" s="83"/>
    </row>
    <row r="117" customFormat="false" ht="15" hidden="false" customHeight="false" outlineLevel="0" collapsed="false">
      <c r="C117" s="76" t="n">
        <v>112</v>
      </c>
      <c r="D117" s="78" t="s">
        <v>498</v>
      </c>
      <c r="E117" s="78" t="s">
        <v>499</v>
      </c>
      <c r="F117" s="78" t="s">
        <v>500</v>
      </c>
      <c r="G117" s="79" t="n">
        <v>115</v>
      </c>
      <c r="H117" s="80" t="n">
        <v>10.7</v>
      </c>
      <c r="I117" s="80" t="n">
        <v>661</v>
      </c>
      <c r="J117" s="80" t="n">
        <v>239.943</v>
      </c>
      <c r="K117" s="80" t="n">
        <v>661</v>
      </c>
      <c r="L117" s="81" t="s">
        <v>239</v>
      </c>
      <c r="M117" s="80" t="n">
        <v>0.117915887850467</v>
      </c>
      <c r="N117" s="80" t="n">
        <v>0.356915887850467</v>
      </c>
      <c r="O117" s="80" t="n">
        <v>4.70527102803738</v>
      </c>
      <c r="P117" s="80" t="n">
        <v>0.452803738317757</v>
      </c>
      <c r="Q117" s="80" t="n">
        <v>1.83516822429907</v>
      </c>
      <c r="R117" s="80" t="n">
        <v>1.76438317757009</v>
      </c>
      <c r="S117" s="81" t="s">
        <v>210</v>
      </c>
      <c r="T117" s="81" t="s">
        <v>200</v>
      </c>
      <c r="U117" s="81" t="s">
        <v>201</v>
      </c>
      <c r="V117" s="82"/>
      <c r="W117" s="81" t="s">
        <v>501</v>
      </c>
      <c r="X117" s="81" t="n">
        <v>0</v>
      </c>
      <c r="Y117" s="81" t="n">
        <v>0</v>
      </c>
      <c r="Z117" s="81" t="n">
        <v>0</v>
      </c>
      <c r="AA117" s="73" t="s">
        <v>211</v>
      </c>
      <c r="AB117" s="81" t="s">
        <v>53</v>
      </c>
      <c r="AC117" s="83"/>
    </row>
    <row r="118" customFormat="false" ht="15" hidden="false" customHeight="false" outlineLevel="0" collapsed="false">
      <c r="C118" s="69" t="n">
        <v>113</v>
      </c>
      <c r="D118" s="78" t="s">
        <v>502</v>
      </c>
      <c r="E118" s="78" t="s">
        <v>503</v>
      </c>
      <c r="F118" s="78" t="s">
        <v>504</v>
      </c>
      <c r="G118" s="79" t="n">
        <v>34.5</v>
      </c>
      <c r="H118" s="80" t="n">
        <v>1</v>
      </c>
      <c r="I118" s="80" t="n">
        <v>275</v>
      </c>
      <c r="J118" s="80" t="n">
        <v>275</v>
      </c>
      <c r="K118" s="80" t="n">
        <v>275</v>
      </c>
      <c r="L118" s="81" t="s">
        <v>198</v>
      </c>
      <c r="M118" s="80" t="n">
        <v>0.4151</v>
      </c>
      <c r="N118" s="80" t="n">
        <v>0.4237</v>
      </c>
      <c r="O118" s="80" t="n">
        <v>4.0998</v>
      </c>
      <c r="P118" s="80" t="n">
        <v>0.75</v>
      </c>
      <c r="Q118" s="80" t="n">
        <v>1.902</v>
      </c>
      <c r="R118" s="80" t="n">
        <v>1.672</v>
      </c>
      <c r="S118" s="81" t="s">
        <v>233</v>
      </c>
      <c r="T118" s="81" t="s">
        <v>200</v>
      </c>
      <c r="U118" s="81" t="s">
        <v>201</v>
      </c>
      <c r="V118" s="82"/>
      <c r="W118" s="81" t="s">
        <v>360</v>
      </c>
      <c r="X118" s="81" t="n">
        <v>2.30553819444503</v>
      </c>
      <c r="Y118" s="81" t="n">
        <v>73.7772222222411</v>
      </c>
      <c r="Z118" s="81" t="n">
        <v>32</v>
      </c>
      <c r="AA118" s="81" t="s">
        <v>211</v>
      </c>
      <c r="AB118" s="73" t="s">
        <v>47</v>
      </c>
      <c r="AC118" s="83"/>
    </row>
    <row r="119" customFormat="false" ht="15" hidden="false" customHeight="false" outlineLevel="0" collapsed="false">
      <c r="C119" s="76" t="n">
        <v>114</v>
      </c>
      <c r="D119" s="78" t="s">
        <v>505</v>
      </c>
      <c r="E119" s="78" t="s">
        <v>503</v>
      </c>
      <c r="F119" s="78" t="s">
        <v>506</v>
      </c>
      <c r="G119" s="79" t="n">
        <v>34.5</v>
      </c>
      <c r="H119" s="80" t="n">
        <v>5.4461</v>
      </c>
      <c r="I119" s="80" t="n">
        <v>275</v>
      </c>
      <c r="J119" s="80" t="n">
        <v>275</v>
      </c>
      <c r="K119" s="80" t="n">
        <v>275</v>
      </c>
      <c r="L119" s="81" t="s">
        <v>198</v>
      </c>
      <c r="M119" s="80" t="n">
        <v>0.415104386625292</v>
      </c>
      <c r="N119" s="80" t="n">
        <v>0.423716053689796</v>
      </c>
      <c r="O119" s="80" t="n">
        <v>4.09985126971594</v>
      </c>
      <c r="P119" s="80" t="n">
        <v>0.750004590440866</v>
      </c>
      <c r="Q119" s="80" t="n">
        <v>1.90196654486697</v>
      </c>
      <c r="R119" s="80" t="n">
        <v>1.67194873395641</v>
      </c>
      <c r="S119" s="81" t="s">
        <v>233</v>
      </c>
      <c r="T119" s="81" t="s">
        <v>200</v>
      </c>
      <c r="U119" s="81" t="s">
        <v>201</v>
      </c>
      <c r="V119" s="82"/>
      <c r="W119" s="81" t="s">
        <v>360</v>
      </c>
      <c r="X119" s="81" t="n">
        <v>2.30553819444503</v>
      </c>
      <c r="Y119" s="81" t="n">
        <v>73.7772222222411</v>
      </c>
      <c r="Z119" s="81" t="n">
        <v>32</v>
      </c>
      <c r="AA119" s="81" t="s">
        <v>211</v>
      </c>
      <c r="AB119" s="73" t="s">
        <v>47</v>
      </c>
      <c r="AC119" s="83"/>
    </row>
    <row r="120" customFormat="false" ht="15" hidden="false" customHeight="false" outlineLevel="0" collapsed="false">
      <c r="C120" s="69" t="n">
        <v>115</v>
      </c>
      <c r="D120" s="78" t="s">
        <v>507</v>
      </c>
      <c r="E120" s="78" t="s">
        <v>508</v>
      </c>
      <c r="F120" s="78" t="s">
        <v>509</v>
      </c>
      <c r="G120" s="79" t="n">
        <v>34.5</v>
      </c>
      <c r="H120" s="80" t="n">
        <v>7.7524</v>
      </c>
      <c r="I120" s="80" t="n">
        <v>458</v>
      </c>
      <c r="J120" s="80" t="n">
        <v>458</v>
      </c>
      <c r="K120" s="80" t="n">
        <v>458</v>
      </c>
      <c r="L120" s="81" t="s">
        <v>198</v>
      </c>
      <c r="M120" s="80" t="n">
        <v>0.209612507094577</v>
      </c>
      <c r="N120" s="80" t="n">
        <v>0.378837521283732</v>
      </c>
      <c r="O120" s="80" t="n">
        <v>4.41433620556215</v>
      </c>
      <c r="P120" s="80" t="n">
        <v>0.544502347660079</v>
      </c>
      <c r="Q120" s="80" t="n">
        <v>1.85708941747072</v>
      </c>
      <c r="R120" s="80" t="n">
        <v>1.72190547443372</v>
      </c>
      <c r="S120" s="81" t="s">
        <v>233</v>
      </c>
      <c r="T120" s="81" t="s">
        <v>200</v>
      </c>
      <c r="U120" s="81" t="s">
        <v>201</v>
      </c>
      <c r="V120" s="82"/>
      <c r="W120" s="81" t="s">
        <v>234</v>
      </c>
      <c r="X120" s="81" t="n">
        <v>2.68957454291735</v>
      </c>
      <c r="Y120" s="81" t="n">
        <v>212.476388890471</v>
      </c>
      <c r="Z120" s="81" t="n">
        <v>79</v>
      </c>
      <c r="AA120" s="81" t="s">
        <v>211</v>
      </c>
      <c r="AB120" s="73" t="s">
        <v>47</v>
      </c>
      <c r="AC120" s="83"/>
    </row>
    <row r="121" customFormat="false" ht="15" hidden="false" customHeight="false" outlineLevel="0" collapsed="false">
      <c r="C121" s="76" t="n">
        <v>116</v>
      </c>
      <c r="D121" s="78" t="s">
        <v>510</v>
      </c>
      <c r="E121" s="78" t="s">
        <v>511</v>
      </c>
      <c r="F121" s="78" t="s">
        <v>506</v>
      </c>
      <c r="G121" s="79" t="n">
        <v>34.5</v>
      </c>
      <c r="H121" s="80" t="n">
        <v>10.6733</v>
      </c>
      <c r="I121" s="80" t="n">
        <v>275</v>
      </c>
      <c r="J121" s="80" t="n">
        <v>275</v>
      </c>
      <c r="K121" s="80" t="n">
        <v>275</v>
      </c>
      <c r="L121" s="81" t="s">
        <v>198</v>
      </c>
      <c r="M121" s="80" t="n">
        <v>0.415110603093701</v>
      </c>
      <c r="N121" s="80" t="n">
        <v>0.423711504408196</v>
      </c>
      <c r="O121" s="80" t="n">
        <v>4.09982854412412</v>
      </c>
      <c r="P121" s="80" t="n">
        <v>0.750002342293387</v>
      </c>
      <c r="Q121" s="80" t="n">
        <v>1.90195159884947</v>
      </c>
      <c r="R121" s="80" t="n">
        <v>1.67194775748831</v>
      </c>
      <c r="S121" s="81" t="s">
        <v>233</v>
      </c>
      <c r="T121" s="81" t="s">
        <v>200</v>
      </c>
      <c r="U121" s="81" t="s">
        <v>201</v>
      </c>
      <c r="V121" s="82"/>
      <c r="W121" s="81" t="s">
        <v>360</v>
      </c>
      <c r="X121" s="81" t="n">
        <v>2.30553819444503</v>
      </c>
      <c r="Y121" s="81" t="n">
        <v>73.7772222222411</v>
      </c>
      <c r="Z121" s="81" t="n">
        <v>32</v>
      </c>
      <c r="AA121" s="81" t="s">
        <v>211</v>
      </c>
      <c r="AB121" s="73" t="s">
        <v>47</v>
      </c>
      <c r="AC121" s="83"/>
    </row>
    <row r="122" customFormat="false" ht="15" hidden="false" customHeight="false" outlineLevel="0" collapsed="false">
      <c r="C122" s="69" t="n">
        <v>117</v>
      </c>
      <c r="D122" s="78" t="s">
        <v>512</v>
      </c>
      <c r="E122" s="78" t="s">
        <v>336</v>
      </c>
      <c r="F122" s="78" t="s">
        <v>513</v>
      </c>
      <c r="G122" s="79" t="n">
        <v>34.5</v>
      </c>
      <c r="H122" s="80" t="n">
        <v>5.3817</v>
      </c>
      <c r="I122" s="80" t="n">
        <v>458</v>
      </c>
      <c r="J122" s="80" t="n">
        <v>439.68</v>
      </c>
      <c r="K122" s="80" t="n">
        <v>458</v>
      </c>
      <c r="L122" s="81" t="s">
        <v>239</v>
      </c>
      <c r="M122" s="80" t="n">
        <v>0.209617778768791</v>
      </c>
      <c r="N122" s="80" t="n">
        <v>0.378839400189531</v>
      </c>
      <c r="O122" s="80" t="n">
        <v>4.41433004440976</v>
      </c>
      <c r="P122" s="80" t="n">
        <v>0.544493375699129</v>
      </c>
      <c r="Q122" s="80" t="n">
        <v>1.85708976717394</v>
      </c>
      <c r="R122" s="80" t="n">
        <v>1.72190943382203</v>
      </c>
      <c r="S122" s="81" t="s">
        <v>233</v>
      </c>
      <c r="T122" s="81" t="s">
        <v>200</v>
      </c>
      <c r="U122" s="81" t="s">
        <v>201</v>
      </c>
      <c r="V122" s="82"/>
      <c r="W122" s="81" t="s">
        <v>234</v>
      </c>
      <c r="X122" s="81" t="n">
        <v>0</v>
      </c>
      <c r="Y122" s="81" t="n">
        <v>0</v>
      </c>
      <c r="Z122" s="81" t="n">
        <v>0</v>
      </c>
      <c r="AA122" s="81" t="s">
        <v>211</v>
      </c>
      <c r="AB122" s="73" t="s">
        <v>47</v>
      </c>
      <c r="AC122" s="83"/>
    </row>
    <row r="123" customFormat="false" ht="15" hidden="false" customHeight="false" outlineLevel="0" collapsed="false">
      <c r="C123" s="76" t="n">
        <v>118</v>
      </c>
      <c r="D123" s="78" t="s">
        <v>514</v>
      </c>
      <c r="E123" s="78" t="s">
        <v>277</v>
      </c>
      <c r="F123" s="78" t="s">
        <v>515</v>
      </c>
      <c r="G123" s="79" t="n">
        <v>34.5</v>
      </c>
      <c r="H123" s="80" t="n">
        <v>0.71</v>
      </c>
      <c r="I123" s="80" t="n">
        <v>458</v>
      </c>
      <c r="J123" s="80" t="n">
        <v>458</v>
      </c>
      <c r="K123" s="80" t="n">
        <v>458</v>
      </c>
      <c r="L123" s="81" t="s">
        <v>198</v>
      </c>
      <c r="M123" s="80" t="n">
        <v>0.209577464788732</v>
      </c>
      <c r="N123" s="80" t="n">
        <v>0.37887323943662</v>
      </c>
      <c r="O123" s="80" t="n">
        <v>4.4143661971831</v>
      </c>
      <c r="P123" s="80" t="n">
        <v>0.544507042253521</v>
      </c>
      <c r="Q123" s="80" t="n">
        <v>1.85704225352113</v>
      </c>
      <c r="R123" s="80" t="n">
        <v>1.72197183098592</v>
      </c>
      <c r="S123" s="81" t="s">
        <v>233</v>
      </c>
      <c r="T123" s="81" t="s">
        <v>200</v>
      </c>
      <c r="U123" s="81" t="s">
        <v>201</v>
      </c>
      <c r="V123" s="82"/>
      <c r="W123" s="81" t="s">
        <v>234</v>
      </c>
      <c r="X123" s="81" t="n">
        <v>0.355454545473384</v>
      </c>
      <c r="Y123" s="81" t="n">
        <v>15.6400000008289</v>
      </c>
      <c r="Z123" s="81" t="n">
        <v>44</v>
      </c>
      <c r="AA123" s="81" t="s">
        <v>211</v>
      </c>
      <c r="AB123" s="73" t="s">
        <v>47</v>
      </c>
      <c r="AC123" s="83"/>
    </row>
    <row r="124" customFormat="false" ht="15" hidden="false" customHeight="false" outlineLevel="0" collapsed="false">
      <c r="C124" s="69" t="n">
        <v>119</v>
      </c>
      <c r="D124" s="78" t="s">
        <v>516</v>
      </c>
      <c r="E124" s="78" t="s">
        <v>303</v>
      </c>
      <c r="F124" s="78" t="s">
        <v>517</v>
      </c>
      <c r="G124" s="79" t="n">
        <v>34.5</v>
      </c>
      <c r="H124" s="80" t="n">
        <v>5</v>
      </c>
      <c r="I124" s="80" t="n">
        <v>458</v>
      </c>
      <c r="J124" s="80" t="n">
        <v>458</v>
      </c>
      <c r="K124" s="80" t="n">
        <v>458</v>
      </c>
      <c r="L124" s="81" t="s">
        <v>198</v>
      </c>
      <c r="M124" s="80" t="n">
        <v>0.2096</v>
      </c>
      <c r="N124" s="80" t="n">
        <v>0.37884</v>
      </c>
      <c r="O124" s="80" t="n">
        <v>4.41434</v>
      </c>
      <c r="P124" s="80" t="n">
        <v>0.5445</v>
      </c>
      <c r="Q124" s="80" t="n">
        <v>1.85708</v>
      </c>
      <c r="R124" s="80" t="n">
        <v>1.7219</v>
      </c>
      <c r="S124" s="81" t="s">
        <v>233</v>
      </c>
      <c r="T124" s="81" t="s">
        <v>200</v>
      </c>
      <c r="U124" s="81" t="s">
        <v>201</v>
      </c>
      <c r="V124" s="82"/>
      <c r="W124" s="81" t="s">
        <v>234</v>
      </c>
      <c r="X124" s="81" t="n">
        <v>1.54027777776355</v>
      </c>
      <c r="Y124" s="81" t="n">
        <v>4.62083333329065</v>
      </c>
      <c r="Z124" s="81" t="n">
        <v>3</v>
      </c>
      <c r="AA124" s="81" t="s">
        <v>211</v>
      </c>
      <c r="AB124" s="73" t="s">
        <v>47</v>
      </c>
      <c r="AC124" s="83"/>
    </row>
    <row r="125" customFormat="false" ht="15" hidden="false" customHeight="false" outlineLevel="0" collapsed="false">
      <c r="C125" s="76" t="n">
        <v>120</v>
      </c>
      <c r="D125" s="78" t="s">
        <v>518</v>
      </c>
      <c r="E125" s="78" t="s">
        <v>519</v>
      </c>
      <c r="F125" s="78" t="s">
        <v>292</v>
      </c>
      <c r="G125" s="79" t="n">
        <v>34.5</v>
      </c>
      <c r="H125" s="80" t="n">
        <v>2.2</v>
      </c>
      <c r="I125" s="80" t="n">
        <v>458</v>
      </c>
      <c r="J125" s="80" t="n">
        <v>458</v>
      </c>
      <c r="K125" s="80" t="n">
        <v>458</v>
      </c>
      <c r="L125" s="81" t="s">
        <v>198</v>
      </c>
      <c r="M125" s="80" t="n">
        <v>0.209590909090909</v>
      </c>
      <c r="N125" s="80" t="n">
        <v>0.378818181818182</v>
      </c>
      <c r="O125" s="80" t="n">
        <v>4.41431818181818</v>
      </c>
      <c r="P125" s="80" t="n">
        <v>0.5445</v>
      </c>
      <c r="Q125" s="80" t="n">
        <v>1.85709090909091</v>
      </c>
      <c r="R125" s="80" t="n">
        <v>1.72190909090909</v>
      </c>
      <c r="S125" s="81" t="s">
        <v>233</v>
      </c>
      <c r="T125" s="81" t="s">
        <v>200</v>
      </c>
      <c r="U125" s="81" t="s">
        <v>201</v>
      </c>
      <c r="V125" s="82"/>
      <c r="W125" s="81" t="s">
        <v>234</v>
      </c>
      <c r="X125" s="81" t="n">
        <v>0.355454545473384</v>
      </c>
      <c r="Y125" s="81" t="n">
        <v>15.6400000008289</v>
      </c>
      <c r="Z125" s="81" t="n">
        <v>44</v>
      </c>
      <c r="AA125" s="81" t="s">
        <v>211</v>
      </c>
      <c r="AB125" s="73" t="s">
        <v>47</v>
      </c>
      <c r="AC125" s="83"/>
    </row>
    <row r="126" customFormat="false" ht="15" hidden="false" customHeight="false" outlineLevel="0" collapsed="false">
      <c r="C126" s="76" t="n">
        <v>121</v>
      </c>
      <c r="D126" s="78" t="s">
        <v>520</v>
      </c>
      <c r="E126" s="78" t="s">
        <v>521</v>
      </c>
      <c r="F126" s="78" t="s">
        <v>522</v>
      </c>
      <c r="G126" s="79" t="n">
        <v>34.5</v>
      </c>
      <c r="H126" s="80" t="n">
        <v>5.6143</v>
      </c>
      <c r="I126" s="80" t="n">
        <v>275</v>
      </c>
      <c r="J126" s="80" t="n">
        <v>275</v>
      </c>
      <c r="K126" s="80" t="n">
        <v>275</v>
      </c>
      <c r="L126" s="81" t="s">
        <v>198</v>
      </c>
      <c r="M126" s="80" t="n">
        <v>0.415118536594054</v>
      </c>
      <c r="N126" s="80" t="n">
        <v>0.423703756478991</v>
      </c>
      <c r="O126" s="80" t="n">
        <v>4.09983435156654</v>
      </c>
      <c r="P126" s="80" t="n">
        <v>0.749995547085122</v>
      </c>
      <c r="Q126" s="80" t="n">
        <v>1.90196462604421</v>
      </c>
      <c r="R126" s="80" t="n">
        <v>1.67194485510215</v>
      </c>
      <c r="S126" s="81" t="s">
        <v>233</v>
      </c>
      <c r="T126" s="81" t="s">
        <v>200</v>
      </c>
      <c r="U126" s="81" t="s">
        <v>201</v>
      </c>
      <c r="V126" s="82"/>
      <c r="W126" s="81" t="s">
        <v>360</v>
      </c>
      <c r="X126" s="81" t="n">
        <v>0.617457627153056</v>
      </c>
      <c r="Y126" s="81" t="n">
        <v>36.4300000020303</v>
      </c>
      <c r="Z126" s="81" t="n">
        <v>59</v>
      </c>
      <c r="AA126" s="81" t="s">
        <v>211</v>
      </c>
      <c r="AB126" s="73" t="s">
        <v>47</v>
      </c>
      <c r="AC126" s="83"/>
    </row>
    <row r="127" customFormat="false" ht="15" hidden="false" customHeight="false" outlineLevel="0" collapsed="false">
      <c r="C127" s="69" t="n">
        <v>122</v>
      </c>
      <c r="D127" s="78" t="s">
        <v>523</v>
      </c>
      <c r="E127" s="78" t="n">
        <v>406.1</v>
      </c>
      <c r="F127" s="78" t="s">
        <v>524</v>
      </c>
      <c r="G127" s="79" t="n">
        <v>34.5</v>
      </c>
      <c r="H127" s="80" t="n">
        <v>6.38</v>
      </c>
      <c r="I127" s="80" t="n">
        <v>724</v>
      </c>
      <c r="J127" s="80" t="n">
        <v>724</v>
      </c>
      <c r="K127" s="80" t="n">
        <v>724</v>
      </c>
      <c r="L127" s="81" t="s">
        <v>198</v>
      </c>
      <c r="M127" s="80" t="n">
        <v>0.101128526645768</v>
      </c>
      <c r="N127" s="80" t="n">
        <v>0.352993730407524</v>
      </c>
      <c r="O127" s="80" t="n">
        <v>4.77360501567398</v>
      </c>
      <c r="P127" s="80" t="n">
        <v>0.43601880877743</v>
      </c>
      <c r="Q127" s="80" t="n">
        <v>1.83123824451411</v>
      </c>
      <c r="R127" s="80" t="n">
        <v>1.77388714733542</v>
      </c>
      <c r="S127" s="81" t="s">
        <v>233</v>
      </c>
      <c r="T127" s="81" t="s">
        <v>200</v>
      </c>
      <c r="U127" s="81" t="s">
        <v>201</v>
      </c>
      <c r="V127" s="82"/>
      <c r="W127" s="81" t="s">
        <v>525</v>
      </c>
      <c r="X127" s="81" t="n">
        <v>8.56472222227603</v>
      </c>
      <c r="Y127" s="81" t="n">
        <v>8.56472222227603</v>
      </c>
      <c r="Z127" s="81" t="n">
        <v>1</v>
      </c>
      <c r="AA127" s="81" t="s">
        <v>211</v>
      </c>
      <c r="AB127" s="73" t="s">
        <v>47</v>
      </c>
      <c r="AC127" s="83"/>
    </row>
    <row r="128" customFormat="false" ht="15" hidden="false" customHeight="false" outlineLevel="0" collapsed="false">
      <c r="C128" s="76" t="n">
        <v>123</v>
      </c>
      <c r="D128" s="78" t="s">
        <v>526</v>
      </c>
      <c r="E128" s="78" t="s">
        <v>509</v>
      </c>
      <c r="F128" s="78" t="s">
        <v>527</v>
      </c>
      <c r="G128" s="79" t="n">
        <v>34.5</v>
      </c>
      <c r="H128" s="80" t="n">
        <v>6.74</v>
      </c>
      <c r="I128" s="80" t="n">
        <v>355</v>
      </c>
      <c r="J128" s="80" t="n">
        <v>355</v>
      </c>
      <c r="K128" s="80" t="n">
        <v>355</v>
      </c>
      <c r="L128" s="81" t="s">
        <v>198</v>
      </c>
      <c r="M128" s="80" t="n">
        <v>0.261617210682493</v>
      </c>
      <c r="N128" s="80" t="n">
        <v>0.406053412462908</v>
      </c>
      <c r="O128" s="80" t="n">
        <v>4.29609792284867</v>
      </c>
      <c r="P128" s="80" t="n">
        <v>0.596513353115727</v>
      </c>
      <c r="Q128" s="80" t="n">
        <v>1.88430267062315</v>
      </c>
      <c r="R128" s="80" t="n">
        <v>1.7036350148368</v>
      </c>
      <c r="S128" s="81" t="s">
        <v>233</v>
      </c>
      <c r="T128" s="81" t="s">
        <v>200</v>
      </c>
      <c r="U128" s="81" t="s">
        <v>201</v>
      </c>
      <c r="V128" s="82"/>
      <c r="W128" s="81" t="s">
        <v>301</v>
      </c>
      <c r="X128" s="81" t="n">
        <v>2.68957454291735</v>
      </c>
      <c r="Y128" s="81" t="n">
        <v>212.476388890471</v>
      </c>
      <c r="Z128" s="81" t="n">
        <v>79</v>
      </c>
      <c r="AA128" s="81" t="s">
        <v>211</v>
      </c>
      <c r="AB128" s="73" t="s">
        <v>47</v>
      </c>
      <c r="AC128" s="83"/>
    </row>
    <row r="129" customFormat="false" ht="15" hidden="false" customHeight="false" outlineLevel="0" collapsed="false">
      <c r="C129" s="76" t="n">
        <v>124</v>
      </c>
      <c r="D129" s="78" t="s">
        <v>528</v>
      </c>
      <c r="E129" s="78" t="s">
        <v>529</v>
      </c>
      <c r="F129" s="78" t="s">
        <v>530</v>
      </c>
      <c r="G129" s="79" t="n">
        <v>34.5</v>
      </c>
      <c r="H129" s="80" t="n">
        <v>4.425</v>
      </c>
      <c r="I129" s="80" t="n">
        <v>458</v>
      </c>
      <c r="J129" s="80" t="n">
        <v>458</v>
      </c>
      <c r="K129" s="80" t="n">
        <v>458</v>
      </c>
      <c r="L129" s="81" t="s">
        <v>198</v>
      </c>
      <c r="M129" s="80" t="n">
        <v>0.209604519774011</v>
      </c>
      <c r="N129" s="80" t="n">
        <v>0.378847457627119</v>
      </c>
      <c r="O129" s="80" t="n">
        <v>4.41437288135593</v>
      </c>
      <c r="P129" s="80" t="n">
        <v>0.544497175141243</v>
      </c>
      <c r="Q129" s="80" t="n">
        <v>1.85710734463277</v>
      </c>
      <c r="R129" s="80" t="n">
        <v>1.7219209039548</v>
      </c>
      <c r="S129" s="81" t="s">
        <v>233</v>
      </c>
      <c r="T129" s="81" t="s">
        <v>200</v>
      </c>
      <c r="U129" s="81" t="s">
        <v>201</v>
      </c>
      <c r="V129" s="82"/>
      <c r="W129" s="81" t="s">
        <v>234</v>
      </c>
      <c r="X129" s="81" t="n">
        <v>1.41421052630635</v>
      </c>
      <c r="Y129" s="81" t="n">
        <v>53.7399999996414</v>
      </c>
      <c r="Z129" s="81" t="n">
        <v>38</v>
      </c>
      <c r="AA129" s="81" t="s">
        <v>211</v>
      </c>
      <c r="AB129" s="73" t="s">
        <v>47</v>
      </c>
      <c r="AC129" s="83"/>
    </row>
    <row r="130" customFormat="false" ht="15" hidden="false" customHeight="false" outlineLevel="0" collapsed="false">
      <c r="C130" s="69" t="n">
        <v>125</v>
      </c>
      <c r="D130" s="78" t="s">
        <v>531</v>
      </c>
      <c r="E130" s="78" t="s">
        <v>292</v>
      </c>
      <c r="F130" s="78" t="s">
        <v>532</v>
      </c>
      <c r="G130" s="79" t="n">
        <v>34.5</v>
      </c>
      <c r="H130" s="80" t="n">
        <v>2.51</v>
      </c>
      <c r="I130" s="80" t="n">
        <v>458</v>
      </c>
      <c r="J130" s="80" t="n">
        <v>458</v>
      </c>
      <c r="K130" s="80" t="n">
        <v>458</v>
      </c>
      <c r="L130" s="81" t="s">
        <v>198</v>
      </c>
      <c r="M130" s="80" t="n">
        <v>0.209601593625498</v>
      </c>
      <c r="N130" s="80" t="n">
        <v>0.378844621513944</v>
      </c>
      <c r="O130" s="80" t="n">
        <v>4.41434262948207</v>
      </c>
      <c r="P130" s="80" t="n">
        <v>0.544501992031873</v>
      </c>
      <c r="Q130" s="80" t="n">
        <v>1.85709163346614</v>
      </c>
      <c r="R130" s="80" t="n">
        <v>1.72191235059761</v>
      </c>
      <c r="S130" s="81" t="s">
        <v>233</v>
      </c>
      <c r="T130" s="81" t="s">
        <v>200</v>
      </c>
      <c r="U130" s="81" t="s">
        <v>201</v>
      </c>
      <c r="V130" s="82"/>
      <c r="W130" s="81" t="s">
        <v>234</v>
      </c>
      <c r="X130" s="81" t="n">
        <v>0.355454545473384</v>
      </c>
      <c r="Y130" s="81" t="n">
        <v>15.6400000008289</v>
      </c>
      <c r="Z130" s="81" t="n">
        <v>44</v>
      </c>
      <c r="AA130" s="81" t="s">
        <v>211</v>
      </c>
      <c r="AB130" s="73" t="s">
        <v>47</v>
      </c>
      <c r="AC130" s="83"/>
    </row>
    <row r="131" customFormat="false" ht="15" hidden="false" customHeight="false" outlineLevel="0" collapsed="false">
      <c r="C131" s="76" t="n">
        <v>126</v>
      </c>
      <c r="D131" s="78" t="s">
        <v>533</v>
      </c>
      <c r="E131" s="78" t="s">
        <v>316</v>
      </c>
      <c r="F131" s="78" t="s">
        <v>534</v>
      </c>
      <c r="G131" s="79" t="n">
        <v>34.5</v>
      </c>
      <c r="H131" s="80" t="n">
        <v>0.7398</v>
      </c>
      <c r="I131" s="80" t="n">
        <v>458</v>
      </c>
      <c r="J131" s="80" t="n">
        <v>458</v>
      </c>
      <c r="K131" s="80" t="n">
        <v>458</v>
      </c>
      <c r="L131" s="81" t="s">
        <v>198</v>
      </c>
      <c r="M131" s="80" t="n">
        <v>0.209651257096513</v>
      </c>
      <c r="N131" s="80" t="n">
        <v>0.378886185455529</v>
      </c>
      <c r="O131" s="80" t="n">
        <v>4.41430116247634</v>
      </c>
      <c r="P131" s="80" t="n">
        <v>0.544471478778048</v>
      </c>
      <c r="Q131" s="80" t="n">
        <v>1.85712354690457</v>
      </c>
      <c r="R131" s="80" t="n">
        <v>1.72195187888619</v>
      </c>
      <c r="S131" s="81" t="s">
        <v>233</v>
      </c>
      <c r="T131" s="81" t="s">
        <v>200</v>
      </c>
      <c r="U131" s="81" t="s">
        <v>201</v>
      </c>
      <c r="V131" s="82"/>
      <c r="W131" s="81" t="s">
        <v>234</v>
      </c>
      <c r="X131" s="81" t="n">
        <v>1.24107026145023</v>
      </c>
      <c r="Y131" s="81" t="n">
        <v>84.3927777786157</v>
      </c>
      <c r="Z131" s="81" t="n">
        <v>68</v>
      </c>
      <c r="AA131" s="81" t="s">
        <v>211</v>
      </c>
      <c r="AB131" s="73" t="s">
        <v>47</v>
      </c>
      <c r="AC131" s="83"/>
    </row>
    <row r="132" customFormat="false" ht="15" hidden="false" customHeight="false" outlineLevel="0" collapsed="false">
      <c r="C132" s="76" t="n">
        <v>127</v>
      </c>
      <c r="D132" s="78" t="s">
        <v>535</v>
      </c>
      <c r="E132" s="78" t="s">
        <v>536</v>
      </c>
      <c r="F132" s="78" t="s">
        <v>537</v>
      </c>
      <c r="G132" s="79" t="n">
        <v>34.5</v>
      </c>
      <c r="H132" s="80" t="n">
        <v>1.2383</v>
      </c>
      <c r="I132" s="80" t="n">
        <v>458</v>
      </c>
      <c r="J132" s="80" t="n">
        <v>458</v>
      </c>
      <c r="K132" s="80" t="n">
        <v>458</v>
      </c>
      <c r="L132" s="81" t="s">
        <v>198</v>
      </c>
      <c r="M132" s="80" t="n">
        <v>0.209642251473795</v>
      </c>
      <c r="N132" s="80" t="n">
        <v>0.378825809577647</v>
      </c>
      <c r="O132" s="80" t="n">
        <v>4.41435839457321</v>
      </c>
      <c r="P132" s="80" t="n">
        <v>0.544536865056933</v>
      </c>
      <c r="Q132" s="80" t="n">
        <v>1.85706210126787</v>
      </c>
      <c r="R132" s="80" t="n">
        <v>1.72187676653477</v>
      </c>
      <c r="S132" s="81" t="s">
        <v>233</v>
      </c>
      <c r="T132" s="81" t="s">
        <v>200</v>
      </c>
      <c r="U132" s="81" t="s">
        <v>201</v>
      </c>
      <c r="V132" s="82"/>
      <c r="W132" s="81" t="s">
        <v>234</v>
      </c>
      <c r="X132" s="81" t="n">
        <v>0.907076271185237</v>
      </c>
      <c r="Y132" s="81" t="n">
        <v>107.034999999858</v>
      </c>
      <c r="Z132" s="81" t="n">
        <v>118</v>
      </c>
      <c r="AA132" s="81" t="s">
        <v>211</v>
      </c>
      <c r="AB132" s="73" t="s">
        <v>47</v>
      </c>
      <c r="AC132" s="83"/>
    </row>
    <row r="133" customFormat="false" ht="15" hidden="false" customHeight="false" outlineLevel="0" collapsed="false">
      <c r="C133" s="69" t="n">
        <v>128</v>
      </c>
      <c r="D133" s="78" t="s">
        <v>538</v>
      </c>
      <c r="E133" s="78" t="s">
        <v>539</v>
      </c>
      <c r="F133" s="78" t="s">
        <v>335</v>
      </c>
      <c r="G133" s="79" t="n">
        <v>34.5</v>
      </c>
      <c r="H133" s="80" t="n">
        <v>1.41</v>
      </c>
      <c r="I133" s="80" t="n">
        <v>458</v>
      </c>
      <c r="J133" s="80" t="n">
        <v>458</v>
      </c>
      <c r="K133" s="80" t="n">
        <v>458</v>
      </c>
      <c r="L133" s="81" t="s">
        <v>198</v>
      </c>
      <c r="M133" s="80" t="n">
        <v>0.209574468085106</v>
      </c>
      <c r="N133" s="80" t="n">
        <v>0.37886524822695</v>
      </c>
      <c r="O133" s="80" t="n">
        <v>4.41432624113475</v>
      </c>
      <c r="P133" s="80" t="n">
        <v>0.544468085106383</v>
      </c>
      <c r="Q133" s="80" t="n">
        <v>1.85709219858156</v>
      </c>
      <c r="R133" s="80" t="n">
        <v>1.72191489361702</v>
      </c>
      <c r="S133" s="81" t="s">
        <v>233</v>
      </c>
      <c r="T133" s="81" t="s">
        <v>200</v>
      </c>
      <c r="U133" s="81" t="s">
        <v>201</v>
      </c>
      <c r="V133" s="82"/>
      <c r="W133" s="81" t="s">
        <v>234</v>
      </c>
      <c r="X133" s="81" t="n">
        <v>1.49711805555853</v>
      </c>
      <c r="Y133" s="81" t="n">
        <v>11.9769444444682</v>
      </c>
      <c r="Z133" s="81" t="n">
        <v>8</v>
      </c>
      <c r="AA133" s="81" t="s">
        <v>211</v>
      </c>
      <c r="AB133" s="73" t="s">
        <v>47</v>
      </c>
      <c r="AC133" s="83"/>
    </row>
    <row r="134" customFormat="false" ht="15" hidden="false" customHeight="false" outlineLevel="0" collapsed="false">
      <c r="C134" s="76" t="n">
        <v>129</v>
      </c>
      <c r="D134" s="78" t="s">
        <v>540</v>
      </c>
      <c r="E134" s="78" t="s">
        <v>541</v>
      </c>
      <c r="F134" s="78" t="s">
        <v>542</v>
      </c>
      <c r="G134" s="79" t="n">
        <v>34.5</v>
      </c>
      <c r="H134" s="80" t="n">
        <v>0.6385</v>
      </c>
      <c r="I134" s="80" t="n">
        <v>458</v>
      </c>
      <c r="J134" s="80" t="n">
        <v>458</v>
      </c>
      <c r="K134" s="80" t="n">
        <v>458</v>
      </c>
      <c r="L134" s="81" t="s">
        <v>198</v>
      </c>
      <c r="M134" s="80" t="n">
        <v>0.209553641346907</v>
      </c>
      <c r="N134" s="80" t="n">
        <v>0.378856695379796</v>
      </c>
      <c r="O134" s="80" t="n">
        <v>4.41440877055599</v>
      </c>
      <c r="P134" s="80" t="n">
        <v>0.544557556773688</v>
      </c>
      <c r="Q134" s="80" t="n">
        <v>1.85716523101018</v>
      </c>
      <c r="R134" s="80" t="n">
        <v>1.72184808144088</v>
      </c>
      <c r="S134" s="81" t="s">
        <v>233</v>
      </c>
      <c r="T134" s="81" t="s">
        <v>200</v>
      </c>
      <c r="U134" s="81" t="s">
        <v>201</v>
      </c>
      <c r="V134" s="82"/>
      <c r="W134" s="81" t="s">
        <v>234</v>
      </c>
      <c r="X134" s="81" t="n">
        <v>1.40822866351</v>
      </c>
      <c r="Y134" s="81" t="n">
        <v>97.1677777821897</v>
      </c>
      <c r="Z134" s="81" t="n">
        <v>69</v>
      </c>
      <c r="AA134" s="81" t="s">
        <v>211</v>
      </c>
      <c r="AB134" s="73" t="s">
        <v>47</v>
      </c>
      <c r="AC134" s="83"/>
    </row>
    <row r="135" customFormat="false" ht="15" hidden="false" customHeight="false" outlineLevel="0" collapsed="false">
      <c r="C135" s="76" t="n">
        <v>130</v>
      </c>
      <c r="D135" s="78" t="s">
        <v>543</v>
      </c>
      <c r="E135" s="78" t="s">
        <v>544</v>
      </c>
      <c r="F135" s="78" t="s">
        <v>545</v>
      </c>
      <c r="G135" s="79" t="n">
        <v>34.5</v>
      </c>
      <c r="H135" s="80" t="n">
        <v>1.7772</v>
      </c>
      <c r="I135" s="80" t="n">
        <v>458</v>
      </c>
      <c r="J135" s="80" t="n">
        <v>458</v>
      </c>
      <c r="K135" s="80" t="n">
        <v>458</v>
      </c>
      <c r="L135" s="81" t="s">
        <v>198</v>
      </c>
      <c r="M135" s="80" t="n">
        <v>0.209599369795183</v>
      </c>
      <c r="N135" s="80" t="n">
        <v>0.378854377672744</v>
      </c>
      <c r="O135" s="80" t="n">
        <v>4.41430339860455</v>
      </c>
      <c r="P135" s="80" t="n">
        <v>0.54450821516993</v>
      </c>
      <c r="Q135" s="80" t="n">
        <v>1.85707855052892</v>
      </c>
      <c r="R135" s="80" t="n">
        <v>1.72186585640333</v>
      </c>
      <c r="S135" s="81" t="s">
        <v>233</v>
      </c>
      <c r="T135" s="81" t="s">
        <v>200</v>
      </c>
      <c r="U135" s="81" t="s">
        <v>201</v>
      </c>
      <c r="V135" s="82"/>
      <c r="W135" s="81" t="s">
        <v>234</v>
      </c>
      <c r="X135" s="81" t="n">
        <v>0.693821839062931</v>
      </c>
      <c r="Y135" s="81" t="n">
        <v>20.120833332825</v>
      </c>
      <c r="Z135" s="81" t="n">
        <v>29</v>
      </c>
      <c r="AA135" s="81" t="s">
        <v>211</v>
      </c>
      <c r="AB135" s="73" t="s">
        <v>47</v>
      </c>
      <c r="AC135" s="83"/>
    </row>
    <row r="136" customFormat="false" ht="15" hidden="false" customHeight="false" outlineLevel="0" collapsed="false">
      <c r="C136" s="69" t="n">
        <v>131</v>
      </c>
      <c r="D136" s="78" t="s">
        <v>546</v>
      </c>
      <c r="E136" s="78" t="s">
        <v>284</v>
      </c>
      <c r="F136" s="78" t="s">
        <v>390</v>
      </c>
      <c r="G136" s="79" t="n">
        <v>34.5</v>
      </c>
      <c r="H136" s="80" t="n">
        <v>0.9622</v>
      </c>
      <c r="I136" s="80" t="n">
        <v>355</v>
      </c>
      <c r="J136" s="80" t="n">
        <v>355</v>
      </c>
      <c r="K136" s="80" t="n">
        <v>355</v>
      </c>
      <c r="L136" s="81" t="s">
        <v>198</v>
      </c>
      <c r="M136" s="80" t="n">
        <v>0.261588027437123</v>
      </c>
      <c r="N136" s="80" t="n">
        <v>0.406048638536687</v>
      </c>
      <c r="O136" s="80" t="n">
        <v>4.29609228850551</v>
      </c>
      <c r="P136" s="80" t="n">
        <v>0.596549573893161</v>
      </c>
      <c r="Q136" s="80" t="n">
        <v>1.88432758262316</v>
      </c>
      <c r="R136" s="80" t="n">
        <v>1.70359592600291</v>
      </c>
      <c r="S136" s="81" t="s">
        <v>233</v>
      </c>
      <c r="T136" s="81" t="s">
        <v>200</v>
      </c>
      <c r="U136" s="81" t="s">
        <v>201</v>
      </c>
      <c r="V136" s="82"/>
      <c r="W136" s="81" t="s">
        <v>301</v>
      </c>
      <c r="X136" s="81" t="n">
        <v>2.27119152048162</v>
      </c>
      <c r="Y136" s="81" t="n">
        <v>86.3052777783014</v>
      </c>
      <c r="Z136" s="81" t="n">
        <v>38</v>
      </c>
      <c r="AA136" s="81" t="s">
        <v>211</v>
      </c>
      <c r="AB136" s="73" t="s">
        <v>47</v>
      </c>
      <c r="AC136" s="83"/>
    </row>
    <row r="137" customFormat="false" ht="15" hidden="false" customHeight="false" outlineLevel="0" collapsed="false">
      <c r="C137" s="76" t="n">
        <v>132</v>
      </c>
      <c r="D137" s="78" t="s">
        <v>547</v>
      </c>
      <c r="E137" s="78" t="s">
        <v>548</v>
      </c>
      <c r="F137" s="78" t="s">
        <v>549</v>
      </c>
      <c r="G137" s="79" t="n">
        <v>115</v>
      </c>
      <c r="H137" s="80" t="n">
        <v>8.657</v>
      </c>
      <c r="I137" s="80" t="n">
        <v>661</v>
      </c>
      <c r="J137" s="80" t="n">
        <v>661</v>
      </c>
      <c r="K137" s="80" t="n">
        <v>661</v>
      </c>
      <c r="L137" s="81" t="s">
        <v>198</v>
      </c>
      <c r="M137" s="80" t="n">
        <v>0.117916137229987</v>
      </c>
      <c r="N137" s="80" t="n">
        <v>0.356913480420469</v>
      </c>
      <c r="O137" s="80" t="n">
        <v>4.70526741365369</v>
      </c>
      <c r="P137" s="80" t="n">
        <v>0.452812752685688</v>
      </c>
      <c r="Q137" s="80" t="n">
        <v>1.83516229640753</v>
      </c>
      <c r="R137" s="80" t="n">
        <v>1.76438720110893</v>
      </c>
      <c r="S137" s="81" t="s">
        <v>210</v>
      </c>
      <c r="T137" s="81" t="s">
        <v>200</v>
      </c>
      <c r="U137" s="81" t="s">
        <v>201</v>
      </c>
      <c r="V137" s="82"/>
      <c r="W137" s="81" t="s">
        <v>501</v>
      </c>
      <c r="X137" s="81" t="n">
        <v>0</v>
      </c>
      <c r="Y137" s="81" t="n">
        <v>0</v>
      </c>
      <c r="Z137" s="81" t="n">
        <v>0</v>
      </c>
      <c r="AA137" s="73" t="s">
        <v>211</v>
      </c>
      <c r="AB137" s="81" t="s">
        <v>53</v>
      </c>
      <c r="AC137" s="83"/>
    </row>
    <row r="138" customFormat="false" ht="15" hidden="false" customHeight="false" outlineLevel="0" collapsed="false">
      <c r="C138" s="76" t="n">
        <v>133</v>
      </c>
      <c r="D138" s="78" t="s">
        <v>550</v>
      </c>
      <c r="E138" s="78" t="s">
        <v>551</v>
      </c>
      <c r="F138" s="78" t="s">
        <v>552</v>
      </c>
      <c r="G138" s="79" t="n">
        <v>34.5</v>
      </c>
      <c r="H138" s="80" t="n">
        <v>0.5982</v>
      </c>
      <c r="I138" s="80" t="n">
        <v>458</v>
      </c>
      <c r="J138" s="80" t="n">
        <v>458</v>
      </c>
      <c r="K138" s="80" t="n">
        <v>458</v>
      </c>
      <c r="L138" s="81" t="s">
        <v>198</v>
      </c>
      <c r="M138" s="80" t="n">
        <v>0.20962888665998</v>
      </c>
      <c r="N138" s="80" t="n">
        <v>0.37880307589435</v>
      </c>
      <c r="O138" s="80" t="n">
        <v>4.41440989635573</v>
      </c>
      <c r="P138" s="80" t="n">
        <v>0.544466733533935</v>
      </c>
      <c r="Q138" s="80" t="n">
        <v>1.85707121364092</v>
      </c>
      <c r="R138" s="80" t="n">
        <v>1.72183216315614</v>
      </c>
      <c r="S138" s="81" t="s">
        <v>233</v>
      </c>
      <c r="T138" s="81" t="s">
        <v>200</v>
      </c>
      <c r="U138" s="81" t="s">
        <v>201</v>
      </c>
      <c r="V138" s="82"/>
      <c r="W138" s="81" t="s">
        <v>234</v>
      </c>
      <c r="X138" s="81" t="n">
        <v>0</v>
      </c>
      <c r="Y138" s="81" t="n">
        <v>0</v>
      </c>
      <c r="Z138" s="81" t="n">
        <v>0</v>
      </c>
      <c r="AA138" s="81" t="s">
        <v>211</v>
      </c>
      <c r="AB138" s="73" t="s">
        <v>47</v>
      </c>
      <c r="AC138" s="83"/>
    </row>
    <row r="139" customFormat="false" ht="15" hidden="false" customHeight="false" outlineLevel="0" collapsed="false">
      <c r="C139" s="69" t="n">
        <v>134</v>
      </c>
      <c r="D139" s="78" t="s">
        <v>553</v>
      </c>
      <c r="E139" s="78" t="s">
        <v>386</v>
      </c>
      <c r="F139" s="78" t="s">
        <v>341</v>
      </c>
      <c r="G139" s="79" t="n">
        <v>34.5</v>
      </c>
      <c r="H139" s="80" t="n">
        <v>1.39</v>
      </c>
      <c r="I139" s="80" t="n">
        <v>465</v>
      </c>
      <c r="J139" s="80" t="n">
        <v>465</v>
      </c>
      <c r="K139" s="80" t="n">
        <v>465</v>
      </c>
      <c r="L139" s="81" t="s">
        <v>198</v>
      </c>
      <c r="M139" s="80" t="n">
        <v>0.090863309352518</v>
      </c>
      <c r="N139" s="80" t="n">
        <v>0.137769784172662</v>
      </c>
      <c r="O139" s="80" t="n">
        <v>95.3236690647482</v>
      </c>
      <c r="P139" s="80" t="n">
        <v>0.144532374100719</v>
      </c>
      <c r="Q139" s="80" t="n">
        <v>0.35</v>
      </c>
      <c r="R139" s="80" t="n">
        <v>95.3236690647482</v>
      </c>
      <c r="S139" s="81" t="s">
        <v>233</v>
      </c>
      <c r="T139" s="81" t="s">
        <v>200</v>
      </c>
      <c r="U139" s="81" t="s">
        <v>201</v>
      </c>
      <c r="V139" s="82"/>
      <c r="W139" s="81" t="s">
        <v>240</v>
      </c>
      <c r="X139" s="81" t="n">
        <v>0</v>
      </c>
      <c r="Y139" s="81" t="n">
        <v>0</v>
      </c>
      <c r="Z139" s="81" t="n">
        <v>0</v>
      </c>
      <c r="AA139" s="81" t="s">
        <v>211</v>
      </c>
      <c r="AB139" s="73" t="s">
        <v>47</v>
      </c>
      <c r="AC139" s="83"/>
    </row>
    <row r="140" customFormat="false" ht="15" hidden="false" customHeight="false" outlineLevel="0" collapsed="false">
      <c r="C140" s="76" t="n">
        <v>135</v>
      </c>
      <c r="D140" s="78" t="s">
        <v>554</v>
      </c>
      <c r="E140" s="78" t="s">
        <v>555</v>
      </c>
      <c r="F140" s="78" t="s">
        <v>556</v>
      </c>
      <c r="G140" s="79" t="n">
        <v>34.5</v>
      </c>
      <c r="H140" s="80" t="n">
        <v>2.1684</v>
      </c>
      <c r="I140" s="80" t="n">
        <v>458</v>
      </c>
      <c r="J140" s="80" t="n">
        <v>458</v>
      </c>
      <c r="K140" s="80" t="n">
        <v>458</v>
      </c>
      <c r="L140" s="81" t="s">
        <v>198</v>
      </c>
      <c r="M140" s="80" t="n">
        <v>0.209601549529607</v>
      </c>
      <c r="N140" s="80" t="n">
        <v>0.378850765541413</v>
      </c>
      <c r="O140" s="80" t="n">
        <v>4.41440693598967</v>
      </c>
      <c r="P140" s="80" t="n">
        <v>0.544502859251061</v>
      </c>
      <c r="Q140" s="80" t="n">
        <v>1.85712968087069</v>
      </c>
      <c r="R140" s="80" t="n">
        <v>1.72191477587161</v>
      </c>
      <c r="S140" s="81" t="s">
        <v>233</v>
      </c>
      <c r="T140" s="81" t="s">
        <v>200</v>
      </c>
      <c r="U140" s="81" t="s">
        <v>201</v>
      </c>
      <c r="V140" s="82"/>
      <c r="W140" s="81" t="s">
        <v>234</v>
      </c>
      <c r="X140" s="81" t="n">
        <v>0.693821839062931</v>
      </c>
      <c r="Y140" s="81" t="n">
        <v>20.120833332825</v>
      </c>
      <c r="Z140" s="81" t="n">
        <v>29</v>
      </c>
      <c r="AA140" s="81" t="s">
        <v>211</v>
      </c>
      <c r="AB140" s="73" t="s">
        <v>47</v>
      </c>
      <c r="AC140" s="83"/>
    </row>
    <row r="141" customFormat="false" ht="15" hidden="false" customHeight="false" outlineLevel="0" collapsed="false">
      <c r="C141" s="76" t="n">
        <v>136</v>
      </c>
      <c r="D141" s="78" t="s">
        <v>557</v>
      </c>
      <c r="E141" s="78" t="s">
        <v>558</v>
      </c>
      <c r="F141" s="78" t="s">
        <v>394</v>
      </c>
      <c r="G141" s="79" t="n">
        <v>34.5</v>
      </c>
      <c r="H141" s="80" t="n">
        <v>1.46</v>
      </c>
      <c r="I141" s="80" t="n">
        <v>458</v>
      </c>
      <c r="J141" s="80" t="n">
        <v>458</v>
      </c>
      <c r="K141" s="80" t="n">
        <v>458</v>
      </c>
      <c r="L141" s="81" t="s">
        <v>198</v>
      </c>
      <c r="M141" s="80" t="n">
        <v>0.20958904109589</v>
      </c>
      <c r="N141" s="80" t="n">
        <v>0.378835616438356</v>
      </c>
      <c r="O141" s="80" t="n">
        <v>4.41431506849315</v>
      </c>
      <c r="P141" s="80" t="n">
        <v>0.544520547945206</v>
      </c>
      <c r="Q141" s="80" t="n">
        <v>1.85705479452055</v>
      </c>
      <c r="R141" s="80" t="n">
        <v>1.72191780821918</v>
      </c>
      <c r="S141" s="81" t="s">
        <v>233</v>
      </c>
      <c r="T141" s="81" t="s">
        <v>200</v>
      </c>
      <c r="U141" s="81" t="s">
        <v>201</v>
      </c>
      <c r="V141" s="82"/>
      <c r="W141" s="81" t="s">
        <v>234</v>
      </c>
      <c r="X141" s="81" t="n">
        <v>2.83349999998463</v>
      </c>
      <c r="Y141" s="81" t="n">
        <v>14.1674999999232</v>
      </c>
      <c r="Z141" s="81" t="n">
        <v>5</v>
      </c>
      <c r="AA141" s="81" t="s">
        <v>211</v>
      </c>
      <c r="AB141" s="73" t="s">
        <v>47</v>
      </c>
      <c r="AC141" s="83"/>
    </row>
    <row r="142" customFormat="false" ht="15" hidden="false" customHeight="false" outlineLevel="0" collapsed="false">
      <c r="C142" s="69" t="n">
        <v>137</v>
      </c>
      <c r="D142" s="78" t="s">
        <v>559</v>
      </c>
      <c r="E142" s="78" t="s">
        <v>560</v>
      </c>
      <c r="F142" s="78" t="s">
        <v>561</v>
      </c>
      <c r="G142" s="79" t="n">
        <v>34.5</v>
      </c>
      <c r="H142" s="80" t="n">
        <v>1</v>
      </c>
      <c r="I142" s="80" t="n">
        <v>458</v>
      </c>
      <c r="J142" s="80" t="n">
        <v>458</v>
      </c>
      <c r="K142" s="80" t="n">
        <v>458</v>
      </c>
      <c r="L142" s="81" t="s">
        <v>198</v>
      </c>
      <c r="M142" s="80" t="n">
        <v>0.2096</v>
      </c>
      <c r="N142" s="80" t="n">
        <v>0.3788</v>
      </c>
      <c r="O142" s="80" t="n">
        <v>4.4143</v>
      </c>
      <c r="P142" s="80" t="n">
        <v>0.5445</v>
      </c>
      <c r="Q142" s="80" t="n">
        <v>1.8571</v>
      </c>
      <c r="R142" s="80" t="n">
        <v>1.7219</v>
      </c>
      <c r="S142" s="81" t="s">
        <v>233</v>
      </c>
      <c r="T142" s="81" t="s">
        <v>200</v>
      </c>
      <c r="U142" s="81" t="s">
        <v>201</v>
      </c>
      <c r="V142" s="82"/>
      <c r="W142" s="81" t="s">
        <v>234</v>
      </c>
      <c r="X142" s="81" t="n">
        <v>0.707726337434724</v>
      </c>
      <c r="Y142" s="81" t="n">
        <v>95.5430555536877</v>
      </c>
      <c r="Z142" s="81" t="n">
        <v>135</v>
      </c>
      <c r="AA142" s="81" t="s">
        <v>211</v>
      </c>
      <c r="AB142" s="73" t="s">
        <v>47</v>
      </c>
      <c r="AC142" s="83"/>
    </row>
    <row r="143" customFormat="false" ht="15" hidden="false" customHeight="false" outlineLevel="0" collapsed="false">
      <c r="C143" s="76" t="n">
        <v>138</v>
      </c>
      <c r="D143" s="78" t="s">
        <v>562</v>
      </c>
      <c r="E143" s="78" t="s">
        <v>556</v>
      </c>
      <c r="F143" s="78" t="s">
        <v>563</v>
      </c>
      <c r="G143" s="79" t="n">
        <v>34.5</v>
      </c>
      <c r="H143" s="80" t="n">
        <v>1.42</v>
      </c>
      <c r="I143" s="80" t="n">
        <v>458</v>
      </c>
      <c r="J143" s="80" t="n">
        <v>458</v>
      </c>
      <c r="K143" s="80" t="n">
        <v>458</v>
      </c>
      <c r="L143" s="81" t="s">
        <v>198</v>
      </c>
      <c r="M143" s="80" t="n">
        <v>0.209577464788732</v>
      </c>
      <c r="N143" s="80" t="n">
        <v>0.37887323943662</v>
      </c>
      <c r="O143" s="80" t="n">
        <v>4.4143661971831</v>
      </c>
      <c r="P143" s="80" t="n">
        <v>0.544507042253521</v>
      </c>
      <c r="Q143" s="80" t="n">
        <v>1.85711267605634</v>
      </c>
      <c r="R143" s="80" t="n">
        <v>1.7219014084507</v>
      </c>
      <c r="S143" s="81" t="s">
        <v>233</v>
      </c>
      <c r="T143" s="81" t="s">
        <v>200</v>
      </c>
      <c r="U143" s="81" t="s">
        <v>201</v>
      </c>
      <c r="V143" s="82"/>
      <c r="W143" s="81" t="s">
        <v>234</v>
      </c>
      <c r="X143" s="81" t="n">
        <v>0</v>
      </c>
      <c r="Y143" s="81" t="n">
        <v>0</v>
      </c>
      <c r="Z143" s="81" t="n">
        <v>0</v>
      </c>
      <c r="AA143" s="81" t="s">
        <v>211</v>
      </c>
      <c r="AB143" s="73" t="s">
        <v>47</v>
      </c>
      <c r="AC143" s="83"/>
    </row>
    <row r="144" customFormat="false" ht="15" hidden="false" customHeight="false" outlineLevel="0" collapsed="false">
      <c r="C144" s="76" t="n">
        <v>139</v>
      </c>
      <c r="D144" s="78" t="s">
        <v>564</v>
      </c>
      <c r="E144" s="78" t="s">
        <v>284</v>
      </c>
      <c r="F144" s="78" t="s">
        <v>274</v>
      </c>
      <c r="G144" s="79" t="n">
        <v>34.5</v>
      </c>
      <c r="H144" s="80" t="n">
        <v>4.86</v>
      </c>
      <c r="I144" s="80" t="n">
        <v>458</v>
      </c>
      <c r="J144" s="80" t="n">
        <v>458</v>
      </c>
      <c r="K144" s="80" t="n">
        <v>458</v>
      </c>
      <c r="L144" s="81" t="s">
        <v>198</v>
      </c>
      <c r="M144" s="80" t="n">
        <v>0.209609053497942</v>
      </c>
      <c r="N144" s="80" t="n">
        <v>0.378847736625514</v>
      </c>
      <c r="O144" s="80" t="n">
        <v>4.41434156378601</v>
      </c>
      <c r="P144" s="80" t="n">
        <v>0.544506172839506</v>
      </c>
      <c r="Q144" s="80" t="n">
        <v>1.85707818930041</v>
      </c>
      <c r="R144" s="80" t="n">
        <v>1.72189300411523</v>
      </c>
      <c r="S144" s="81" t="s">
        <v>233</v>
      </c>
      <c r="T144" s="81" t="s">
        <v>200</v>
      </c>
      <c r="U144" s="81" t="s">
        <v>201</v>
      </c>
      <c r="V144" s="82"/>
      <c r="W144" s="81" t="s">
        <v>234</v>
      </c>
      <c r="X144" s="81" t="n">
        <v>0</v>
      </c>
      <c r="Y144" s="81" t="n">
        <v>0</v>
      </c>
      <c r="Z144" s="81" t="n">
        <v>0</v>
      </c>
      <c r="AA144" s="81" t="s">
        <v>211</v>
      </c>
      <c r="AB144" s="73" t="s">
        <v>47</v>
      </c>
      <c r="AC144" s="83"/>
    </row>
    <row r="145" customFormat="false" ht="15" hidden="false" customHeight="false" outlineLevel="0" collapsed="false">
      <c r="C145" s="69" t="n">
        <v>140</v>
      </c>
      <c r="D145" s="78" t="s">
        <v>565</v>
      </c>
      <c r="E145" s="78" t="s">
        <v>534</v>
      </c>
      <c r="F145" s="78" t="s">
        <v>566</v>
      </c>
      <c r="G145" s="79" t="n">
        <v>34.5</v>
      </c>
      <c r="H145" s="80" t="n">
        <v>0.104</v>
      </c>
      <c r="I145" s="80" t="n">
        <v>275</v>
      </c>
      <c r="J145" s="80" t="n">
        <v>275</v>
      </c>
      <c r="K145" s="80" t="n">
        <v>275</v>
      </c>
      <c r="L145" s="81" t="s">
        <v>198</v>
      </c>
      <c r="M145" s="80" t="n">
        <v>0.415384615384615</v>
      </c>
      <c r="N145" s="80" t="n">
        <v>0.424038461538462</v>
      </c>
      <c r="O145" s="80" t="n">
        <v>4.1</v>
      </c>
      <c r="P145" s="80" t="n">
        <v>0.75</v>
      </c>
      <c r="Q145" s="80" t="n">
        <v>1.90192307692308</v>
      </c>
      <c r="R145" s="80" t="n">
        <v>1.67211538461538</v>
      </c>
      <c r="S145" s="81" t="s">
        <v>233</v>
      </c>
      <c r="T145" s="81" t="s">
        <v>200</v>
      </c>
      <c r="U145" s="81" t="s">
        <v>201</v>
      </c>
      <c r="V145" s="82"/>
      <c r="W145" s="81" t="s">
        <v>360</v>
      </c>
      <c r="X145" s="81" t="n">
        <v>1.24107026145023</v>
      </c>
      <c r="Y145" s="81" t="n">
        <v>84.3927777786157</v>
      </c>
      <c r="Z145" s="81" t="n">
        <v>68</v>
      </c>
      <c r="AA145" s="81" t="s">
        <v>211</v>
      </c>
      <c r="AB145" s="73" t="s">
        <v>47</v>
      </c>
      <c r="AC145" s="83"/>
    </row>
    <row r="146" customFormat="false" ht="15" hidden="false" customHeight="false" outlineLevel="0" collapsed="false">
      <c r="C146" s="76" t="n">
        <v>141</v>
      </c>
      <c r="D146" s="78" t="s">
        <v>567</v>
      </c>
      <c r="E146" s="78" t="s">
        <v>568</v>
      </c>
      <c r="F146" s="78" t="s">
        <v>569</v>
      </c>
      <c r="G146" s="79" t="n">
        <v>34.5</v>
      </c>
      <c r="H146" s="80" t="n">
        <v>0.384</v>
      </c>
      <c r="I146" s="80" t="n">
        <v>355</v>
      </c>
      <c r="J146" s="80" t="n">
        <v>355</v>
      </c>
      <c r="K146" s="80" t="n">
        <v>355</v>
      </c>
      <c r="L146" s="81" t="s">
        <v>198</v>
      </c>
      <c r="M146" s="80" t="n">
        <v>0.26171875</v>
      </c>
      <c r="N146" s="80" t="n">
        <v>0.405989583333333</v>
      </c>
      <c r="O146" s="80" t="n">
        <v>4.29609375</v>
      </c>
      <c r="P146" s="80" t="n">
        <v>0.596614583333333</v>
      </c>
      <c r="Q146" s="80" t="n">
        <v>1.884375</v>
      </c>
      <c r="R146" s="80" t="n">
        <v>1.70364583333333</v>
      </c>
      <c r="S146" s="81" t="s">
        <v>233</v>
      </c>
      <c r="T146" s="81" t="s">
        <v>200</v>
      </c>
      <c r="U146" s="81" t="s">
        <v>201</v>
      </c>
      <c r="V146" s="82"/>
      <c r="W146" s="81" t="s">
        <v>301</v>
      </c>
      <c r="X146" s="81" t="n">
        <v>0.139367283971903</v>
      </c>
      <c r="Y146" s="81" t="n">
        <v>2.50861111149425</v>
      </c>
      <c r="Z146" s="81" t="n">
        <v>18</v>
      </c>
      <c r="AA146" s="81" t="s">
        <v>211</v>
      </c>
      <c r="AB146" s="73" t="s">
        <v>47</v>
      </c>
      <c r="AC146" s="83"/>
    </row>
    <row r="147" customFormat="false" ht="15" hidden="false" customHeight="false" outlineLevel="0" collapsed="false">
      <c r="C147" s="76" t="n">
        <v>142</v>
      </c>
      <c r="D147" s="78" t="s">
        <v>570</v>
      </c>
      <c r="E147" s="78" t="s">
        <v>556</v>
      </c>
      <c r="F147" s="78" t="s">
        <v>571</v>
      </c>
      <c r="G147" s="79" t="n">
        <v>34.5</v>
      </c>
      <c r="H147" s="80" t="n">
        <v>2.4601</v>
      </c>
      <c r="I147" s="80" t="n">
        <v>465</v>
      </c>
      <c r="J147" s="80" t="n">
        <v>465</v>
      </c>
      <c r="K147" s="80" t="n">
        <v>465</v>
      </c>
      <c r="L147" s="81" t="s">
        <v>198</v>
      </c>
      <c r="M147" s="80" t="n">
        <v>0.0908906142026747</v>
      </c>
      <c r="N147" s="80" t="n">
        <v>0.137799276452177</v>
      </c>
      <c r="O147" s="80" t="n">
        <v>95.3240925165644</v>
      </c>
      <c r="P147" s="80" t="n">
        <v>0.144506320881265</v>
      </c>
      <c r="Q147" s="80" t="n">
        <v>0.34998577293606</v>
      </c>
      <c r="R147" s="80" t="n">
        <v>95.3240925165644</v>
      </c>
      <c r="S147" s="81" t="s">
        <v>233</v>
      </c>
      <c r="T147" s="81" t="s">
        <v>200</v>
      </c>
      <c r="U147" s="81" t="s">
        <v>201</v>
      </c>
      <c r="V147" s="82"/>
      <c r="W147" s="81" t="s">
        <v>240</v>
      </c>
      <c r="X147" s="81" t="n">
        <v>0</v>
      </c>
      <c r="Y147" s="81" t="n">
        <v>0</v>
      </c>
      <c r="Z147" s="81" t="n">
        <v>0</v>
      </c>
      <c r="AA147" s="81" t="s">
        <v>211</v>
      </c>
      <c r="AB147" s="73" t="s">
        <v>47</v>
      </c>
      <c r="AC147" s="83"/>
    </row>
    <row r="148" customFormat="false" ht="15" hidden="false" customHeight="false" outlineLevel="0" collapsed="false">
      <c r="C148" s="69" t="n">
        <v>143</v>
      </c>
      <c r="D148" s="78" t="s">
        <v>572</v>
      </c>
      <c r="E148" s="78" t="s">
        <v>573</v>
      </c>
      <c r="F148" s="78" t="s">
        <v>574</v>
      </c>
      <c r="G148" s="79" t="n">
        <v>34.5</v>
      </c>
      <c r="H148" s="80" t="n">
        <v>0.97</v>
      </c>
      <c r="I148" s="80" t="n">
        <v>1000</v>
      </c>
      <c r="J148" s="80" t="n">
        <v>604</v>
      </c>
      <c r="K148" s="80" t="n">
        <v>1000</v>
      </c>
      <c r="L148" s="81" t="s">
        <v>239</v>
      </c>
      <c r="M148" s="80" t="n">
        <v>0.0958762886597938</v>
      </c>
      <c r="N148" s="80" t="n">
        <v>0.469587628865979</v>
      </c>
      <c r="O148" s="80" t="n">
        <v>3.58010309278351</v>
      </c>
      <c r="P148" s="80" t="n">
        <v>0.271340206185567</v>
      </c>
      <c r="Q148" s="80" t="n">
        <v>1.7079381443299</v>
      </c>
      <c r="R148" s="80" t="n">
        <v>2.30309278350516</v>
      </c>
      <c r="S148" s="81" t="s">
        <v>233</v>
      </c>
      <c r="T148" s="81" t="s">
        <v>200</v>
      </c>
      <c r="U148" s="81" t="s">
        <v>201</v>
      </c>
      <c r="V148" s="82"/>
      <c r="W148" s="81" t="s">
        <v>388</v>
      </c>
      <c r="X148" s="81" t="n">
        <v>0</v>
      </c>
      <c r="Y148" s="81" t="n">
        <v>0</v>
      </c>
      <c r="Z148" s="81" t="n">
        <v>0</v>
      </c>
      <c r="AA148" s="81" t="s">
        <v>211</v>
      </c>
      <c r="AB148" s="73" t="s">
        <v>47</v>
      </c>
      <c r="AC148" s="83"/>
    </row>
    <row r="149" customFormat="false" ht="15" hidden="false" customHeight="false" outlineLevel="0" collapsed="false">
      <c r="C149" s="76" t="n">
        <v>144</v>
      </c>
      <c r="D149" s="78" t="s">
        <v>575</v>
      </c>
      <c r="E149" s="78" t="s">
        <v>576</v>
      </c>
      <c r="F149" s="78" t="s">
        <v>249</v>
      </c>
      <c r="G149" s="79" t="n">
        <v>34.5</v>
      </c>
      <c r="H149" s="80" t="n">
        <v>4.5</v>
      </c>
      <c r="I149" s="80" t="n">
        <v>458</v>
      </c>
      <c r="J149" s="80" t="n">
        <v>458</v>
      </c>
      <c r="K149" s="80" t="n">
        <v>458</v>
      </c>
      <c r="L149" s="81" t="s">
        <v>198</v>
      </c>
      <c r="M149" s="80" t="n">
        <v>0.2096</v>
      </c>
      <c r="N149" s="80" t="n">
        <v>0.378844444444445</v>
      </c>
      <c r="O149" s="80" t="n">
        <v>4.41433333333333</v>
      </c>
      <c r="P149" s="80" t="n">
        <v>0.544488888888889</v>
      </c>
      <c r="Q149" s="80" t="n">
        <v>1.85708888888889</v>
      </c>
      <c r="R149" s="80" t="n">
        <v>1.72191111111111</v>
      </c>
      <c r="S149" s="81" t="s">
        <v>233</v>
      </c>
      <c r="T149" s="81" t="s">
        <v>200</v>
      </c>
      <c r="U149" s="81" t="s">
        <v>201</v>
      </c>
      <c r="V149" s="82"/>
      <c r="W149" s="81" t="s">
        <v>234</v>
      </c>
      <c r="X149" s="81" t="n">
        <v>0.707726337434724</v>
      </c>
      <c r="Y149" s="81" t="n">
        <v>95.5430555536877</v>
      </c>
      <c r="Z149" s="81" t="n">
        <v>135</v>
      </c>
      <c r="AA149" s="81" t="s">
        <v>211</v>
      </c>
      <c r="AB149" s="73" t="s">
        <v>47</v>
      </c>
      <c r="AC149" s="83"/>
    </row>
    <row r="150" customFormat="false" ht="15" hidden="false" customHeight="false" outlineLevel="0" collapsed="false">
      <c r="C150" s="76" t="n">
        <v>145</v>
      </c>
      <c r="D150" s="78" t="s">
        <v>577</v>
      </c>
      <c r="E150" s="78" t="s">
        <v>578</v>
      </c>
      <c r="F150" s="78" t="s">
        <v>579</v>
      </c>
      <c r="G150" s="79" t="n">
        <v>34.5</v>
      </c>
      <c r="H150" s="80" t="n">
        <v>13.4107</v>
      </c>
      <c r="I150" s="80" t="n">
        <v>241</v>
      </c>
      <c r="J150" s="80" t="n">
        <v>139.78</v>
      </c>
      <c r="K150" s="80" t="n">
        <v>241</v>
      </c>
      <c r="L150" s="81" t="s">
        <v>239</v>
      </c>
      <c r="M150" s="80" t="n">
        <v>0.522925723489452</v>
      </c>
      <c r="N150" s="80" t="n">
        <v>0.432475560559852</v>
      </c>
      <c r="O150" s="80" t="n">
        <v>4.00846339117272</v>
      </c>
      <c r="P150" s="80" t="n">
        <v>0.857815028298299</v>
      </c>
      <c r="Q150" s="80" t="n">
        <v>1.91072054404319</v>
      </c>
      <c r="R150" s="80" t="n">
        <v>1.65657273669533</v>
      </c>
      <c r="S150" s="81" t="s">
        <v>233</v>
      </c>
      <c r="T150" s="81" t="s">
        <v>200</v>
      </c>
      <c r="U150" s="81" t="s">
        <v>201</v>
      </c>
      <c r="V150" s="82"/>
      <c r="W150" s="81" t="s">
        <v>364</v>
      </c>
      <c r="X150" s="81" t="n">
        <v>0.568400383178257</v>
      </c>
      <c r="Y150" s="81" t="n">
        <v>16.4836111121695</v>
      </c>
      <c r="Z150" s="81" t="n">
        <v>29</v>
      </c>
      <c r="AA150" s="81" t="s">
        <v>211</v>
      </c>
      <c r="AB150" s="73" t="s">
        <v>47</v>
      </c>
      <c r="AC150" s="83"/>
    </row>
    <row r="151" customFormat="false" ht="15" hidden="false" customHeight="false" outlineLevel="0" collapsed="false">
      <c r="C151" s="69" t="n">
        <v>146</v>
      </c>
      <c r="D151" s="78" t="s">
        <v>580</v>
      </c>
      <c r="E151" s="78" t="s">
        <v>581</v>
      </c>
      <c r="F151" s="78" t="s">
        <v>582</v>
      </c>
      <c r="G151" s="79" t="n">
        <v>34.5</v>
      </c>
      <c r="H151" s="80" t="n">
        <v>3.82</v>
      </c>
      <c r="I151" s="80" t="n">
        <v>458</v>
      </c>
      <c r="J151" s="80" t="n">
        <v>458</v>
      </c>
      <c r="K151" s="80" t="n">
        <v>458</v>
      </c>
      <c r="L151" s="81" t="s">
        <v>198</v>
      </c>
      <c r="M151" s="80" t="n">
        <v>0.209607329842932</v>
      </c>
      <c r="N151" s="80" t="n">
        <v>0.378848167539267</v>
      </c>
      <c r="O151" s="80" t="n">
        <v>4.41434554973822</v>
      </c>
      <c r="P151" s="80" t="n">
        <v>0.544502617801047</v>
      </c>
      <c r="Q151" s="80" t="n">
        <v>1.8570942408377</v>
      </c>
      <c r="R151" s="80" t="n">
        <v>1.7219109947644</v>
      </c>
      <c r="S151" s="81" t="s">
        <v>233</v>
      </c>
      <c r="T151" s="81" t="s">
        <v>200</v>
      </c>
      <c r="U151" s="81" t="s">
        <v>201</v>
      </c>
      <c r="V151" s="82"/>
      <c r="W151" s="81" t="s">
        <v>234</v>
      </c>
      <c r="X151" s="81" t="n">
        <v>2.21638888888992</v>
      </c>
      <c r="Y151" s="81" t="n">
        <v>4.43277777777985</v>
      </c>
      <c r="Z151" s="81" t="n">
        <v>2</v>
      </c>
      <c r="AA151" s="81" t="s">
        <v>211</v>
      </c>
      <c r="AB151" s="73" t="s">
        <v>47</v>
      </c>
      <c r="AC151" s="83"/>
    </row>
    <row r="152" customFormat="false" ht="15" hidden="false" customHeight="false" outlineLevel="0" collapsed="false">
      <c r="C152" s="76" t="n">
        <v>147</v>
      </c>
      <c r="D152" s="78" t="s">
        <v>583</v>
      </c>
      <c r="E152" s="78" t="s">
        <v>274</v>
      </c>
      <c r="F152" s="78" t="s">
        <v>584</v>
      </c>
      <c r="G152" s="79" t="n">
        <v>34.5</v>
      </c>
      <c r="H152" s="80" t="n">
        <v>3.5</v>
      </c>
      <c r="I152" s="80" t="n">
        <v>465</v>
      </c>
      <c r="J152" s="80" t="n">
        <v>465</v>
      </c>
      <c r="K152" s="80" t="n">
        <v>465</v>
      </c>
      <c r="L152" s="81" t="s">
        <v>198</v>
      </c>
      <c r="M152" s="80" t="n">
        <v>0.0908857142857143</v>
      </c>
      <c r="N152" s="80" t="n">
        <v>0.1378</v>
      </c>
      <c r="O152" s="80" t="n">
        <v>95.3236857142857</v>
      </c>
      <c r="P152" s="80" t="n">
        <v>0.144485714285714</v>
      </c>
      <c r="Q152" s="80" t="n">
        <v>0.35</v>
      </c>
      <c r="R152" s="80" t="n">
        <v>95.3236857142857</v>
      </c>
      <c r="S152" s="81" t="s">
        <v>233</v>
      </c>
      <c r="T152" s="81" t="s">
        <v>200</v>
      </c>
      <c r="U152" s="81" t="s">
        <v>201</v>
      </c>
      <c r="V152" s="82"/>
      <c r="W152" s="81" t="s">
        <v>240</v>
      </c>
      <c r="X152" s="81" t="n">
        <v>0.139367283971903</v>
      </c>
      <c r="Y152" s="81" t="n">
        <v>2.50861111149425</v>
      </c>
      <c r="Z152" s="81" t="n">
        <v>18</v>
      </c>
      <c r="AA152" s="81" t="s">
        <v>211</v>
      </c>
      <c r="AB152" s="73" t="s">
        <v>47</v>
      </c>
      <c r="AC152" s="83"/>
    </row>
    <row r="153" customFormat="false" ht="15" hidden="false" customHeight="false" outlineLevel="0" collapsed="false">
      <c r="C153" s="76" t="n">
        <v>148</v>
      </c>
      <c r="D153" s="78" t="s">
        <v>585</v>
      </c>
      <c r="E153" s="78" t="s">
        <v>571</v>
      </c>
      <c r="F153" s="78" t="s">
        <v>274</v>
      </c>
      <c r="G153" s="79" t="n">
        <v>34.5</v>
      </c>
      <c r="H153" s="80" t="n">
        <v>2.9558</v>
      </c>
      <c r="I153" s="80" t="n">
        <v>458</v>
      </c>
      <c r="J153" s="80" t="n">
        <v>458</v>
      </c>
      <c r="K153" s="80" t="n">
        <v>458</v>
      </c>
      <c r="L153" s="81" t="s">
        <v>198</v>
      </c>
      <c r="M153" s="80" t="n">
        <v>0.209621760606266</v>
      </c>
      <c r="N153" s="80" t="n">
        <v>0.378848365924623</v>
      </c>
      <c r="O153" s="80" t="n">
        <v>4.41433791190202</v>
      </c>
      <c r="P153" s="80" t="n">
        <v>0.544488801678057</v>
      </c>
      <c r="Q153" s="80" t="n">
        <v>1.85709452601665</v>
      </c>
      <c r="R153" s="80" t="n">
        <v>1.72190269977671</v>
      </c>
      <c r="S153" s="81" t="s">
        <v>233</v>
      </c>
      <c r="T153" s="81" t="s">
        <v>200</v>
      </c>
      <c r="U153" s="81" t="s">
        <v>201</v>
      </c>
      <c r="V153" s="82"/>
      <c r="W153" s="81" t="s">
        <v>234</v>
      </c>
      <c r="X153" s="81" t="n">
        <v>0</v>
      </c>
      <c r="Y153" s="81" t="n">
        <v>0</v>
      </c>
      <c r="Z153" s="81" t="n">
        <v>0</v>
      </c>
      <c r="AA153" s="81" t="s">
        <v>211</v>
      </c>
      <c r="AB153" s="73" t="s">
        <v>47</v>
      </c>
      <c r="AC153" s="83"/>
    </row>
    <row r="154" customFormat="false" ht="15" hidden="false" customHeight="false" outlineLevel="0" collapsed="false">
      <c r="C154" s="69" t="n">
        <v>149</v>
      </c>
      <c r="D154" s="78" t="s">
        <v>586</v>
      </c>
      <c r="E154" s="78" t="s">
        <v>587</v>
      </c>
      <c r="F154" s="78" t="s">
        <v>588</v>
      </c>
      <c r="G154" s="79" t="n">
        <v>34.5</v>
      </c>
      <c r="H154" s="80" t="n">
        <v>2.527</v>
      </c>
      <c r="I154" s="80" t="n">
        <v>465</v>
      </c>
      <c r="J154" s="80" t="n">
        <v>440.355</v>
      </c>
      <c r="K154" s="80" t="n">
        <v>465</v>
      </c>
      <c r="L154" s="81" t="s">
        <v>239</v>
      </c>
      <c r="M154" s="80" t="n">
        <v>0.0908982983775227</v>
      </c>
      <c r="N154" s="80" t="n">
        <v>0.137791848041156</v>
      </c>
      <c r="O154" s="80" t="n">
        <v>95.3237039968342</v>
      </c>
      <c r="P154" s="80" t="n">
        <v>0.144479620102889</v>
      </c>
      <c r="Q154" s="80" t="n">
        <v>0.349980213692125</v>
      </c>
      <c r="R154" s="80" t="n">
        <v>95.3237039968342</v>
      </c>
      <c r="S154" s="81" t="s">
        <v>233</v>
      </c>
      <c r="T154" s="81" t="s">
        <v>200</v>
      </c>
      <c r="U154" s="81" t="s">
        <v>201</v>
      </c>
      <c r="V154" s="82"/>
      <c r="W154" s="81" t="s">
        <v>240</v>
      </c>
      <c r="X154" s="81" t="n">
        <v>0.315793650823512</v>
      </c>
      <c r="Y154" s="81" t="n">
        <v>2.21055555576459</v>
      </c>
      <c r="Z154" s="81" t="n">
        <v>7</v>
      </c>
      <c r="AA154" s="81" t="s">
        <v>211</v>
      </c>
      <c r="AB154" s="73" t="s">
        <v>47</v>
      </c>
      <c r="AC154" s="83"/>
    </row>
    <row r="155" customFormat="false" ht="15" hidden="false" customHeight="false" outlineLevel="0" collapsed="false">
      <c r="C155" s="76" t="n">
        <v>150</v>
      </c>
      <c r="D155" s="78" t="s">
        <v>589</v>
      </c>
      <c r="E155" s="78" t="s">
        <v>536</v>
      </c>
      <c r="F155" s="78" t="s">
        <v>590</v>
      </c>
      <c r="G155" s="79" t="n">
        <v>34.5</v>
      </c>
      <c r="H155" s="80" t="n">
        <v>0.7</v>
      </c>
      <c r="I155" s="80" t="n">
        <v>458</v>
      </c>
      <c r="J155" s="80" t="n">
        <v>458</v>
      </c>
      <c r="K155" s="80" t="n">
        <v>458</v>
      </c>
      <c r="L155" s="81" t="s">
        <v>198</v>
      </c>
      <c r="M155" s="80" t="n">
        <v>0.209571428571429</v>
      </c>
      <c r="N155" s="80" t="n">
        <v>0.378857142857143</v>
      </c>
      <c r="O155" s="80" t="n">
        <v>4.41428571428572</v>
      </c>
      <c r="P155" s="80" t="n">
        <v>0.544428571428572</v>
      </c>
      <c r="Q155" s="80" t="n">
        <v>1.85714285714286</v>
      </c>
      <c r="R155" s="80" t="n">
        <v>1.72185714285714</v>
      </c>
      <c r="S155" s="81" t="s">
        <v>233</v>
      </c>
      <c r="T155" s="81" t="s">
        <v>200</v>
      </c>
      <c r="U155" s="81" t="s">
        <v>201</v>
      </c>
      <c r="V155" s="82"/>
      <c r="W155" s="81" t="s">
        <v>234</v>
      </c>
      <c r="X155" s="81" t="n">
        <v>0.907076271185237</v>
      </c>
      <c r="Y155" s="81" t="n">
        <v>107.034999999858</v>
      </c>
      <c r="Z155" s="81" t="n">
        <v>118</v>
      </c>
      <c r="AA155" s="81" t="s">
        <v>211</v>
      </c>
      <c r="AB155" s="73" t="s">
        <v>47</v>
      </c>
      <c r="AC155" s="83"/>
    </row>
    <row r="156" customFormat="false" ht="15" hidden="false" customHeight="false" outlineLevel="0" collapsed="false">
      <c r="C156" s="76" t="n">
        <v>151</v>
      </c>
      <c r="D156" s="78" t="s">
        <v>591</v>
      </c>
      <c r="E156" s="78" t="s">
        <v>592</v>
      </c>
      <c r="F156" s="78" t="s">
        <v>593</v>
      </c>
      <c r="G156" s="79" t="n">
        <v>34.5</v>
      </c>
      <c r="H156" s="80" t="n">
        <v>6.8</v>
      </c>
      <c r="I156" s="80" t="n">
        <v>458</v>
      </c>
      <c r="J156" s="80" t="n">
        <v>458</v>
      </c>
      <c r="K156" s="80" t="n">
        <v>458</v>
      </c>
      <c r="L156" s="81" t="s">
        <v>198</v>
      </c>
      <c r="M156" s="80" t="n">
        <v>0.209602941176471</v>
      </c>
      <c r="N156" s="80" t="n">
        <v>0.378838235294118</v>
      </c>
      <c r="O156" s="80" t="n">
        <v>4.41433823529412</v>
      </c>
      <c r="P156" s="80" t="n">
        <v>0.5445</v>
      </c>
      <c r="Q156" s="80" t="n">
        <v>1.85708823529412</v>
      </c>
      <c r="R156" s="80" t="n">
        <v>1.72189705882353</v>
      </c>
      <c r="S156" s="81" t="s">
        <v>233</v>
      </c>
      <c r="T156" s="81" t="s">
        <v>200</v>
      </c>
      <c r="U156" s="81" t="s">
        <v>201</v>
      </c>
      <c r="V156" s="82"/>
      <c r="W156" s="81" t="s">
        <v>234</v>
      </c>
      <c r="X156" s="81" t="n">
        <v>0.707726337434724</v>
      </c>
      <c r="Y156" s="81" t="n">
        <v>95.5430555536877</v>
      </c>
      <c r="Z156" s="81" t="n">
        <v>135</v>
      </c>
      <c r="AA156" s="81" t="s">
        <v>211</v>
      </c>
      <c r="AB156" s="73" t="s">
        <v>47</v>
      </c>
      <c r="AC156" s="83"/>
    </row>
    <row r="157" customFormat="false" ht="15" hidden="false" customHeight="false" outlineLevel="0" collapsed="false">
      <c r="C157" s="69" t="n">
        <v>152</v>
      </c>
      <c r="D157" s="78" t="s">
        <v>594</v>
      </c>
      <c r="E157" s="78" t="s">
        <v>588</v>
      </c>
      <c r="F157" s="78" t="s">
        <v>595</v>
      </c>
      <c r="G157" s="79" t="n">
        <v>34.5</v>
      </c>
      <c r="H157" s="80" t="n">
        <v>2.27</v>
      </c>
      <c r="I157" s="80" t="n">
        <v>458</v>
      </c>
      <c r="J157" s="80" t="n">
        <v>458</v>
      </c>
      <c r="K157" s="80" t="n">
        <v>458</v>
      </c>
      <c r="L157" s="81" t="s">
        <v>198</v>
      </c>
      <c r="M157" s="80" t="n">
        <v>0.209603524229075</v>
      </c>
      <c r="N157" s="80" t="n">
        <v>0.378854625550661</v>
      </c>
      <c r="O157" s="80" t="n">
        <v>4.41431718061674</v>
      </c>
      <c r="P157" s="80" t="n">
        <v>0.544493392070485</v>
      </c>
      <c r="Q157" s="80" t="n">
        <v>1.85709251101322</v>
      </c>
      <c r="R157" s="80" t="n">
        <v>1.72189427312775</v>
      </c>
      <c r="S157" s="81" t="s">
        <v>233</v>
      </c>
      <c r="T157" s="81" t="s">
        <v>200</v>
      </c>
      <c r="U157" s="81" t="s">
        <v>201</v>
      </c>
      <c r="V157" s="82"/>
      <c r="W157" s="81" t="s">
        <v>234</v>
      </c>
      <c r="X157" s="81" t="n">
        <v>2.21638888888992</v>
      </c>
      <c r="Y157" s="81" t="n">
        <v>4.43277777777985</v>
      </c>
      <c r="Z157" s="81" t="n">
        <v>2</v>
      </c>
      <c r="AA157" s="81" t="s">
        <v>211</v>
      </c>
      <c r="AB157" s="73" t="s">
        <v>47</v>
      </c>
      <c r="AC157" s="83"/>
    </row>
    <row r="158" customFormat="false" ht="15" hidden="false" customHeight="false" outlineLevel="0" collapsed="false">
      <c r="C158" s="76" t="n">
        <v>153</v>
      </c>
      <c r="D158" s="78" t="s">
        <v>596</v>
      </c>
      <c r="E158" s="78" t="s">
        <v>597</v>
      </c>
      <c r="F158" s="78" t="s">
        <v>598</v>
      </c>
      <c r="G158" s="79" t="n">
        <v>34.5</v>
      </c>
      <c r="H158" s="80" t="n">
        <v>3.87</v>
      </c>
      <c r="I158" s="80" t="n">
        <v>458</v>
      </c>
      <c r="J158" s="80" t="n">
        <v>458</v>
      </c>
      <c r="K158" s="80" t="n">
        <v>458</v>
      </c>
      <c r="L158" s="81" t="s">
        <v>198</v>
      </c>
      <c r="M158" s="80" t="n">
        <v>0.209612403100775</v>
      </c>
      <c r="N158" s="80" t="n">
        <v>0.378837209302326</v>
      </c>
      <c r="O158" s="80" t="n">
        <v>4.41434108527132</v>
      </c>
      <c r="P158" s="80" t="n">
        <v>0.544496124031008</v>
      </c>
      <c r="Q158" s="80" t="n">
        <v>1.85708010335917</v>
      </c>
      <c r="R158" s="80" t="n">
        <v>1.72191214470284</v>
      </c>
      <c r="S158" s="81" t="s">
        <v>233</v>
      </c>
      <c r="T158" s="81" t="s">
        <v>200</v>
      </c>
      <c r="U158" s="81" t="s">
        <v>201</v>
      </c>
      <c r="V158" s="82"/>
      <c r="W158" s="81" t="s">
        <v>234</v>
      </c>
      <c r="X158" s="81" t="n">
        <v>2.21638888888992</v>
      </c>
      <c r="Y158" s="81" t="n">
        <v>4.43277777777985</v>
      </c>
      <c r="Z158" s="81" t="n">
        <v>2</v>
      </c>
      <c r="AA158" s="81" t="s">
        <v>211</v>
      </c>
      <c r="AB158" s="73" t="s">
        <v>47</v>
      </c>
      <c r="AC158" s="83"/>
    </row>
    <row r="159" customFormat="false" ht="15" hidden="false" customHeight="false" outlineLevel="0" collapsed="false">
      <c r="C159" s="76" t="n">
        <v>154</v>
      </c>
      <c r="D159" s="78" t="s">
        <v>599</v>
      </c>
      <c r="E159" s="78" t="s">
        <v>324</v>
      </c>
      <c r="F159" s="78" t="s">
        <v>600</v>
      </c>
      <c r="G159" s="79" t="n">
        <v>34.5</v>
      </c>
      <c r="H159" s="80" t="n">
        <v>7.0882</v>
      </c>
      <c r="I159" s="80" t="n">
        <v>458</v>
      </c>
      <c r="J159" s="80" t="n">
        <v>380.14</v>
      </c>
      <c r="K159" s="80" t="n">
        <v>458</v>
      </c>
      <c r="L159" s="81" t="s">
        <v>239</v>
      </c>
      <c r="M159" s="80" t="n">
        <v>0.209615981490364</v>
      </c>
      <c r="N159" s="80" t="n">
        <v>0.378840890494061</v>
      </c>
      <c r="O159" s="80" t="n">
        <v>4.41433650292035</v>
      </c>
      <c r="P159" s="80" t="n">
        <v>0.544496487119438</v>
      </c>
      <c r="Q159" s="80" t="n">
        <v>1.8570864253266</v>
      </c>
      <c r="R159" s="80" t="n">
        <v>1.72190400948055</v>
      </c>
      <c r="S159" s="81" t="s">
        <v>233</v>
      </c>
      <c r="T159" s="81" t="s">
        <v>200</v>
      </c>
      <c r="U159" s="81" t="s">
        <v>201</v>
      </c>
      <c r="V159" s="82"/>
      <c r="W159" s="81" t="s">
        <v>234</v>
      </c>
      <c r="X159" s="81" t="n">
        <v>1.24107026145023</v>
      </c>
      <c r="Y159" s="81" t="n">
        <v>84.3927777786157</v>
      </c>
      <c r="Z159" s="81" t="n">
        <v>68</v>
      </c>
      <c r="AA159" s="81" t="s">
        <v>211</v>
      </c>
      <c r="AB159" s="73" t="s">
        <v>47</v>
      </c>
      <c r="AC159" s="83"/>
    </row>
    <row r="160" customFormat="false" ht="15" hidden="false" customHeight="false" outlineLevel="0" collapsed="false">
      <c r="C160" s="69" t="n">
        <v>155</v>
      </c>
      <c r="D160" s="78" t="s">
        <v>601</v>
      </c>
      <c r="E160" s="78" t="s">
        <v>539</v>
      </c>
      <c r="F160" s="78" t="s">
        <v>602</v>
      </c>
      <c r="G160" s="79" t="n">
        <v>34.5</v>
      </c>
      <c r="H160" s="80" t="n">
        <v>1.5</v>
      </c>
      <c r="I160" s="80" t="n">
        <v>458</v>
      </c>
      <c r="J160" s="80" t="n">
        <v>458</v>
      </c>
      <c r="K160" s="80" t="n">
        <v>458</v>
      </c>
      <c r="L160" s="81" t="s">
        <v>198</v>
      </c>
      <c r="M160" s="80" t="n">
        <v>0.2096</v>
      </c>
      <c r="N160" s="80" t="n">
        <v>0.378866666666667</v>
      </c>
      <c r="O160" s="80" t="n">
        <v>4.41433333333333</v>
      </c>
      <c r="P160" s="80" t="n">
        <v>0.544466666666667</v>
      </c>
      <c r="Q160" s="80" t="n">
        <v>1.85706666666667</v>
      </c>
      <c r="R160" s="80" t="n">
        <v>1.72193333333333</v>
      </c>
      <c r="S160" s="81" t="s">
        <v>233</v>
      </c>
      <c r="T160" s="81" t="s">
        <v>200</v>
      </c>
      <c r="U160" s="81" t="s">
        <v>201</v>
      </c>
      <c r="V160" s="82"/>
      <c r="W160" s="81" t="s">
        <v>234</v>
      </c>
      <c r="X160" s="81" t="n">
        <v>0</v>
      </c>
      <c r="Y160" s="81" t="n">
        <v>0</v>
      </c>
      <c r="Z160" s="81" t="n">
        <v>0</v>
      </c>
      <c r="AA160" s="81" t="s">
        <v>211</v>
      </c>
      <c r="AB160" s="73" t="s">
        <v>47</v>
      </c>
      <c r="AC160" s="83"/>
    </row>
    <row r="161" customFormat="false" ht="15" hidden="false" customHeight="false" outlineLevel="0" collapsed="false">
      <c r="C161" s="76" t="n">
        <v>156</v>
      </c>
      <c r="D161" s="78" t="s">
        <v>603</v>
      </c>
      <c r="E161" s="78" t="s">
        <v>604</v>
      </c>
      <c r="F161" s="78" t="s">
        <v>551</v>
      </c>
      <c r="G161" s="79" t="n">
        <v>34.5</v>
      </c>
      <c r="H161" s="80" t="n">
        <v>1.005</v>
      </c>
      <c r="I161" s="80" t="n">
        <v>458</v>
      </c>
      <c r="J161" s="80" t="n">
        <v>458</v>
      </c>
      <c r="K161" s="80" t="n">
        <v>458</v>
      </c>
      <c r="L161" s="81" t="s">
        <v>198</v>
      </c>
      <c r="M161" s="80" t="n">
        <v>0.209651741293532</v>
      </c>
      <c r="N161" s="80" t="n">
        <v>0.378805970149254</v>
      </c>
      <c r="O161" s="80" t="n">
        <v>4.41432835820896</v>
      </c>
      <c r="P161" s="80" t="n">
        <v>0.544477611940299</v>
      </c>
      <c r="Q161" s="80" t="n">
        <v>1.8571144278607</v>
      </c>
      <c r="R161" s="80" t="n">
        <v>1.72189054726368</v>
      </c>
      <c r="S161" s="81" t="s">
        <v>233</v>
      </c>
      <c r="T161" s="81" t="s">
        <v>200</v>
      </c>
      <c r="U161" s="81" t="s">
        <v>201</v>
      </c>
      <c r="V161" s="82"/>
      <c r="W161" s="81" t="s">
        <v>234</v>
      </c>
      <c r="X161" s="81" t="n">
        <v>0</v>
      </c>
      <c r="Y161" s="81" t="n">
        <v>0</v>
      </c>
      <c r="Z161" s="81" t="n">
        <v>0</v>
      </c>
      <c r="AA161" s="81" t="s">
        <v>211</v>
      </c>
      <c r="AB161" s="73" t="s">
        <v>47</v>
      </c>
      <c r="AC161" s="83"/>
    </row>
    <row r="162" customFormat="false" ht="15" hidden="false" customHeight="false" outlineLevel="0" collapsed="false">
      <c r="C162" s="76" t="n">
        <v>157</v>
      </c>
      <c r="D162" s="78" t="s">
        <v>605</v>
      </c>
      <c r="E162" s="78" t="s">
        <v>606</v>
      </c>
      <c r="F162" s="78" t="s">
        <v>607</v>
      </c>
      <c r="G162" s="79" t="n">
        <v>34.5</v>
      </c>
      <c r="H162" s="80" t="n">
        <v>1.3287</v>
      </c>
      <c r="I162" s="80" t="n">
        <v>458</v>
      </c>
      <c r="J162" s="80" t="n">
        <v>458</v>
      </c>
      <c r="K162" s="80" t="n">
        <v>458</v>
      </c>
      <c r="L162" s="81" t="s">
        <v>198</v>
      </c>
      <c r="M162" s="80" t="n">
        <v>0.209603371716716</v>
      </c>
      <c r="N162" s="80" t="n">
        <v>0.378866561300519</v>
      </c>
      <c r="O162" s="80" t="n">
        <v>4.41431474373448</v>
      </c>
      <c r="P162" s="80" t="n">
        <v>0.54451719726048</v>
      </c>
      <c r="Q162" s="80" t="n">
        <v>1.85707834725672</v>
      </c>
      <c r="R162" s="80" t="n">
        <v>1.72190863249793</v>
      </c>
      <c r="S162" s="81" t="s">
        <v>233</v>
      </c>
      <c r="T162" s="81" t="s">
        <v>200</v>
      </c>
      <c r="U162" s="81" t="s">
        <v>201</v>
      </c>
      <c r="V162" s="82"/>
      <c r="W162" s="81" t="s">
        <v>234</v>
      </c>
      <c r="X162" s="81" t="n">
        <v>0</v>
      </c>
      <c r="Y162" s="81" t="n">
        <v>0</v>
      </c>
      <c r="Z162" s="81" t="n">
        <v>0</v>
      </c>
      <c r="AA162" s="81" t="s">
        <v>211</v>
      </c>
      <c r="AB162" s="73" t="s">
        <v>47</v>
      </c>
      <c r="AC162" s="83"/>
    </row>
    <row r="163" customFormat="false" ht="15" hidden="false" customHeight="false" outlineLevel="0" collapsed="false">
      <c r="C163" s="69" t="n">
        <v>158</v>
      </c>
      <c r="D163" s="78" t="s">
        <v>608</v>
      </c>
      <c r="E163" s="78" t="s">
        <v>270</v>
      </c>
      <c r="F163" s="78" t="s">
        <v>578</v>
      </c>
      <c r="G163" s="79" t="n">
        <v>34.5</v>
      </c>
      <c r="H163" s="80" t="n">
        <v>5.2807</v>
      </c>
      <c r="I163" s="80" t="n">
        <v>241</v>
      </c>
      <c r="J163" s="80" t="n">
        <v>169.905</v>
      </c>
      <c r="K163" s="80" t="n">
        <v>241</v>
      </c>
      <c r="L163" s="81" t="s">
        <v>239</v>
      </c>
      <c r="M163" s="80" t="n">
        <v>0.522923097316644</v>
      </c>
      <c r="N163" s="80" t="n">
        <v>0.43248054235234</v>
      </c>
      <c r="O163" s="80" t="n">
        <v>4.00846478686538</v>
      </c>
      <c r="P163" s="80" t="n">
        <v>0.857821879675043</v>
      </c>
      <c r="Q163" s="80" t="n">
        <v>1.91071259492113</v>
      </c>
      <c r="R163" s="80" t="n">
        <v>1.65657962012612</v>
      </c>
      <c r="S163" s="81" t="s">
        <v>233</v>
      </c>
      <c r="T163" s="81" t="s">
        <v>200</v>
      </c>
      <c r="U163" s="81" t="s">
        <v>201</v>
      </c>
      <c r="V163" s="82"/>
      <c r="W163" s="81" t="s">
        <v>364</v>
      </c>
      <c r="X163" s="81" t="n">
        <v>0.568400383178257</v>
      </c>
      <c r="Y163" s="81" t="n">
        <v>16.4836111121695</v>
      </c>
      <c r="Z163" s="81" t="n">
        <v>29</v>
      </c>
      <c r="AA163" s="81" t="s">
        <v>211</v>
      </c>
      <c r="AB163" s="73" t="s">
        <v>47</v>
      </c>
      <c r="AC163" s="83"/>
    </row>
    <row r="164" customFormat="false" ht="15" hidden="false" customHeight="false" outlineLevel="0" collapsed="false">
      <c r="C164" s="76" t="n">
        <v>159</v>
      </c>
      <c r="D164" s="78" t="s">
        <v>609</v>
      </c>
      <c r="E164" s="78" t="s">
        <v>610</v>
      </c>
      <c r="F164" s="78" t="s">
        <v>374</v>
      </c>
      <c r="G164" s="79" t="n">
        <v>34.5</v>
      </c>
      <c r="H164" s="80" t="n">
        <v>8.94</v>
      </c>
      <c r="I164" s="80" t="n">
        <v>355</v>
      </c>
      <c r="J164" s="80" t="n">
        <v>355</v>
      </c>
      <c r="K164" s="80" t="n">
        <v>355</v>
      </c>
      <c r="L164" s="81" t="s">
        <v>198</v>
      </c>
      <c r="M164" s="80" t="n">
        <v>0.26162192393736</v>
      </c>
      <c r="N164" s="80" t="n">
        <v>0.406051454138703</v>
      </c>
      <c r="O164" s="80" t="n">
        <v>4.29609619686801</v>
      </c>
      <c r="P164" s="80" t="n">
        <v>0.596510067114094</v>
      </c>
      <c r="Q164" s="80" t="n">
        <v>1.88429530201342</v>
      </c>
      <c r="R164" s="80" t="n">
        <v>1.70364653243848</v>
      </c>
      <c r="S164" s="81" t="s">
        <v>233</v>
      </c>
      <c r="T164" s="81" t="s">
        <v>200</v>
      </c>
      <c r="U164" s="81" t="s">
        <v>201</v>
      </c>
      <c r="V164" s="82"/>
      <c r="W164" s="81" t="s">
        <v>301</v>
      </c>
      <c r="X164" s="81" t="n">
        <v>0</v>
      </c>
      <c r="Y164" s="81" t="n">
        <v>0</v>
      </c>
      <c r="Z164" s="81" t="n">
        <v>0</v>
      </c>
      <c r="AA164" s="81" t="s">
        <v>211</v>
      </c>
      <c r="AB164" s="73" t="s">
        <v>47</v>
      </c>
      <c r="AC164" s="83"/>
    </row>
    <row r="165" customFormat="false" ht="15" hidden="false" customHeight="false" outlineLevel="0" collapsed="false">
      <c r="C165" s="76" t="n">
        <v>160</v>
      </c>
      <c r="D165" s="78" t="s">
        <v>611</v>
      </c>
      <c r="E165" s="78" t="s">
        <v>256</v>
      </c>
      <c r="F165" s="78" t="s">
        <v>612</v>
      </c>
      <c r="G165" s="79" t="n">
        <v>34.5</v>
      </c>
      <c r="H165" s="80" t="n">
        <v>6.42</v>
      </c>
      <c r="I165" s="80" t="n">
        <v>458</v>
      </c>
      <c r="J165" s="80" t="n">
        <v>458</v>
      </c>
      <c r="K165" s="80" t="n">
        <v>458</v>
      </c>
      <c r="L165" s="81" t="s">
        <v>198</v>
      </c>
      <c r="M165" s="80" t="n">
        <v>0.209610591900312</v>
      </c>
      <c r="N165" s="80" t="n">
        <v>0.378831775700935</v>
      </c>
      <c r="O165" s="80" t="n">
        <v>4.41433021806854</v>
      </c>
      <c r="P165" s="80" t="n">
        <v>0.544501557632399</v>
      </c>
      <c r="Q165" s="80" t="n">
        <v>1.85708722741433</v>
      </c>
      <c r="R165" s="80" t="n">
        <v>1.72190031152648</v>
      </c>
      <c r="S165" s="81" t="s">
        <v>233</v>
      </c>
      <c r="T165" s="81" t="s">
        <v>200</v>
      </c>
      <c r="U165" s="81" t="s">
        <v>201</v>
      </c>
      <c r="V165" s="82"/>
      <c r="W165" s="81" t="s">
        <v>234</v>
      </c>
      <c r="X165" s="81" t="n">
        <v>0</v>
      </c>
      <c r="Y165" s="81" t="n">
        <v>0</v>
      </c>
      <c r="Z165" s="81" t="n">
        <v>0</v>
      </c>
      <c r="AA165" s="81" t="s">
        <v>211</v>
      </c>
      <c r="AB165" s="73" t="s">
        <v>47</v>
      </c>
      <c r="AC165" s="83"/>
    </row>
    <row r="166" customFormat="false" ht="15" hidden="false" customHeight="false" outlineLevel="0" collapsed="false">
      <c r="C166" s="69" t="n">
        <v>161</v>
      </c>
      <c r="D166" s="78" t="s">
        <v>613</v>
      </c>
      <c r="E166" s="78" t="s">
        <v>614</v>
      </c>
      <c r="F166" s="78" t="s">
        <v>558</v>
      </c>
      <c r="G166" s="79" t="n">
        <v>34.5</v>
      </c>
      <c r="H166" s="80" t="n">
        <v>0.72</v>
      </c>
      <c r="I166" s="80" t="n">
        <v>458</v>
      </c>
      <c r="J166" s="80" t="n">
        <v>458</v>
      </c>
      <c r="K166" s="80" t="n">
        <v>458</v>
      </c>
      <c r="L166" s="81" t="s">
        <v>198</v>
      </c>
      <c r="M166" s="80" t="n">
        <v>0.209583333333333</v>
      </c>
      <c r="N166" s="80" t="n">
        <v>0.378888888888889</v>
      </c>
      <c r="O166" s="80" t="n">
        <v>4.41430555555556</v>
      </c>
      <c r="P166" s="80" t="n">
        <v>0.544444444444445</v>
      </c>
      <c r="Q166" s="80" t="n">
        <v>1.85708333333333</v>
      </c>
      <c r="R166" s="80" t="n">
        <v>1.72194444444444</v>
      </c>
      <c r="S166" s="81" t="s">
        <v>233</v>
      </c>
      <c r="T166" s="81" t="s">
        <v>200</v>
      </c>
      <c r="U166" s="81" t="s">
        <v>201</v>
      </c>
      <c r="V166" s="82"/>
      <c r="W166" s="81" t="s">
        <v>234</v>
      </c>
      <c r="X166" s="81" t="n">
        <v>2.83349999998463</v>
      </c>
      <c r="Y166" s="81" t="n">
        <v>14.1674999999232</v>
      </c>
      <c r="Z166" s="81" t="n">
        <v>5</v>
      </c>
      <c r="AA166" s="81" t="s">
        <v>211</v>
      </c>
      <c r="AB166" s="73" t="s">
        <v>47</v>
      </c>
      <c r="AC166" s="83"/>
    </row>
    <row r="167" customFormat="false" ht="15" hidden="false" customHeight="false" outlineLevel="0" collapsed="false">
      <c r="C167" s="76" t="n">
        <v>162</v>
      </c>
      <c r="D167" s="78" t="s">
        <v>615</v>
      </c>
      <c r="E167" s="78" t="s">
        <v>616</v>
      </c>
      <c r="F167" s="78" t="s">
        <v>592</v>
      </c>
      <c r="G167" s="79" t="n">
        <v>34.5</v>
      </c>
      <c r="H167" s="80" t="n">
        <v>3.4</v>
      </c>
      <c r="I167" s="80" t="n">
        <v>458</v>
      </c>
      <c r="J167" s="80" t="n">
        <v>458</v>
      </c>
      <c r="K167" s="80" t="n">
        <v>458</v>
      </c>
      <c r="L167" s="81" t="s">
        <v>198</v>
      </c>
      <c r="M167" s="80" t="n">
        <v>0.209617647058824</v>
      </c>
      <c r="N167" s="80" t="n">
        <v>0.378852941176471</v>
      </c>
      <c r="O167" s="80" t="n">
        <v>4.41432352941177</v>
      </c>
      <c r="P167" s="80" t="n">
        <v>0.5445</v>
      </c>
      <c r="Q167" s="80" t="n">
        <v>1.85708823529412</v>
      </c>
      <c r="R167" s="80" t="n">
        <v>1.72191176470588</v>
      </c>
      <c r="S167" s="81" t="s">
        <v>233</v>
      </c>
      <c r="T167" s="81" t="s">
        <v>200</v>
      </c>
      <c r="U167" s="81" t="s">
        <v>201</v>
      </c>
      <c r="V167" s="82"/>
      <c r="W167" s="81" t="s">
        <v>234</v>
      </c>
      <c r="X167" s="81" t="n">
        <v>0.707726337434724</v>
      </c>
      <c r="Y167" s="81" t="n">
        <v>95.5430555536877</v>
      </c>
      <c r="Z167" s="81" t="n">
        <v>135</v>
      </c>
      <c r="AA167" s="81" t="s">
        <v>211</v>
      </c>
      <c r="AB167" s="73" t="s">
        <v>47</v>
      </c>
      <c r="AC167" s="83"/>
    </row>
    <row r="168" customFormat="false" ht="15" hidden="false" customHeight="false" outlineLevel="0" collapsed="false">
      <c r="C168" s="76" t="n">
        <v>163</v>
      </c>
      <c r="D168" s="78" t="s">
        <v>617</v>
      </c>
      <c r="E168" s="78" t="s">
        <v>248</v>
      </c>
      <c r="F168" s="78" t="s">
        <v>556</v>
      </c>
      <c r="G168" s="79" t="n">
        <v>34.5</v>
      </c>
      <c r="H168" s="80" t="n">
        <v>3.13</v>
      </c>
      <c r="I168" s="80" t="n">
        <v>458</v>
      </c>
      <c r="J168" s="80" t="n">
        <v>458</v>
      </c>
      <c r="K168" s="80" t="n">
        <v>458</v>
      </c>
      <c r="L168" s="81" t="s">
        <v>198</v>
      </c>
      <c r="M168" s="80" t="n">
        <v>0.20961661341853</v>
      </c>
      <c r="N168" s="80" t="n">
        <v>0.378849840255591</v>
      </c>
      <c r="O168" s="80" t="n">
        <v>4.41434504792332</v>
      </c>
      <c r="P168" s="80" t="n">
        <v>0.544504792332268</v>
      </c>
      <c r="Q168" s="80" t="n">
        <v>1.85709265175719</v>
      </c>
      <c r="R168" s="80" t="n">
        <v>1.72191693290735</v>
      </c>
      <c r="S168" s="81" t="s">
        <v>233</v>
      </c>
      <c r="T168" s="81" t="s">
        <v>200</v>
      </c>
      <c r="U168" s="81" t="s">
        <v>201</v>
      </c>
      <c r="V168" s="82"/>
      <c r="W168" s="81" t="s">
        <v>234</v>
      </c>
      <c r="X168" s="81" t="n">
        <v>1.15979797970927</v>
      </c>
      <c r="Y168" s="81" t="n">
        <v>12.757777776802</v>
      </c>
      <c r="Z168" s="81" t="n">
        <v>11</v>
      </c>
      <c r="AA168" s="81" t="s">
        <v>211</v>
      </c>
      <c r="AB168" s="73" t="s">
        <v>47</v>
      </c>
      <c r="AC168" s="83"/>
    </row>
    <row r="169" customFormat="false" ht="15" hidden="false" customHeight="false" outlineLevel="0" collapsed="false">
      <c r="C169" s="69" t="n">
        <v>164</v>
      </c>
      <c r="D169" s="78" t="s">
        <v>618</v>
      </c>
      <c r="E169" s="78" t="s">
        <v>619</v>
      </c>
      <c r="F169" s="78" t="s">
        <v>593</v>
      </c>
      <c r="G169" s="79" t="n">
        <v>34.5</v>
      </c>
      <c r="H169" s="80" t="n">
        <v>15.405</v>
      </c>
      <c r="I169" s="80" t="n">
        <v>458</v>
      </c>
      <c r="J169" s="80" t="n">
        <v>458</v>
      </c>
      <c r="K169" s="80" t="n">
        <v>458</v>
      </c>
      <c r="L169" s="81" t="s">
        <v>198</v>
      </c>
      <c r="M169" s="80" t="n">
        <v>0.209607270366764</v>
      </c>
      <c r="N169" s="80" t="n">
        <v>0.378838039597533</v>
      </c>
      <c r="O169" s="80" t="n">
        <v>4.41433300876339</v>
      </c>
      <c r="P169" s="80" t="n">
        <v>0.544498539435248</v>
      </c>
      <c r="Q169" s="80" t="n">
        <v>1.85708536189549</v>
      </c>
      <c r="R169" s="80" t="n">
        <v>1.72190197987666</v>
      </c>
      <c r="S169" s="81" t="s">
        <v>233</v>
      </c>
      <c r="T169" s="81" t="s">
        <v>200</v>
      </c>
      <c r="U169" s="81" t="s">
        <v>201</v>
      </c>
      <c r="V169" s="82"/>
      <c r="W169" s="81" t="s">
        <v>234</v>
      </c>
      <c r="X169" s="81" t="n">
        <v>0.707726337434724</v>
      </c>
      <c r="Y169" s="81" t="n">
        <v>95.5430555536877</v>
      </c>
      <c r="Z169" s="81" t="n">
        <v>135</v>
      </c>
      <c r="AA169" s="81" t="s">
        <v>211</v>
      </c>
      <c r="AB169" s="73" t="s">
        <v>47</v>
      </c>
      <c r="AC169" s="83"/>
    </row>
    <row r="170" customFormat="false" ht="15" hidden="false" customHeight="false" outlineLevel="0" collapsed="false">
      <c r="C170" s="76" t="n">
        <v>165</v>
      </c>
      <c r="D170" s="78" t="s">
        <v>620</v>
      </c>
      <c r="E170" s="78" t="s">
        <v>545</v>
      </c>
      <c r="F170" s="78" t="n">
        <v>407.1</v>
      </c>
      <c r="G170" s="79" t="n">
        <v>34.5</v>
      </c>
      <c r="H170" s="80" t="n">
        <v>5.012</v>
      </c>
      <c r="I170" s="80" t="n">
        <v>458</v>
      </c>
      <c r="J170" s="80" t="n">
        <v>458</v>
      </c>
      <c r="K170" s="80" t="n">
        <v>458</v>
      </c>
      <c r="L170" s="81" t="s">
        <v>198</v>
      </c>
      <c r="M170" s="80" t="n">
        <v>0.209616919393456</v>
      </c>
      <c r="N170" s="80" t="n">
        <v>0.378830806065443</v>
      </c>
      <c r="O170" s="80" t="n">
        <v>4.41432561851556</v>
      </c>
      <c r="P170" s="80" t="n">
        <v>0.544493216280926</v>
      </c>
      <c r="Q170" s="80" t="n">
        <v>1.85708300079809</v>
      </c>
      <c r="R170" s="80" t="n">
        <v>1.72190742218675</v>
      </c>
      <c r="S170" s="81" t="s">
        <v>233</v>
      </c>
      <c r="T170" s="81" t="s">
        <v>200</v>
      </c>
      <c r="U170" s="81" t="s">
        <v>201</v>
      </c>
      <c r="V170" s="82"/>
      <c r="W170" s="81" t="s">
        <v>234</v>
      </c>
      <c r="X170" s="81" t="n">
        <v>0</v>
      </c>
      <c r="Y170" s="81" t="n">
        <v>0</v>
      </c>
      <c r="Z170" s="81" t="n">
        <v>0</v>
      </c>
      <c r="AA170" s="81" t="s">
        <v>211</v>
      </c>
      <c r="AB170" s="73" t="s">
        <v>47</v>
      </c>
      <c r="AC170" s="83"/>
    </row>
    <row r="171" customFormat="false" ht="15" hidden="false" customHeight="false" outlineLevel="0" collapsed="false">
      <c r="C171" s="76" t="n">
        <v>166</v>
      </c>
      <c r="D171" s="78" t="s">
        <v>621</v>
      </c>
      <c r="E171" s="78" t="s">
        <v>622</v>
      </c>
      <c r="F171" s="78" t="s">
        <v>560</v>
      </c>
      <c r="G171" s="79" t="n">
        <v>34.5</v>
      </c>
      <c r="H171" s="80" t="n">
        <v>13.6</v>
      </c>
      <c r="I171" s="80" t="n">
        <v>458</v>
      </c>
      <c r="J171" s="80" t="n">
        <v>200.604</v>
      </c>
      <c r="K171" s="80" t="n">
        <v>458</v>
      </c>
      <c r="L171" s="81" t="s">
        <v>239</v>
      </c>
      <c r="M171" s="80" t="n">
        <v>0.209610294117647</v>
      </c>
      <c r="N171" s="80" t="n">
        <v>0.378838235294118</v>
      </c>
      <c r="O171" s="80" t="n">
        <v>4.41433088235294</v>
      </c>
      <c r="P171" s="80" t="n">
        <v>0.5445</v>
      </c>
      <c r="Q171" s="80" t="n">
        <v>1.85708823529412</v>
      </c>
      <c r="R171" s="80" t="n">
        <v>1.72190441176471</v>
      </c>
      <c r="S171" s="81" t="s">
        <v>233</v>
      </c>
      <c r="T171" s="81" t="s">
        <v>200</v>
      </c>
      <c r="U171" s="81" t="s">
        <v>201</v>
      </c>
      <c r="V171" s="82"/>
      <c r="W171" s="81" t="s">
        <v>234</v>
      </c>
      <c r="X171" s="81" t="n">
        <v>0.707726337434724</v>
      </c>
      <c r="Y171" s="81" t="n">
        <v>95.5430555536877</v>
      </c>
      <c r="Z171" s="81" t="n">
        <v>135</v>
      </c>
      <c r="AA171" s="81" t="s">
        <v>211</v>
      </c>
      <c r="AB171" s="73" t="s">
        <v>47</v>
      </c>
      <c r="AC171" s="83"/>
    </row>
    <row r="172" customFormat="false" ht="15" hidden="false" customHeight="false" outlineLevel="0" collapsed="false">
      <c r="C172" s="69" t="n">
        <v>167</v>
      </c>
      <c r="D172" s="78" t="s">
        <v>623</v>
      </c>
      <c r="E172" s="78" t="s">
        <v>624</v>
      </c>
      <c r="F172" s="78" t="s">
        <v>625</v>
      </c>
      <c r="G172" s="79" t="n">
        <v>34.5</v>
      </c>
      <c r="H172" s="80" t="n">
        <v>0.37</v>
      </c>
      <c r="I172" s="80" t="n">
        <v>465</v>
      </c>
      <c r="J172" s="80" t="n">
        <v>465</v>
      </c>
      <c r="K172" s="80" t="n">
        <v>465</v>
      </c>
      <c r="L172" s="81" t="s">
        <v>198</v>
      </c>
      <c r="M172" s="80" t="n">
        <v>0.0908108108108108</v>
      </c>
      <c r="N172" s="80" t="n">
        <v>0.137837837837838</v>
      </c>
      <c r="O172" s="80" t="n">
        <v>95.3237837837838</v>
      </c>
      <c r="P172" s="80" t="n">
        <v>0.144594594594595</v>
      </c>
      <c r="Q172" s="80" t="n">
        <v>0.35</v>
      </c>
      <c r="R172" s="80" t="n">
        <v>95.3237837837838</v>
      </c>
      <c r="S172" s="81" t="s">
        <v>233</v>
      </c>
      <c r="T172" s="81" t="s">
        <v>200</v>
      </c>
      <c r="U172" s="81" t="s">
        <v>201</v>
      </c>
      <c r="V172" s="82"/>
      <c r="W172" s="81" t="s">
        <v>240</v>
      </c>
      <c r="X172" s="81" t="n">
        <v>0</v>
      </c>
      <c r="Y172" s="81" t="n">
        <v>0</v>
      </c>
      <c r="Z172" s="81" t="n">
        <v>0</v>
      </c>
      <c r="AA172" s="81" t="s">
        <v>211</v>
      </c>
      <c r="AB172" s="73" t="s">
        <v>47</v>
      </c>
      <c r="AC172" s="83"/>
    </row>
    <row r="173" customFormat="false" ht="15" hidden="false" customHeight="false" outlineLevel="0" collapsed="false">
      <c r="C173" s="76" t="n">
        <v>168</v>
      </c>
      <c r="D173" s="78" t="s">
        <v>626</v>
      </c>
      <c r="E173" s="78" t="s">
        <v>627</v>
      </c>
      <c r="F173" s="78" t="s">
        <v>248</v>
      </c>
      <c r="G173" s="79" t="n">
        <v>34.5</v>
      </c>
      <c r="H173" s="80" t="n">
        <v>1.33</v>
      </c>
      <c r="I173" s="80" t="n">
        <v>589</v>
      </c>
      <c r="J173" s="80" t="n">
        <v>455.886</v>
      </c>
      <c r="K173" s="80" t="n">
        <v>589</v>
      </c>
      <c r="L173" s="81" t="s">
        <v>239</v>
      </c>
      <c r="M173" s="80" t="n">
        <v>0.140827067669173</v>
      </c>
      <c r="N173" s="80" t="n">
        <v>0.36390977443609</v>
      </c>
      <c r="O173" s="80" t="n">
        <v>4.60992481203008</v>
      </c>
      <c r="P173" s="80" t="n">
        <v>0.475714285714286</v>
      </c>
      <c r="Q173" s="80" t="n">
        <v>1.84210526315789</v>
      </c>
      <c r="R173" s="80" t="n">
        <v>1.75082706766917</v>
      </c>
      <c r="S173" s="81" t="s">
        <v>233</v>
      </c>
      <c r="T173" s="81" t="s">
        <v>200</v>
      </c>
      <c r="U173" s="81" t="s">
        <v>201</v>
      </c>
      <c r="V173" s="82"/>
      <c r="W173" s="81" t="s">
        <v>628</v>
      </c>
      <c r="X173" s="81" t="n">
        <v>0.443101851909887</v>
      </c>
      <c r="Y173" s="81" t="n">
        <v>2.65861111145932</v>
      </c>
      <c r="Z173" s="81" t="n">
        <v>6</v>
      </c>
      <c r="AA173" s="81" t="s">
        <v>211</v>
      </c>
      <c r="AB173" s="73" t="s">
        <v>47</v>
      </c>
      <c r="AC173" s="83"/>
    </row>
    <row r="174" customFormat="false" ht="15" hidden="false" customHeight="false" outlineLevel="0" collapsed="false">
      <c r="C174" s="76" t="n">
        <v>169</v>
      </c>
      <c r="D174" s="78" t="s">
        <v>629</v>
      </c>
      <c r="E174" s="78" t="s">
        <v>630</v>
      </c>
      <c r="F174" s="78" t="s">
        <v>631</v>
      </c>
      <c r="G174" s="79" t="n">
        <v>34.5</v>
      </c>
      <c r="H174" s="80" t="n">
        <v>0.47</v>
      </c>
      <c r="I174" s="80" t="n">
        <v>465</v>
      </c>
      <c r="J174" s="80" t="n">
        <v>465</v>
      </c>
      <c r="K174" s="80" t="n">
        <v>465</v>
      </c>
      <c r="L174" s="81" t="s">
        <v>198</v>
      </c>
      <c r="M174" s="80" t="n">
        <v>0.0908510638297873</v>
      </c>
      <c r="N174" s="80" t="n">
        <v>0.137872340425532</v>
      </c>
      <c r="O174" s="80" t="n">
        <v>95.3236170212766</v>
      </c>
      <c r="P174" s="80" t="n">
        <v>0.144468085106383</v>
      </c>
      <c r="Q174" s="80" t="n">
        <v>0.35</v>
      </c>
      <c r="R174" s="80" t="n">
        <v>95.3236170212766</v>
      </c>
      <c r="S174" s="81" t="s">
        <v>233</v>
      </c>
      <c r="T174" s="81" t="s">
        <v>200</v>
      </c>
      <c r="U174" s="81" t="s">
        <v>201</v>
      </c>
      <c r="V174" s="82"/>
      <c r="W174" s="81" t="s">
        <v>240</v>
      </c>
      <c r="X174" s="81" t="n">
        <v>0</v>
      </c>
      <c r="Y174" s="81" t="n">
        <v>0</v>
      </c>
      <c r="Z174" s="81" t="n">
        <v>0</v>
      </c>
      <c r="AA174" s="81" t="s">
        <v>211</v>
      </c>
      <c r="AB174" s="73" t="s">
        <v>47</v>
      </c>
      <c r="AC174" s="83"/>
    </row>
    <row r="175" customFormat="false" ht="15" hidden="false" customHeight="false" outlineLevel="0" collapsed="false">
      <c r="C175" s="69" t="n">
        <v>170</v>
      </c>
      <c r="D175" s="78" t="s">
        <v>632</v>
      </c>
      <c r="E175" s="78" t="s">
        <v>574</v>
      </c>
      <c r="F175" s="78" t="s">
        <v>633</v>
      </c>
      <c r="G175" s="79" t="n">
        <v>34.5</v>
      </c>
      <c r="H175" s="80" t="n">
        <v>4.3267</v>
      </c>
      <c r="I175" s="80" t="n">
        <v>458</v>
      </c>
      <c r="J175" s="80" t="n">
        <v>458</v>
      </c>
      <c r="K175" s="80" t="n">
        <v>458</v>
      </c>
      <c r="L175" s="81" t="s">
        <v>198</v>
      </c>
      <c r="M175" s="80" t="n">
        <v>0.209605472993274</v>
      </c>
      <c r="N175" s="80" t="n">
        <v>0.378833753206832</v>
      </c>
      <c r="O175" s="80" t="n">
        <v>4.41433425012134</v>
      </c>
      <c r="P175" s="80" t="n">
        <v>0.544502738807868</v>
      </c>
      <c r="Q175" s="80" t="n">
        <v>1.8570966325375</v>
      </c>
      <c r="R175" s="80" t="n">
        <v>1.72191277416969</v>
      </c>
      <c r="S175" s="81" t="s">
        <v>233</v>
      </c>
      <c r="T175" s="81" t="s">
        <v>200</v>
      </c>
      <c r="U175" s="81" t="s">
        <v>201</v>
      </c>
      <c r="V175" s="82"/>
      <c r="W175" s="81" t="s">
        <v>234</v>
      </c>
      <c r="X175" s="81" t="n">
        <v>0.100555555603933</v>
      </c>
      <c r="Y175" s="81" t="n">
        <v>0.905000000435393</v>
      </c>
      <c r="Z175" s="81" t="n">
        <v>9</v>
      </c>
      <c r="AA175" s="81" t="s">
        <v>211</v>
      </c>
      <c r="AB175" s="73" t="s">
        <v>47</v>
      </c>
      <c r="AC175" s="83"/>
    </row>
    <row r="176" customFormat="false" ht="15" hidden="false" customHeight="false" outlineLevel="0" collapsed="false">
      <c r="C176" s="76" t="n">
        <v>171</v>
      </c>
      <c r="D176" s="78" t="s">
        <v>634</v>
      </c>
      <c r="E176" s="78" t="s">
        <v>590</v>
      </c>
      <c r="F176" s="78" t="s">
        <v>635</v>
      </c>
      <c r="G176" s="79" t="n">
        <v>34.5</v>
      </c>
      <c r="H176" s="80" t="n">
        <v>1.93</v>
      </c>
      <c r="I176" s="80" t="n">
        <v>458</v>
      </c>
      <c r="J176" s="80" t="n">
        <v>458</v>
      </c>
      <c r="K176" s="80" t="n">
        <v>458</v>
      </c>
      <c r="L176" s="81" t="s">
        <v>198</v>
      </c>
      <c r="M176" s="80" t="n">
        <v>0.209585492227979</v>
      </c>
      <c r="N176" s="80" t="n">
        <v>0.378860103626943</v>
      </c>
      <c r="O176" s="80" t="n">
        <v>4.41435233160622</v>
      </c>
      <c r="P176" s="80" t="n">
        <v>0.544507772020725</v>
      </c>
      <c r="Q176" s="80" t="n">
        <v>1.85709844559586</v>
      </c>
      <c r="R176" s="80" t="n">
        <v>1.7219170984456</v>
      </c>
      <c r="S176" s="81" t="s">
        <v>233</v>
      </c>
      <c r="T176" s="81" t="s">
        <v>200</v>
      </c>
      <c r="U176" s="81" t="s">
        <v>201</v>
      </c>
      <c r="V176" s="82"/>
      <c r="W176" s="81" t="s">
        <v>234</v>
      </c>
      <c r="X176" s="81" t="n">
        <v>0.907076271185237</v>
      </c>
      <c r="Y176" s="81" t="n">
        <v>107.034999999858</v>
      </c>
      <c r="Z176" s="81" t="n">
        <v>118</v>
      </c>
      <c r="AA176" s="81" t="s">
        <v>211</v>
      </c>
      <c r="AB176" s="73" t="s">
        <v>47</v>
      </c>
      <c r="AC176" s="83"/>
    </row>
    <row r="177" customFormat="false" ht="15" hidden="false" customHeight="false" outlineLevel="0" collapsed="false">
      <c r="C177" s="76" t="n">
        <v>172</v>
      </c>
      <c r="D177" s="78" t="s">
        <v>636</v>
      </c>
      <c r="E177" s="78" t="s">
        <v>371</v>
      </c>
      <c r="F177" s="78" t="s">
        <v>376</v>
      </c>
      <c r="G177" s="79" t="n">
        <v>34.5</v>
      </c>
      <c r="H177" s="80" t="n">
        <v>50.4542</v>
      </c>
      <c r="I177" s="80" t="n">
        <v>458</v>
      </c>
      <c r="J177" s="80" t="n">
        <v>260.144</v>
      </c>
      <c r="K177" s="80" t="n">
        <v>458</v>
      </c>
      <c r="L177" s="81" t="s">
        <v>239</v>
      </c>
      <c r="M177" s="80" t="n">
        <v>0.209609903635376</v>
      </c>
      <c r="N177" s="80" t="n">
        <v>0.378838629886115</v>
      </c>
      <c r="O177" s="80" t="n">
        <v>4.41433022424298</v>
      </c>
      <c r="P177" s="80" t="n">
        <v>0.544499764142529</v>
      </c>
      <c r="Q177" s="80" t="n">
        <v>1.8570862286985</v>
      </c>
      <c r="R177" s="80" t="n">
        <v>1.72190224005137</v>
      </c>
      <c r="S177" s="81" t="s">
        <v>233</v>
      </c>
      <c r="T177" s="81" t="s">
        <v>200</v>
      </c>
      <c r="U177" s="81" t="s">
        <v>201</v>
      </c>
      <c r="V177" s="82"/>
      <c r="W177" s="81" t="s">
        <v>234</v>
      </c>
      <c r="X177" s="81" t="n">
        <v>0.190763888957736</v>
      </c>
      <c r="Y177" s="81" t="n">
        <v>7.63055555830943</v>
      </c>
      <c r="Z177" s="81" t="n">
        <v>40</v>
      </c>
      <c r="AA177" s="81" t="s">
        <v>211</v>
      </c>
      <c r="AB177" s="73" t="s">
        <v>47</v>
      </c>
      <c r="AC177" s="83"/>
    </row>
    <row r="178" customFormat="false" ht="15" hidden="false" customHeight="false" outlineLevel="0" collapsed="false">
      <c r="C178" s="69" t="n">
        <v>173</v>
      </c>
      <c r="D178" s="78" t="s">
        <v>637</v>
      </c>
      <c r="E178" s="78" t="s">
        <v>573</v>
      </c>
      <c r="F178" s="78" t="s">
        <v>638</v>
      </c>
      <c r="G178" s="79" t="n">
        <v>34.5</v>
      </c>
      <c r="H178" s="80" t="n">
        <v>4.67</v>
      </c>
      <c r="I178" s="80" t="n">
        <v>465</v>
      </c>
      <c r="J178" s="80" t="n">
        <v>465</v>
      </c>
      <c r="K178" s="80" t="n">
        <v>465</v>
      </c>
      <c r="L178" s="81" t="s">
        <v>198</v>
      </c>
      <c r="M178" s="80" t="n">
        <v>0.0908779443254818</v>
      </c>
      <c r="N178" s="80" t="n">
        <v>0.13779443254818</v>
      </c>
      <c r="O178" s="80" t="n">
        <v>95.323704496788</v>
      </c>
      <c r="P178" s="80" t="n">
        <v>0.144496788008565</v>
      </c>
      <c r="Q178" s="80" t="n">
        <v>0.35</v>
      </c>
      <c r="R178" s="80" t="n">
        <v>95.323704496788</v>
      </c>
      <c r="S178" s="81" t="s">
        <v>233</v>
      </c>
      <c r="T178" s="81" t="s">
        <v>200</v>
      </c>
      <c r="U178" s="81" t="s">
        <v>201</v>
      </c>
      <c r="V178" s="82"/>
      <c r="W178" s="81" t="s">
        <v>240</v>
      </c>
      <c r="X178" s="81" t="n">
        <v>0.139367283971903</v>
      </c>
      <c r="Y178" s="81" t="n">
        <v>2.50861111149425</v>
      </c>
      <c r="Z178" s="81" t="n">
        <v>18</v>
      </c>
      <c r="AA178" s="81" t="s">
        <v>211</v>
      </c>
      <c r="AB178" s="73" t="s">
        <v>47</v>
      </c>
      <c r="AC178" s="83"/>
    </row>
    <row r="179" customFormat="false" ht="15" hidden="false" customHeight="false" outlineLevel="0" collapsed="false">
      <c r="C179" s="76" t="n">
        <v>174</v>
      </c>
      <c r="D179" s="78" t="s">
        <v>639</v>
      </c>
      <c r="E179" s="78" t="s">
        <v>635</v>
      </c>
      <c r="F179" s="78" t="s">
        <v>295</v>
      </c>
      <c r="G179" s="79" t="n">
        <v>34.5</v>
      </c>
      <c r="H179" s="80" t="n">
        <v>0.042</v>
      </c>
      <c r="I179" s="80" t="n">
        <v>458</v>
      </c>
      <c r="J179" s="80" t="n">
        <v>458</v>
      </c>
      <c r="K179" s="80" t="n">
        <v>458</v>
      </c>
      <c r="L179" s="81" t="s">
        <v>198</v>
      </c>
      <c r="M179" s="80" t="n">
        <v>0.20952380952381</v>
      </c>
      <c r="N179" s="80" t="n">
        <v>0.378571428571429</v>
      </c>
      <c r="O179" s="80" t="n">
        <v>4.41428571428572</v>
      </c>
      <c r="P179" s="80" t="n">
        <v>0.545238095238095</v>
      </c>
      <c r="Q179" s="80" t="n">
        <v>1.85714285714286</v>
      </c>
      <c r="R179" s="80" t="n">
        <v>1.72142857142857</v>
      </c>
      <c r="S179" s="81" t="s">
        <v>233</v>
      </c>
      <c r="T179" s="81" t="s">
        <v>200</v>
      </c>
      <c r="U179" s="81" t="s">
        <v>201</v>
      </c>
      <c r="V179" s="82"/>
      <c r="W179" s="81" t="s">
        <v>234</v>
      </c>
      <c r="X179" s="81" t="n">
        <v>0.907076271185237</v>
      </c>
      <c r="Y179" s="81" t="n">
        <v>107.034999999858</v>
      </c>
      <c r="Z179" s="81" t="n">
        <v>118</v>
      </c>
      <c r="AA179" s="81" t="s">
        <v>211</v>
      </c>
      <c r="AB179" s="73" t="s">
        <v>47</v>
      </c>
      <c r="AC179" s="83"/>
    </row>
    <row r="180" customFormat="false" ht="15" hidden="false" customHeight="false" outlineLevel="0" collapsed="false">
      <c r="C180" s="76" t="n">
        <v>175</v>
      </c>
      <c r="D180" s="78" t="s">
        <v>640</v>
      </c>
      <c r="E180" s="78" t="s">
        <v>556</v>
      </c>
      <c r="F180" s="78" t="s">
        <v>641</v>
      </c>
      <c r="G180" s="79" t="n">
        <v>34.5</v>
      </c>
      <c r="H180" s="80" t="n">
        <v>14.999</v>
      </c>
      <c r="I180" s="80" t="n">
        <v>355</v>
      </c>
      <c r="J180" s="80" t="n">
        <v>355</v>
      </c>
      <c r="K180" s="80" t="n">
        <v>355</v>
      </c>
      <c r="L180" s="81" t="s">
        <v>198</v>
      </c>
      <c r="M180" s="80" t="n">
        <v>0.261624108273885</v>
      </c>
      <c r="N180" s="80" t="n">
        <v>0.406047069804654</v>
      </c>
      <c r="O180" s="80" t="n">
        <v>4.29609307287153</v>
      </c>
      <c r="P180" s="80" t="n">
        <v>0.596513100873392</v>
      </c>
      <c r="Q180" s="80" t="n">
        <v>1.88429895326355</v>
      </c>
      <c r="R180" s="80" t="n">
        <v>1.70364024268285</v>
      </c>
      <c r="S180" s="81" t="s">
        <v>233</v>
      </c>
      <c r="T180" s="81" t="s">
        <v>200</v>
      </c>
      <c r="U180" s="81" t="s">
        <v>201</v>
      </c>
      <c r="V180" s="82"/>
      <c r="W180" s="81" t="s">
        <v>301</v>
      </c>
      <c r="X180" s="81" t="n">
        <v>0.550385802479771</v>
      </c>
      <c r="Y180" s="81" t="n">
        <v>9.90694444463588</v>
      </c>
      <c r="Z180" s="81" t="n">
        <v>18</v>
      </c>
      <c r="AA180" s="81" t="s">
        <v>211</v>
      </c>
      <c r="AB180" s="73" t="s">
        <v>47</v>
      </c>
      <c r="AC180" s="83"/>
    </row>
    <row r="181" customFormat="false" ht="15" hidden="false" customHeight="false" outlineLevel="0" collapsed="false">
      <c r="C181" s="69" t="n">
        <v>176</v>
      </c>
      <c r="D181" s="78" t="s">
        <v>642</v>
      </c>
      <c r="E181" s="78" t="s">
        <v>641</v>
      </c>
      <c r="F181" s="78" t="s">
        <v>556</v>
      </c>
      <c r="G181" s="79" t="n">
        <v>34.5</v>
      </c>
      <c r="H181" s="80" t="n">
        <v>14.999</v>
      </c>
      <c r="I181" s="80" t="n">
        <v>355</v>
      </c>
      <c r="J181" s="80" t="n">
        <v>355</v>
      </c>
      <c r="K181" s="80" t="n">
        <v>355</v>
      </c>
      <c r="L181" s="81" t="s">
        <v>198</v>
      </c>
      <c r="M181" s="80" t="n">
        <v>0.261624108273885</v>
      </c>
      <c r="N181" s="80" t="n">
        <v>0.406047069804654</v>
      </c>
      <c r="O181" s="80" t="n">
        <v>4.29609307287153</v>
      </c>
      <c r="P181" s="80" t="n">
        <v>0.596513100873392</v>
      </c>
      <c r="Q181" s="80" t="n">
        <v>1.88429895326355</v>
      </c>
      <c r="R181" s="80" t="n">
        <v>1.70364024268285</v>
      </c>
      <c r="S181" s="81" t="s">
        <v>233</v>
      </c>
      <c r="T181" s="81" t="s">
        <v>200</v>
      </c>
      <c r="U181" s="81" t="s">
        <v>201</v>
      </c>
      <c r="V181" s="82"/>
      <c r="W181" s="81" t="s">
        <v>301</v>
      </c>
      <c r="X181" s="81" t="n">
        <v>0.121388888976071</v>
      </c>
      <c r="Y181" s="81" t="n">
        <v>0.364166666928213</v>
      </c>
      <c r="Z181" s="81" t="n">
        <v>3</v>
      </c>
      <c r="AA181" s="81" t="s">
        <v>211</v>
      </c>
      <c r="AB181" s="73" t="s">
        <v>47</v>
      </c>
      <c r="AC181" s="83"/>
    </row>
    <row r="182" customFormat="false" ht="15" hidden="false" customHeight="false" outlineLevel="0" collapsed="false">
      <c r="C182" s="76" t="n">
        <v>177</v>
      </c>
      <c r="D182" s="78" t="s">
        <v>643</v>
      </c>
      <c r="E182" s="78" t="s">
        <v>542</v>
      </c>
      <c r="F182" s="78" t="s">
        <v>267</v>
      </c>
      <c r="G182" s="79" t="n">
        <v>34.5</v>
      </c>
      <c r="H182" s="80" t="n">
        <v>3.3772</v>
      </c>
      <c r="I182" s="80" t="n">
        <v>458</v>
      </c>
      <c r="J182" s="80" t="n">
        <v>458</v>
      </c>
      <c r="K182" s="80" t="n">
        <v>458</v>
      </c>
      <c r="L182" s="81" t="s">
        <v>198</v>
      </c>
      <c r="M182" s="80" t="n">
        <v>0.209611512495558</v>
      </c>
      <c r="N182" s="80" t="n">
        <v>0.378834537486675</v>
      </c>
      <c r="O182" s="80" t="n">
        <v>4.41433732085751</v>
      </c>
      <c r="P182" s="80" t="n">
        <v>0.5445043231079</v>
      </c>
      <c r="Q182" s="80" t="n">
        <v>1.85710055667417</v>
      </c>
      <c r="R182" s="80" t="n">
        <v>1.72189979864977</v>
      </c>
      <c r="S182" s="81" t="s">
        <v>233</v>
      </c>
      <c r="T182" s="81" t="s">
        <v>200</v>
      </c>
      <c r="U182" s="81" t="s">
        <v>201</v>
      </c>
      <c r="V182" s="82"/>
      <c r="W182" s="81" t="s">
        <v>234</v>
      </c>
      <c r="X182" s="81" t="n">
        <v>1.40822866351</v>
      </c>
      <c r="Y182" s="81" t="n">
        <v>97.1677777821897</v>
      </c>
      <c r="Z182" s="81" t="n">
        <v>69</v>
      </c>
      <c r="AA182" s="81" t="s">
        <v>211</v>
      </c>
      <c r="AB182" s="73" t="s">
        <v>47</v>
      </c>
      <c r="AC182" s="83"/>
    </row>
    <row r="183" customFormat="false" ht="15" hidden="false" customHeight="false" outlineLevel="0" collapsed="false">
      <c r="C183" s="76" t="n">
        <v>178</v>
      </c>
      <c r="D183" s="78" t="s">
        <v>644</v>
      </c>
      <c r="E183" s="78" t="s">
        <v>274</v>
      </c>
      <c r="F183" s="78" t="s">
        <v>524</v>
      </c>
      <c r="G183" s="79" t="n">
        <v>34.5</v>
      </c>
      <c r="H183" s="80" t="n">
        <v>2.17</v>
      </c>
      <c r="I183" s="80" t="n">
        <v>724</v>
      </c>
      <c r="J183" s="80" t="n">
        <v>485.08</v>
      </c>
      <c r="K183" s="80" t="n">
        <v>724</v>
      </c>
      <c r="L183" s="81" t="s">
        <v>239</v>
      </c>
      <c r="M183" s="80" t="n">
        <v>0.10110599078341</v>
      </c>
      <c r="N183" s="80" t="n">
        <v>0.352995391705069</v>
      </c>
      <c r="O183" s="80" t="n">
        <v>4.77359447004608</v>
      </c>
      <c r="P183" s="80" t="n">
        <v>0.436036866359447</v>
      </c>
      <c r="Q183" s="80" t="n">
        <v>1.83124423963134</v>
      </c>
      <c r="R183" s="80" t="n">
        <v>1.77387096774194</v>
      </c>
      <c r="S183" s="81" t="s">
        <v>233</v>
      </c>
      <c r="T183" s="81" t="s">
        <v>200</v>
      </c>
      <c r="U183" s="81" t="s">
        <v>201</v>
      </c>
      <c r="V183" s="82"/>
      <c r="W183" s="81" t="s">
        <v>525</v>
      </c>
      <c r="X183" s="81" t="n">
        <v>4.65041666672914</v>
      </c>
      <c r="Y183" s="81" t="n">
        <v>9.30083333345829</v>
      </c>
      <c r="Z183" s="81" t="n">
        <v>2</v>
      </c>
      <c r="AA183" s="81" t="s">
        <v>211</v>
      </c>
      <c r="AB183" s="73" t="s">
        <v>47</v>
      </c>
      <c r="AC183" s="83"/>
    </row>
    <row r="184" customFormat="false" ht="15" hidden="false" customHeight="false" outlineLevel="0" collapsed="false">
      <c r="C184" s="69" t="n">
        <v>179</v>
      </c>
      <c r="D184" s="78" t="s">
        <v>645</v>
      </c>
      <c r="E184" s="78" t="s">
        <v>646</v>
      </c>
      <c r="F184" s="78" t="s">
        <v>587</v>
      </c>
      <c r="G184" s="79" t="n">
        <v>34.5</v>
      </c>
      <c r="H184" s="80" t="n">
        <v>2.23</v>
      </c>
      <c r="I184" s="80" t="n">
        <v>1000</v>
      </c>
      <c r="J184" s="80" t="n">
        <v>1000</v>
      </c>
      <c r="K184" s="80" t="n">
        <v>1000</v>
      </c>
      <c r="L184" s="81" t="s">
        <v>198</v>
      </c>
      <c r="M184" s="80" t="n">
        <v>0.0958744394618834</v>
      </c>
      <c r="N184" s="80" t="n">
        <v>0.469551569506726</v>
      </c>
      <c r="O184" s="80" t="n">
        <v>3.58013452914798</v>
      </c>
      <c r="P184" s="80" t="n">
        <v>0.271345291479821</v>
      </c>
      <c r="Q184" s="80" t="n">
        <v>1.70793721973094</v>
      </c>
      <c r="R184" s="80" t="n">
        <v>2.30309417040359</v>
      </c>
      <c r="S184" s="81" t="s">
        <v>233</v>
      </c>
      <c r="T184" s="81" t="s">
        <v>200</v>
      </c>
      <c r="U184" s="81" t="s">
        <v>201</v>
      </c>
      <c r="V184" s="82"/>
      <c r="W184" s="81" t="s">
        <v>388</v>
      </c>
      <c r="X184" s="81" t="n">
        <v>0.315793650823512</v>
      </c>
      <c r="Y184" s="81" t="n">
        <v>2.21055555576459</v>
      </c>
      <c r="Z184" s="81" t="n">
        <v>7</v>
      </c>
      <c r="AA184" s="81" t="s">
        <v>211</v>
      </c>
      <c r="AB184" s="73" t="s">
        <v>47</v>
      </c>
      <c r="AC184" s="83"/>
    </row>
    <row r="185" customFormat="false" ht="15" hidden="false" customHeight="false" outlineLevel="0" collapsed="false">
      <c r="C185" s="76" t="n">
        <v>180</v>
      </c>
      <c r="D185" s="78" t="s">
        <v>647</v>
      </c>
      <c r="E185" s="78" t="s">
        <v>324</v>
      </c>
      <c r="F185" s="78" t="s">
        <v>648</v>
      </c>
      <c r="G185" s="79" t="n">
        <v>34.5</v>
      </c>
      <c r="H185" s="80" t="n">
        <v>10.0322</v>
      </c>
      <c r="I185" s="80" t="n">
        <v>458</v>
      </c>
      <c r="J185" s="80" t="n">
        <v>79.692</v>
      </c>
      <c r="K185" s="80" t="n">
        <v>458</v>
      </c>
      <c r="L185" s="81" t="s">
        <v>239</v>
      </c>
      <c r="M185" s="80" t="n">
        <v>0.209605071669225</v>
      </c>
      <c r="N185" s="80" t="n">
        <v>0.378840134766053</v>
      </c>
      <c r="O185" s="80" t="n">
        <v>4.41433583859971</v>
      </c>
      <c r="P185" s="80" t="n">
        <v>0.544496720559798</v>
      </c>
      <c r="Q185" s="80" t="n">
        <v>1.85709016965372</v>
      </c>
      <c r="R185" s="80" t="n">
        <v>1.72190546440462</v>
      </c>
      <c r="S185" s="81" t="s">
        <v>233</v>
      </c>
      <c r="T185" s="81" t="s">
        <v>200</v>
      </c>
      <c r="U185" s="81" t="s">
        <v>201</v>
      </c>
      <c r="V185" s="82"/>
      <c r="W185" s="81" t="s">
        <v>234</v>
      </c>
      <c r="X185" s="81" t="n">
        <v>1.24107026145023</v>
      </c>
      <c r="Y185" s="81" t="n">
        <v>84.3927777786157</v>
      </c>
      <c r="Z185" s="81" t="n">
        <v>68</v>
      </c>
      <c r="AA185" s="81" t="s">
        <v>211</v>
      </c>
      <c r="AB185" s="73" t="s">
        <v>47</v>
      </c>
      <c r="AC185" s="83"/>
    </row>
    <row r="186" customFormat="false" ht="15" hidden="false" customHeight="false" outlineLevel="0" collapsed="false">
      <c r="C186" s="76" t="n">
        <v>181</v>
      </c>
      <c r="D186" s="78" t="s">
        <v>649</v>
      </c>
      <c r="E186" s="78" t="s">
        <v>650</v>
      </c>
      <c r="F186" s="78" t="s">
        <v>651</v>
      </c>
      <c r="G186" s="79" t="n">
        <v>34.5</v>
      </c>
      <c r="H186" s="80" t="n">
        <v>0.56</v>
      </c>
      <c r="I186" s="80" t="n">
        <v>355</v>
      </c>
      <c r="J186" s="80" t="n">
        <v>330.15</v>
      </c>
      <c r="K186" s="80" t="n">
        <v>355</v>
      </c>
      <c r="L186" s="81" t="s">
        <v>239</v>
      </c>
      <c r="M186" s="80" t="n">
        <v>0.261607142857143</v>
      </c>
      <c r="N186" s="80" t="n">
        <v>0.406071428571429</v>
      </c>
      <c r="O186" s="80" t="n">
        <v>4.29607142857143</v>
      </c>
      <c r="P186" s="80" t="n">
        <v>0.596428571428571</v>
      </c>
      <c r="Q186" s="80" t="n">
        <v>1.88428571428571</v>
      </c>
      <c r="R186" s="80" t="n">
        <v>1.70357142857143</v>
      </c>
      <c r="S186" s="81" t="s">
        <v>233</v>
      </c>
      <c r="T186" s="81" t="s">
        <v>200</v>
      </c>
      <c r="U186" s="81" t="s">
        <v>201</v>
      </c>
      <c r="V186" s="82"/>
      <c r="W186" s="81" t="s">
        <v>301</v>
      </c>
      <c r="X186" s="81" t="n">
        <v>0.315793650823512</v>
      </c>
      <c r="Y186" s="81" t="n">
        <v>2.21055555576459</v>
      </c>
      <c r="Z186" s="81" t="n">
        <v>7</v>
      </c>
      <c r="AA186" s="81" t="s">
        <v>211</v>
      </c>
      <c r="AB186" s="73" t="s">
        <v>47</v>
      </c>
      <c r="AC186" s="83"/>
    </row>
    <row r="187" customFormat="false" ht="15" hidden="false" customHeight="false" outlineLevel="0" collapsed="false">
      <c r="C187" s="69" t="n">
        <v>182</v>
      </c>
      <c r="D187" s="78" t="s">
        <v>652</v>
      </c>
      <c r="E187" s="78" t="s">
        <v>305</v>
      </c>
      <c r="F187" s="78" t="s">
        <v>610</v>
      </c>
      <c r="G187" s="79" t="n">
        <v>34.5</v>
      </c>
      <c r="H187" s="80" t="n">
        <v>23.75</v>
      </c>
      <c r="I187" s="80" t="n">
        <v>458</v>
      </c>
      <c r="J187" s="80" t="n">
        <v>458</v>
      </c>
      <c r="K187" s="80" t="n">
        <v>458</v>
      </c>
      <c r="L187" s="81" t="s">
        <v>198</v>
      </c>
      <c r="M187" s="80" t="n">
        <v>0.209608421052632</v>
      </c>
      <c r="N187" s="80" t="n">
        <v>0.378837894736842</v>
      </c>
      <c r="O187" s="80" t="n">
        <v>4.41433263157895</v>
      </c>
      <c r="P187" s="80" t="n">
        <v>0.544501052631579</v>
      </c>
      <c r="Q187" s="80" t="n">
        <v>1.85708631578947</v>
      </c>
      <c r="R187" s="80" t="n">
        <v>1.72190315789474</v>
      </c>
      <c r="S187" s="81" t="s">
        <v>233</v>
      </c>
      <c r="T187" s="81" t="s">
        <v>200</v>
      </c>
      <c r="U187" s="81" t="s">
        <v>201</v>
      </c>
      <c r="V187" s="82"/>
      <c r="W187" s="81" t="s">
        <v>234</v>
      </c>
      <c r="X187" s="81" t="n">
        <v>0</v>
      </c>
      <c r="Y187" s="81" t="n">
        <v>0</v>
      </c>
      <c r="Z187" s="81" t="n">
        <v>0</v>
      </c>
      <c r="AA187" s="81" t="s">
        <v>211</v>
      </c>
      <c r="AB187" s="73" t="s">
        <v>47</v>
      </c>
      <c r="AC187" s="83"/>
    </row>
    <row r="188" customFormat="false" ht="15" hidden="false" customHeight="false" outlineLevel="0" collapsed="false">
      <c r="C188" s="76" t="n">
        <v>183</v>
      </c>
      <c r="D188" s="78" t="s">
        <v>653</v>
      </c>
      <c r="E188" s="78" t="s">
        <v>598</v>
      </c>
      <c r="F188" s="78" t="s">
        <v>654</v>
      </c>
      <c r="G188" s="79" t="n">
        <v>34.5</v>
      </c>
      <c r="H188" s="80" t="n">
        <v>0.47</v>
      </c>
      <c r="I188" s="80" t="n">
        <v>458</v>
      </c>
      <c r="J188" s="80" t="n">
        <v>458</v>
      </c>
      <c r="K188" s="80" t="n">
        <v>458</v>
      </c>
      <c r="L188" s="81" t="s">
        <v>198</v>
      </c>
      <c r="M188" s="80" t="n">
        <v>0.209574468085106</v>
      </c>
      <c r="N188" s="80" t="n">
        <v>0.378936170212766</v>
      </c>
      <c r="O188" s="80" t="n">
        <v>4.41425531914894</v>
      </c>
      <c r="P188" s="80" t="n">
        <v>0.544468085106383</v>
      </c>
      <c r="Q188" s="80" t="n">
        <v>1.85702127659574</v>
      </c>
      <c r="R188" s="80" t="n">
        <v>1.72191489361702</v>
      </c>
      <c r="S188" s="81" t="s">
        <v>233</v>
      </c>
      <c r="T188" s="81" t="s">
        <v>200</v>
      </c>
      <c r="U188" s="81" t="s">
        <v>201</v>
      </c>
      <c r="V188" s="82"/>
      <c r="W188" s="81" t="s">
        <v>234</v>
      </c>
      <c r="X188" s="81" t="n">
        <v>2.21638888888992</v>
      </c>
      <c r="Y188" s="81" t="n">
        <v>4.43277777777985</v>
      </c>
      <c r="Z188" s="81" t="n">
        <v>2</v>
      </c>
      <c r="AA188" s="81" t="s">
        <v>211</v>
      </c>
      <c r="AB188" s="73" t="s">
        <v>47</v>
      </c>
      <c r="AC188" s="83"/>
    </row>
    <row r="189" customFormat="false" ht="15" hidden="false" customHeight="false" outlineLevel="0" collapsed="false">
      <c r="C189" s="76" t="n">
        <v>184</v>
      </c>
      <c r="D189" s="78" t="s">
        <v>655</v>
      </c>
      <c r="E189" s="78" t="s">
        <v>588</v>
      </c>
      <c r="F189" s="78" t="s">
        <v>350</v>
      </c>
      <c r="G189" s="79" t="n">
        <v>34.5</v>
      </c>
      <c r="H189" s="80" t="n">
        <v>3.3</v>
      </c>
      <c r="I189" s="80" t="n">
        <v>458</v>
      </c>
      <c r="J189" s="80" t="n">
        <v>458</v>
      </c>
      <c r="K189" s="80" t="n">
        <v>458</v>
      </c>
      <c r="L189" s="81" t="s">
        <v>198</v>
      </c>
      <c r="M189" s="80" t="n">
        <v>0.209606060606061</v>
      </c>
      <c r="N189" s="80" t="n">
        <v>0.378848484848485</v>
      </c>
      <c r="O189" s="80" t="n">
        <v>4.41433333333333</v>
      </c>
      <c r="P189" s="80" t="n">
        <v>0.544484848484849</v>
      </c>
      <c r="Q189" s="80" t="n">
        <v>1.85709090909091</v>
      </c>
      <c r="R189" s="80" t="n">
        <v>1.72190909090909</v>
      </c>
      <c r="S189" s="81" t="s">
        <v>233</v>
      </c>
      <c r="T189" s="81" t="s">
        <v>200</v>
      </c>
      <c r="U189" s="81" t="s">
        <v>201</v>
      </c>
      <c r="V189" s="82"/>
      <c r="W189" s="81" t="s">
        <v>234</v>
      </c>
      <c r="X189" s="81" t="n">
        <v>1.49711805555853</v>
      </c>
      <c r="Y189" s="81" t="n">
        <v>11.9769444444682</v>
      </c>
      <c r="Z189" s="81" t="n">
        <v>8</v>
      </c>
      <c r="AA189" s="81" t="s">
        <v>211</v>
      </c>
      <c r="AB189" s="73" t="s">
        <v>47</v>
      </c>
      <c r="AC189" s="83"/>
    </row>
    <row r="190" customFormat="false" ht="15" hidden="false" customHeight="false" outlineLevel="0" collapsed="false">
      <c r="C190" s="69" t="n">
        <v>185</v>
      </c>
      <c r="D190" s="78" t="s">
        <v>656</v>
      </c>
      <c r="E190" s="78" t="s">
        <v>657</v>
      </c>
      <c r="F190" s="78" t="s">
        <v>658</v>
      </c>
      <c r="G190" s="79" t="n">
        <v>34.5</v>
      </c>
      <c r="H190" s="80" t="n">
        <v>1.6744</v>
      </c>
      <c r="I190" s="80" t="n">
        <v>458</v>
      </c>
      <c r="J190" s="80" t="n">
        <v>458</v>
      </c>
      <c r="K190" s="80" t="n">
        <v>458</v>
      </c>
      <c r="L190" s="81" t="s">
        <v>198</v>
      </c>
      <c r="M190" s="80" t="n">
        <v>0.209627329192547</v>
      </c>
      <c r="N190" s="80" t="n">
        <v>0.37882226469183</v>
      </c>
      <c r="O190" s="80" t="n">
        <v>4.41435738174869</v>
      </c>
      <c r="P190" s="80" t="n">
        <v>0.544493549928332</v>
      </c>
      <c r="Q190" s="80" t="n">
        <v>1.85708313425705</v>
      </c>
      <c r="R190" s="80" t="n">
        <v>1.72193024366937</v>
      </c>
      <c r="S190" s="81" t="s">
        <v>233</v>
      </c>
      <c r="T190" s="81" t="s">
        <v>200</v>
      </c>
      <c r="U190" s="81" t="s">
        <v>201</v>
      </c>
      <c r="V190" s="82"/>
      <c r="W190" s="81" t="s">
        <v>234</v>
      </c>
      <c r="X190" s="81" t="n">
        <v>0</v>
      </c>
      <c r="Y190" s="81" t="n">
        <v>0</v>
      </c>
      <c r="Z190" s="81" t="n">
        <v>0</v>
      </c>
      <c r="AA190" s="81" t="s">
        <v>211</v>
      </c>
      <c r="AB190" s="73" t="s">
        <v>47</v>
      </c>
      <c r="AC190" s="83"/>
    </row>
    <row r="191" customFormat="false" ht="15" hidden="false" customHeight="false" outlineLevel="0" collapsed="false">
      <c r="C191" s="76" t="n">
        <v>186</v>
      </c>
      <c r="D191" s="78" t="s">
        <v>659</v>
      </c>
      <c r="E191" s="78" t="s">
        <v>660</v>
      </c>
      <c r="F191" s="78" t="s">
        <v>658</v>
      </c>
      <c r="G191" s="79" t="n">
        <v>34.5</v>
      </c>
      <c r="H191" s="80" t="n">
        <v>0.7616</v>
      </c>
      <c r="I191" s="80" t="n">
        <v>458</v>
      </c>
      <c r="J191" s="80" t="n">
        <v>377.85</v>
      </c>
      <c r="K191" s="80" t="n">
        <v>458</v>
      </c>
      <c r="L191" s="81" t="s">
        <v>239</v>
      </c>
      <c r="M191" s="80" t="n">
        <v>0.209558823529412</v>
      </c>
      <c r="N191" s="80" t="n">
        <v>0.378807773109244</v>
      </c>
      <c r="O191" s="80" t="n">
        <v>4.41439075630252</v>
      </c>
      <c r="P191" s="80" t="n">
        <v>0.544511554621849</v>
      </c>
      <c r="Q191" s="80" t="n">
        <v>1.85714285714286</v>
      </c>
      <c r="R191" s="80" t="n">
        <v>1.7219012605042</v>
      </c>
      <c r="S191" s="81" t="s">
        <v>233</v>
      </c>
      <c r="T191" s="81" t="s">
        <v>200</v>
      </c>
      <c r="U191" s="81" t="s">
        <v>201</v>
      </c>
      <c r="V191" s="82"/>
      <c r="W191" s="81" t="s">
        <v>234</v>
      </c>
      <c r="X191" s="81" t="n">
        <v>0.100555555603933</v>
      </c>
      <c r="Y191" s="81" t="n">
        <v>0.905000000435393</v>
      </c>
      <c r="Z191" s="81" t="n">
        <v>9</v>
      </c>
      <c r="AA191" s="81" t="s">
        <v>211</v>
      </c>
      <c r="AB191" s="73" t="s">
        <v>47</v>
      </c>
      <c r="AC191" s="83"/>
    </row>
    <row r="192" customFormat="false" ht="15" hidden="false" customHeight="false" outlineLevel="0" collapsed="false">
      <c r="C192" s="76" t="n">
        <v>187</v>
      </c>
      <c r="D192" s="78" t="s">
        <v>661</v>
      </c>
      <c r="E192" s="78" t="s">
        <v>394</v>
      </c>
      <c r="F192" s="78" t="s">
        <v>284</v>
      </c>
      <c r="G192" s="79" t="n">
        <v>34.5</v>
      </c>
      <c r="H192" s="80" t="n">
        <v>3</v>
      </c>
      <c r="I192" s="80" t="n">
        <v>724</v>
      </c>
      <c r="J192" s="80" t="n">
        <v>724</v>
      </c>
      <c r="K192" s="80" t="n">
        <v>724</v>
      </c>
      <c r="L192" s="81" t="s">
        <v>198</v>
      </c>
      <c r="M192" s="80" t="n">
        <v>0.101133333333333</v>
      </c>
      <c r="N192" s="80" t="n">
        <v>0.353</v>
      </c>
      <c r="O192" s="80" t="n">
        <v>4.7736</v>
      </c>
      <c r="P192" s="80" t="n">
        <v>0.436</v>
      </c>
      <c r="Q192" s="80" t="n">
        <v>1.83123333333333</v>
      </c>
      <c r="R192" s="80" t="n">
        <v>1.7739</v>
      </c>
      <c r="S192" s="81" t="s">
        <v>233</v>
      </c>
      <c r="T192" s="81" t="s">
        <v>200</v>
      </c>
      <c r="U192" s="81" t="s">
        <v>201</v>
      </c>
      <c r="V192" s="82"/>
      <c r="W192" s="81" t="s">
        <v>525</v>
      </c>
      <c r="X192" s="81" t="n">
        <v>0.248541666747769</v>
      </c>
      <c r="Y192" s="81" t="n">
        <v>3.97666666796431</v>
      </c>
      <c r="Z192" s="81" t="n">
        <v>16</v>
      </c>
      <c r="AA192" s="81" t="s">
        <v>211</v>
      </c>
      <c r="AB192" s="73" t="s">
        <v>47</v>
      </c>
      <c r="AC192" s="83"/>
    </row>
    <row r="193" customFormat="false" ht="15" hidden="false" customHeight="false" outlineLevel="0" collapsed="false">
      <c r="C193" s="69" t="n">
        <v>188</v>
      </c>
      <c r="D193" s="78" t="s">
        <v>662</v>
      </c>
      <c r="E193" s="78" t="s">
        <v>663</v>
      </c>
      <c r="F193" s="78" t="s">
        <v>664</v>
      </c>
      <c r="G193" s="79" t="n">
        <v>34.5</v>
      </c>
      <c r="H193" s="80" t="n">
        <v>0.5027</v>
      </c>
      <c r="I193" s="80" t="n">
        <v>458</v>
      </c>
      <c r="J193" s="80" t="n">
        <v>458</v>
      </c>
      <c r="K193" s="80" t="n">
        <v>458</v>
      </c>
      <c r="L193" s="81" t="s">
        <v>198</v>
      </c>
      <c r="M193" s="80" t="n">
        <v>0.20966779391287</v>
      </c>
      <c r="N193" s="80" t="n">
        <v>0.378754724487766</v>
      </c>
      <c r="O193" s="80" t="n">
        <v>4.41436244280883</v>
      </c>
      <c r="P193" s="80" t="n">
        <v>0.544459916451164</v>
      </c>
      <c r="Q193" s="80" t="n">
        <v>1.85717127511438</v>
      </c>
      <c r="R193" s="80" t="n">
        <v>1.72190173065447</v>
      </c>
      <c r="S193" s="81" t="s">
        <v>233</v>
      </c>
      <c r="T193" s="81" t="s">
        <v>200</v>
      </c>
      <c r="U193" s="81" t="s">
        <v>201</v>
      </c>
      <c r="V193" s="82"/>
      <c r="W193" s="81" t="s">
        <v>234</v>
      </c>
      <c r="X193" s="81" t="n">
        <v>0.590151851826813</v>
      </c>
      <c r="Y193" s="81" t="n">
        <v>44.261388887011</v>
      </c>
      <c r="Z193" s="81" t="n">
        <v>75</v>
      </c>
      <c r="AA193" s="81" t="s">
        <v>211</v>
      </c>
      <c r="AB193" s="73" t="s">
        <v>47</v>
      </c>
      <c r="AC193" s="83"/>
    </row>
    <row r="194" customFormat="false" ht="15" hidden="false" customHeight="false" outlineLevel="0" collapsed="false">
      <c r="C194" s="76" t="n">
        <v>189</v>
      </c>
      <c r="D194" s="78" t="s">
        <v>665</v>
      </c>
      <c r="E194" s="78" t="s">
        <v>666</v>
      </c>
      <c r="F194" s="78" t="s">
        <v>376</v>
      </c>
      <c r="G194" s="79" t="n">
        <v>34.5</v>
      </c>
      <c r="H194" s="80" t="n">
        <v>8.9767</v>
      </c>
      <c r="I194" s="80" t="n">
        <v>355</v>
      </c>
      <c r="J194" s="80" t="n">
        <v>280.095</v>
      </c>
      <c r="K194" s="80" t="n">
        <v>355</v>
      </c>
      <c r="L194" s="81" t="s">
        <v>239</v>
      </c>
      <c r="M194" s="80" t="n">
        <v>0.261621754096717</v>
      </c>
      <c r="N194" s="80" t="n">
        <v>0.40605122149565</v>
      </c>
      <c r="O194" s="80" t="n">
        <v>4.29608876313122</v>
      </c>
      <c r="P194" s="80" t="n">
        <v>0.596510967281963</v>
      </c>
      <c r="Q194" s="80" t="n">
        <v>1.88430046676396</v>
      </c>
      <c r="R194" s="80" t="n">
        <v>1.70364387803981</v>
      </c>
      <c r="S194" s="81" t="s">
        <v>233</v>
      </c>
      <c r="T194" s="81" t="s">
        <v>200</v>
      </c>
      <c r="U194" s="81" t="s">
        <v>201</v>
      </c>
      <c r="V194" s="82"/>
      <c r="W194" s="81" t="s">
        <v>301</v>
      </c>
      <c r="X194" s="81" t="n">
        <v>0.190763888957736</v>
      </c>
      <c r="Y194" s="81" t="n">
        <v>7.63055555830943</v>
      </c>
      <c r="Z194" s="81" t="n">
        <v>40</v>
      </c>
      <c r="AA194" s="81" t="s">
        <v>211</v>
      </c>
      <c r="AB194" s="73" t="s">
        <v>47</v>
      </c>
      <c r="AC194" s="83"/>
    </row>
    <row r="195" customFormat="false" ht="15" hidden="false" customHeight="false" outlineLevel="0" collapsed="false">
      <c r="C195" s="76" t="n">
        <v>190</v>
      </c>
      <c r="D195" s="78" t="s">
        <v>667</v>
      </c>
      <c r="E195" s="78" t="s">
        <v>668</v>
      </c>
      <c r="F195" s="78" t="s">
        <v>669</v>
      </c>
      <c r="G195" s="79" t="n">
        <v>34.5</v>
      </c>
      <c r="H195" s="80" t="n">
        <v>0.5921</v>
      </c>
      <c r="I195" s="80" t="n">
        <v>275</v>
      </c>
      <c r="J195" s="80" t="n">
        <v>275</v>
      </c>
      <c r="K195" s="80" t="n">
        <v>275</v>
      </c>
      <c r="L195" s="81" t="s">
        <v>198</v>
      </c>
      <c r="M195" s="80" t="n">
        <v>0.415132578956257</v>
      </c>
      <c r="N195" s="80" t="n">
        <v>0.423745988853234</v>
      </c>
      <c r="O195" s="80" t="n">
        <v>4.09981422057085</v>
      </c>
      <c r="P195" s="80" t="n">
        <v>0.750042222597534</v>
      </c>
      <c r="Q195" s="80" t="n">
        <v>1.90187468333052</v>
      </c>
      <c r="R195" s="80" t="n">
        <v>1.67201486235433</v>
      </c>
      <c r="S195" s="81" t="s">
        <v>233</v>
      </c>
      <c r="T195" s="81" t="s">
        <v>200</v>
      </c>
      <c r="U195" s="81" t="s">
        <v>201</v>
      </c>
      <c r="V195" s="82"/>
      <c r="W195" s="81" t="s">
        <v>360</v>
      </c>
      <c r="X195" s="81" t="n">
        <v>0.617457627153056</v>
      </c>
      <c r="Y195" s="81" t="n">
        <v>36.4300000020303</v>
      </c>
      <c r="Z195" s="81" t="n">
        <v>59</v>
      </c>
      <c r="AA195" s="81" t="s">
        <v>211</v>
      </c>
      <c r="AB195" s="73" t="s">
        <v>47</v>
      </c>
      <c r="AC195" s="83"/>
    </row>
    <row r="196" customFormat="false" ht="15" hidden="false" customHeight="false" outlineLevel="0" collapsed="false">
      <c r="C196" s="69" t="n">
        <v>191</v>
      </c>
      <c r="D196" s="78" t="s">
        <v>670</v>
      </c>
      <c r="E196" s="78" t="s">
        <v>671</v>
      </c>
      <c r="F196" s="78" t="s">
        <v>672</v>
      </c>
      <c r="G196" s="79" t="n">
        <v>34.5</v>
      </c>
      <c r="H196" s="80" t="n">
        <v>15.45</v>
      </c>
      <c r="I196" s="80" t="n">
        <v>241</v>
      </c>
      <c r="J196" s="80" t="n">
        <v>241</v>
      </c>
      <c r="K196" s="80" t="n">
        <v>241</v>
      </c>
      <c r="L196" s="81" t="s">
        <v>198</v>
      </c>
      <c r="M196" s="80" t="n">
        <v>0.522925566343042</v>
      </c>
      <c r="N196" s="80" t="n">
        <v>0.432472491909385</v>
      </c>
      <c r="O196" s="80" t="n">
        <v>4.00845954692557</v>
      </c>
      <c r="P196" s="80" t="n">
        <v>0.857818770226537</v>
      </c>
      <c r="Q196" s="80" t="n">
        <v>1.91071844660194</v>
      </c>
      <c r="R196" s="80" t="n">
        <v>1.65657605177994</v>
      </c>
      <c r="S196" s="81" t="s">
        <v>233</v>
      </c>
      <c r="T196" s="81" t="s">
        <v>200</v>
      </c>
      <c r="U196" s="81" t="s">
        <v>201</v>
      </c>
      <c r="V196" s="82"/>
      <c r="W196" s="81" t="s">
        <v>364</v>
      </c>
      <c r="X196" s="81" t="n">
        <v>2.0245138888713</v>
      </c>
      <c r="Y196" s="81" t="n">
        <v>8.09805555548519</v>
      </c>
      <c r="Z196" s="81" t="n">
        <v>4</v>
      </c>
      <c r="AA196" s="81" t="s">
        <v>211</v>
      </c>
      <c r="AB196" s="73" t="s">
        <v>47</v>
      </c>
      <c r="AC196" s="83"/>
    </row>
    <row r="197" customFormat="false" ht="15" hidden="false" customHeight="false" outlineLevel="0" collapsed="false">
      <c r="C197" s="76" t="n">
        <v>192</v>
      </c>
      <c r="D197" s="78" t="s">
        <v>673</v>
      </c>
      <c r="E197" s="78" t="s">
        <v>674</v>
      </c>
      <c r="F197" s="78" t="s">
        <v>675</v>
      </c>
      <c r="G197" s="79" t="n">
        <v>34.5</v>
      </c>
      <c r="H197" s="80" t="n">
        <v>9.95</v>
      </c>
      <c r="I197" s="80" t="n">
        <v>355</v>
      </c>
      <c r="J197" s="80" t="n">
        <v>299.975</v>
      </c>
      <c r="K197" s="80" t="n">
        <v>355</v>
      </c>
      <c r="L197" s="81" t="s">
        <v>239</v>
      </c>
      <c r="M197" s="80" t="n">
        <v>0.261618090452261</v>
      </c>
      <c r="N197" s="80" t="n">
        <v>0.406050251256281</v>
      </c>
      <c r="O197" s="80" t="n">
        <v>4.29609045226131</v>
      </c>
      <c r="P197" s="80" t="n">
        <v>0.59651256281407</v>
      </c>
      <c r="Q197" s="80" t="n">
        <v>1.88430150753769</v>
      </c>
      <c r="R197" s="80" t="n">
        <v>1.70363819095477</v>
      </c>
      <c r="S197" s="81" t="s">
        <v>233</v>
      </c>
      <c r="T197" s="81" t="s">
        <v>200</v>
      </c>
      <c r="U197" s="81" t="s">
        <v>201</v>
      </c>
      <c r="V197" s="82"/>
      <c r="W197" s="81" t="s">
        <v>301</v>
      </c>
      <c r="X197" s="81" t="n">
        <v>0.92250645993383</v>
      </c>
      <c r="Y197" s="81" t="n">
        <v>79.3355555543094</v>
      </c>
      <c r="Z197" s="81" t="n">
        <v>86</v>
      </c>
      <c r="AA197" s="81" t="s">
        <v>211</v>
      </c>
      <c r="AB197" s="73" t="s">
        <v>47</v>
      </c>
      <c r="AC197" s="83"/>
    </row>
    <row r="198" customFormat="false" ht="15" hidden="false" customHeight="false" outlineLevel="0" collapsed="false">
      <c r="C198" s="76" t="n">
        <v>193</v>
      </c>
      <c r="D198" s="78" t="s">
        <v>676</v>
      </c>
      <c r="E198" s="78" t="s">
        <v>677</v>
      </c>
      <c r="F198" s="78" t="s">
        <v>678</v>
      </c>
      <c r="G198" s="79" t="n">
        <v>34.5</v>
      </c>
      <c r="H198" s="80" t="n">
        <v>16.79</v>
      </c>
      <c r="I198" s="80" t="n">
        <v>355</v>
      </c>
      <c r="J198" s="80" t="n">
        <v>355</v>
      </c>
      <c r="K198" s="80" t="n">
        <v>355</v>
      </c>
      <c r="L198" s="81" t="s">
        <v>198</v>
      </c>
      <c r="M198" s="80" t="n">
        <v>0.261620011911852</v>
      </c>
      <c r="N198" s="80" t="n">
        <v>0.406045265038714</v>
      </c>
      <c r="O198" s="80" t="n">
        <v>4.29609291244789</v>
      </c>
      <c r="P198" s="80" t="n">
        <v>0.596515783204288</v>
      </c>
      <c r="Q198" s="80" t="n">
        <v>1.88429422275164</v>
      </c>
      <c r="R198" s="80" t="n">
        <v>1.70364502680167</v>
      </c>
      <c r="S198" s="81" t="s">
        <v>233</v>
      </c>
      <c r="T198" s="81" t="s">
        <v>200</v>
      </c>
      <c r="U198" s="81" t="s">
        <v>201</v>
      </c>
      <c r="V198" s="82"/>
      <c r="W198" s="81" t="s">
        <v>301</v>
      </c>
      <c r="X198" s="81" t="n">
        <v>0</v>
      </c>
      <c r="Y198" s="81" t="n">
        <v>0</v>
      </c>
      <c r="Z198" s="81" t="n">
        <v>0</v>
      </c>
      <c r="AA198" s="81" t="s">
        <v>211</v>
      </c>
      <c r="AB198" s="73" t="s">
        <v>47</v>
      </c>
      <c r="AC198" s="83"/>
    </row>
    <row r="199" customFormat="false" ht="15" hidden="false" customHeight="false" outlineLevel="0" collapsed="false">
      <c r="C199" s="69" t="n">
        <v>194</v>
      </c>
      <c r="D199" s="78" t="s">
        <v>679</v>
      </c>
      <c r="E199" s="78" t="s">
        <v>680</v>
      </c>
      <c r="F199" s="78" t="s">
        <v>681</v>
      </c>
      <c r="G199" s="79" t="n">
        <v>34.5</v>
      </c>
      <c r="H199" s="80" t="n">
        <v>6.461</v>
      </c>
      <c r="I199" s="80" t="n">
        <v>355</v>
      </c>
      <c r="J199" s="80" t="n">
        <v>269.8</v>
      </c>
      <c r="K199" s="80" t="n">
        <v>355</v>
      </c>
      <c r="L199" s="81" t="s">
        <v>239</v>
      </c>
      <c r="M199" s="80" t="n">
        <v>0.261615848939793</v>
      </c>
      <c r="N199" s="80" t="n">
        <v>0.406051694784089</v>
      </c>
      <c r="O199" s="80" t="n">
        <v>4.29608419749265</v>
      </c>
      <c r="P199" s="80" t="n">
        <v>0.596517566940102</v>
      </c>
      <c r="Q199" s="80" t="n">
        <v>1.88429035752979</v>
      </c>
      <c r="R199" s="80" t="n">
        <v>1.70363720786256</v>
      </c>
      <c r="S199" s="81" t="s">
        <v>233</v>
      </c>
      <c r="T199" s="81" t="s">
        <v>200</v>
      </c>
      <c r="U199" s="81" t="s">
        <v>201</v>
      </c>
      <c r="V199" s="82"/>
      <c r="W199" s="81" t="s">
        <v>301</v>
      </c>
      <c r="X199" s="81" t="n">
        <v>1.60313131315739</v>
      </c>
      <c r="Y199" s="81" t="n">
        <v>17.6344444447313</v>
      </c>
      <c r="Z199" s="81" t="n">
        <v>11</v>
      </c>
      <c r="AA199" s="81" t="s">
        <v>211</v>
      </c>
      <c r="AB199" s="73" t="s">
        <v>47</v>
      </c>
      <c r="AC199" s="83"/>
    </row>
    <row r="200" customFormat="false" ht="15" hidden="false" customHeight="false" outlineLevel="0" collapsed="false">
      <c r="C200" s="76" t="n">
        <v>195</v>
      </c>
      <c r="D200" s="78" t="s">
        <v>682</v>
      </c>
      <c r="E200" s="78" t="s">
        <v>683</v>
      </c>
      <c r="F200" s="78" t="s">
        <v>684</v>
      </c>
      <c r="G200" s="79" t="n">
        <v>34.5</v>
      </c>
      <c r="H200" s="80" t="n">
        <v>1.29</v>
      </c>
      <c r="I200" s="80" t="n">
        <v>458</v>
      </c>
      <c r="J200" s="80" t="n">
        <v>458</v>
      </c>
      <c r="K200" s="80" t="n">
        <v>458</v>
      </c>
      <c r="L200" s="81" t="s">
        <v>198</v>
      </c>
      <c r="M200" s="80" t="n">
        <v>0.209612403100775</v>
      </c>
      <c r="N200" s="80" t="n">
        <v>0.378837209302326</v>
      </c>
      <c r="O200" s="80" t="n">
        <v>4.41434108527132</v>
      </c>
      <c r="P200" s="80" t="n">
        <v>0.544496124031008</v>
      </c>
      <c r="Q200" s="80" t="n">
        <v>1.85705426356589</v>
      </c>
      <c r="R200" s="80" t="n">
        <v>1.72193798449612</v>
      </c>
      <c r="S200" s="81" t="s">
        <v>233</v>
      </c>
      <c r="T200" s="81" t="s">
        <v>200</v>
      </c>
      <c r="U200" s="81" t="s">
        <v>201</v>
      </c>
      <c r="V200" s="82"/>
      <c r="W200" s="81" t="s">
        <v>234</v>
      </c>
      <c r="X200" s="81" t="n">
        <v>0.590151851826813</v>
      </c>
      <c r="Y200" s="81" t="n">
        <v>44.261388887011</v>
      </c>
      <c r="Z200" s="81" t="n">
        <v>75</v>
      </c>
      <c r="AA200" s="81" t="s">
        <v>211</v>
      </c>
      <c r="AB200" s="73" t="s">
        <v>47</v>
      </c>
      <c r="AC200" s="83"/>
    </row>
    <row r="201" customFormat="false" ht="15" hidden="false" customHeight="false" outlineLevel="0" collapsed="false">
      <c r="C201" s="76" t="n">
        <v>196</v>
      </c>
      <c r="D201" s="78" t="s">
        <v>685</v>
      </c>
      <c r="E201" s="78" t="s">
        <v>686</v>
      </c>
      <c r="F201" s="78" t="s">
        <v>378</v>
      </c>
      <c r="G201" s="79" t="n">
        <v>34.5</v>
      </c>
      <c r="H201" s="80" t="n">
        <v>8.5</v>
      </c>
      <c r="I201" s="80" t="n">
        <v>355</v>
      </c>
      <c r="J201" s="80" t="n">
        <v>299.975</v>
      </c>
      <c r="K201" s="80" t="n">
        <v>355</v>
      </c>
      <c r="L201" s="81" t="s">
        <v>239</v>
      </c>
      <c r="M201" s="80" t="n">
        <v>0.261623529411765</v>
      </c>
      <c r="N201" s="80" t="n">
        <v>0.406047058823529</v>
      </c>
      <c r="O201" s="80" t="n">
        <v>4.29609411764706</v>
      </c>
      <c r="P201" s="80" t="n">
        <v>0.596517647058824</v>
      </c>
      <c r="Q201" s="80" t="n">
        <v>1.88429411764706</v>
      </c>
      <c r="R201" s="80" t="n">
        <v>1.70364705882353</v>
      </c>
      <c r="S201" s="81" t="s">
        <v>233</v>
      </c>
      <c r="T201" s="81" t="s">
        <v>200</v>
      </c>
      <c r="U201" s="81" t="s">
        <v>201</v>
      </c>
      <c r="V201" s="82"/>
      <c r="W201" s="81" t="s">
        <v>301</v>
      </c>
      <c r="X201" s="81" t="n">
        <v>0.92250645993383</v>
      </c>
      <c r="Y201" s="81" t="n">
        <v>79.3355555543094</v>
      </c>
      <c r="Z201" s="81" t="n">
        <v>86</v>
      </c>
      <c r="AA201" s="81" t="s">
        <v>211</v>
      </c>
      <c r="AB201" s="73" t="s">
        <v>47</v>
      </c>
      <c r="AC201" s="83"/>
    </row>
    <row r="202" customFormat="false" ht="15" hidden="false" customHeight="false" outlineLevel="0" collapsed="false">
      <c r="C202" s="69" t="n">
        <v>197</v>
      </c>
      <c r="D202" s="78" t="s">
        <v>687</v>
      </c>
      <c r="E202" s="78" t="s">
        <v>688</v>
      </c>
      <c r="F202" s="78" t="s">
        <v>689</v>
      </c>
      <c r="G202" s="79" t="n">
        <v>34.5</v>
      </c>
      <c r="H202" s="80" t="n">
        <v>16.01</v>
      </c>
      <c r="I202" s="80" t="n">
        <v>458</v>
      </c>
      <c r="J202" s="80" t="n">
        <v>270.22</v>
      </c>
      <c r="K202" s="80" t="n">
        <v>458</v>
      </c>
      <c r="L202" s="81" t="s">
        <v>239</v>
      </c>
      <c r="M202" s="80" t="n">
        <v>0.209606495940037</v>
      </c>
      <c r="N202" s="80" t="n">
        <v>0.378838226108682</v>
      </c>
      <c r="O202" s="80" t="n">
        <v>4.41433479075578</v>
      </c>
      <c r="P202" s="80" t="n">
        <v>0.544497189256714</v>
      </c>
      <c r="Q202" s="80" t="n">
        <v>1.85708931917552</v>
      </c>
      <c r="R202" s="80" t="n">
        <v>1.72190505933791</v>
      </c>
      <c r="S202" s="81" t="s">
        <v>233</v>
      </c>
      <c r="T202" s="81" t="s">
        <v>200</v>
      </c>
      <c r="U202" s="81" t="s">
        <v>201</v>
      </c>
      <c r="V202" s="82"/>
      <c r="W202" s="81" t="s">
        <v>234</v>
      </c>
      <c r="X202" s="81" t="n">
        <v>0</v>
      </c>
      <c r="Y202" s="81" t="n">
        <v>0</v>
      </c>
      <c r="Z202" s="81" t="n">
        <v>0</v>
      </c>
      <c r="AA202" s="81" t="s">
        <v>211</v>
      </c>
      <c r="AB202" s="73" t="s">
        <v>47</v>
      </c>
      <c r="AC202" s="83"/>
    </row>
    <row r="203" customFormat="false" ht="15" hidden="false" customHeight="false" outlineLevel="0" collapsed="false">
      <c r="C203" s="76" t="n">
        <v>198</v>
      </c>
      <c r="D203" s="78" t="s">
        <v>690</v>
      </c>
      <c r="E203" s="78" t="s">
        <v>691</v>
      </c>
      <c r="F203" s="78" t="s">
        <v>692</v>
      </c>
      <c r="G203" s="79" t="n">
        <v>34.5</v>
      </c>
      <c r="H203" s="80" t="n">
        <v>24.9546</v>
      </c>
      <c r="I203" s="80" t="n">
        <v>275</v>
      </c>
      <c r="J203" s="80" t="n">
        <v>167.75</v>
      </c>
      <c r="K203" s="80" t="n">
        <v>275</v>
      </c>
      <c r="L203" s="81" t="s">
        <v>239</v>
      </c>
      <c r="M203" s="80" t="n">
        <v>0.415109839468475</v>
      </c>
      <c r="N203" s="80" t="n">
        <v>0.423705449095558</v>
      </c>
      <c r="O203" s="80" t="n">
        <v>4.09982928999062</v>
      </c>
      <c r="P203" s="80" t="n">
        <v>0.750002003638608</v>
      </c>
      <c r="Q203" s="80" t="n">
        <v>1.90195394837024</v>
      </c>
      <c r="R203" s="80" t="n">
        <v>1.67195226531381</v>
      </c>
      <c r="S203" s="81" t="s">
        <v>233</v>
      </c>
      <c r="T203" s="81" t="s">
        <v>200</v>
      </c>
      <c r="U203" s="81" t="s">
        <v>201</v>
      </c>
      <c r="V203" s="82"/>
      <c r="W203" s="81" t="s">
        <v>360</v>
      </c>
      <c r="X203" s="81" t="n">
        <v>0.880025252519937</v>
      </c>
      <c r="Y203" s="81" t="n">
        <v>9.68027777771931</v>
      </c>
      <c r="Z203" s="81" t="n">
        <v>11</v>
      </c>
      <c r="AA203" s="81" t="s">
        <v>211</v>
      </c>
      <c r="AB203" s="73" t="s">
        <v>47</v>
      </c>
      <c r="AC203" s="83"/>
    </row>
    <row r="204" customFormat="false" ht="15" hidden="false" customHeight="false" outlineLevel="0" collapsed="false">
      <c r="C204" s="76" t="n">
        <v>199</v>
      </c>
      <c r="D204" s="78" t="s">
        <v>693</v>
      </c>
      <c r="E204" s="78" t="s">
        <v>694</v>
      </c>
      <c r="F204" s="78" t="s">
        <v>692</v>
      </c>
      <c r="G204" s="79" t="n">
        <v>34.5</v>
      </c>
      <c r="H204" s="80" t="n">
        <v>20.7379</v>
      </c>
      <c r="I204" s="80" t="n">
        <v>275</v>
      </c>
      <c r="J204" s="80" t="n">
        <v>168.025</v>
      </c>
      <c r="K204" s="80" t="n">
        <v>275</v>
      </c>
      <c r="L204" s="81" t="s">
        <v>239</v>
      </c>
      <c r="M204" s="80" t="n">
        <v>0.415109533752212</v>
      </c>
      <c r="N204" s="80" t="n">
        <v>0.423707318484514</v>
      </c>
      <c r="O204" s="80" t="n">
        <v>4.09983170909301</v>
      </c>
      <c r="P204" s="80" t="n">
        <v>0.749998794477744</v>
      </c>
      <c r="Q204" s="80" t="n">
        <v>1.90195728593541</v>
      </c>
      <c r="R204" s="80" t="n">
        <v>1.67195328360152</v>
      </c>
      <c r="S204" s="81" t="s">
        <v>233</v>
      </c>
      <c r="T204" s="81" t="s">
        <v>200</v>
      </c>
      <c r="U204" s="81" t="s">
        <v>201</v>
      </c>
      <c r="V204" s="82"/>
      <c r="W204" s="81" t="s">
        <v>360</v>
      </c>
      <c r="X204" s="81" t="n">
        <v>13.1814351851644</v>
      </c>
      <c r="Y204" s="81" t="n">
        <v>237.26583333296</v>
      </c>
      <c r="Z204" s="81" t="n">
        <v>18</v>
      </c>
      <c r="AA204" s="81" t="s">
        <v>211</v>
      </c>
      <c r="AB204" s="73" t="s">
        <v>47</v>
      </c>
      <c r="AC204" s="83"/>
    </row>
    <row r="205" customFormat="false" ht="15" hidden="false" customHeight="false" outlineLevel="0" collapsed="false">
      <c r="C205" s="69" t="n">
        <v>200</v>
      </c>
      <c r="D205" s="78" t="s">
        <v>695</v>
      </c>
      <c r="E205" s="78" t="s">
        <v>696</v>
      </c>
      <c r="F205" s="78" t="s">
        <v>697</v>
      </c>
      <c r="G205" s="79" t="n">
        <v>34.5</v>
      </c>
      <c r="H205" s="80" t="n">
        <v>3.1196</v>
      </c>
      <c r="I205" s="80" t="n">
        <v>458</v>
      </c>
      <c r="J205" s="80" t="n">
        <v>458</v>
      </c>
      <c r="K205" s="80" t="n">
        <v>458</v>
      </c>
      <c r="L205" s="81" t="s">
        <v>198</v>
      </c>
      <c r="M205" s="80" t="n">
        <v>0.209610206436723</v>
      </c>
      <c r="N205" s="80" t="n">
        <v>0.378830619310168</v>
      </c>
      <c r="O205" s="80" t="n">
        <v>4.41434799333248</v>
      </c>
      <c r="P205" s="80" t="n">
        <v>0.544492883703039</v>
      </c>
      <c r="Q205" s="80" t="n">
        <v>1.85709706372612</v>
      </c>
      <c r="R205" s="80" t="n">
        <v>1.72188742146429</v>
      </c>
      <c r="S205" s="81" t="s">
        <v>233</v>
      </c>
      <c r="T205" s="81" t="s">
        <v>200</v>
      </c>
      <c r="U205" s="81" t="s">
        <v>201</v>
      </c>
      <c r="V205" s="82"/>
      <c r="W205" s="81" t="s">
        <v>234</v>
      </c>
      <c r="X205" s="81" t="n">
        <v>0.786503567782214</v>
      </c>
      <c r="Y205" s="81" t="n">
        <v>85.7288888882613</v>
      </c>
      <c r="Z205" s="81" t="n">
        <v>109</v>
      </c>
      <c r="AA205" s="81" t="s">
        <v>211</v>
      </c>
      <c r="AB205" s="73" t="s">
        <v>47</v>
      </c>
      <c r="AC205" s="83"/>
    </row>
    <row r="206" customFormat="false" ht="15" hidden="false" customHeight="false" outlineLevel="0" collapsed="false">
      <c r="C206" s="76" t="n">
        <v>201</v>
      </c>
      <c r="D206" s="78" t="s">
        <v>698</v>
      </c>
      <c r="E206" s="78" t="s">
        <v>699</v>
      </c>
      <c r="F206" s="78" t="s">
        <v>700</v>
      </c>
      <c r="G206" s="79" t="n">
        <v>34.5</v>
      </c>
      <c r="H206" s="80" t="n">
        <v>11.1799</v>
      </c>
      <c r="I206" s="80" t="n">
        <v>355</v>
      </c>
      <c r="J206" s="80" t="n">
        <v>355</v>
      </c>
      <c r="K206" s="80" t="n">
        <v>355</v>
      </c>
      <c r="L206" s="81" t="s">
        <v>198</v>
      </c>
      <c r="M206" s="80" t="n">
        <v>0.261621302516123</v>
      </c>
      <c r="N206" s="80" t="n">
        <v>0.406050143561213</v>
      </c>
      <c r="O206" s="80" t="n">
        <v>4.29609388277176</v>
      </c>
      <c r="P206" s="80" t="n">
        <v>0.596516963479101</v>
      </c>
      <c r="Q206" s="80" t="n">
        <v>1.88430129070922</v>
      </c>
      <c r="R206" s="80" t="n">
        <v>1.70363777851322</v>
      </c>
      <c r="S206" s="81" t="s">
        <v>233</v>
      </c>
      <c r="T206" s="81" t="s">
        <v>200</v>
      </c>
      <c r="U206" s="81" t="s">
        <v>201</v>
      </c>
      <c r="V206" s="82"/>
      <c r="W206" s="81" t="s">
        <v>301</v>
      </c>
      <c r="X206" s="81" t="n">
        <v>1.41421052630635</v>
      </c>
      <c r="Y206" s="81" t="n">
        <v>53.7399999996414</v>
      </c>
      <c r="Z206" s="81" t="n">
        <v>38</v>
      </c>
      <c r="AA206" s="81" t="s">
        <v>211</v>
      </c>
      <c r="AB206" s="73" t="s">
        <v>47</v>
      </c>
      <c r="AC206" s="83"/>
    </row>
    <row r="207" customFormat="false" ht="15" hidden="false" customHeight="false" outlineLevel="0" collapsed="false">
      <c r="C207" s="76" t="n">
        <v>202</v>
      </c>
      <c r="D207" s="78" t="s">
        <v>701</v>
      </c>
      <c r="E207" s="78" t="s">
        <v>702</v>
      </c>
      <c r="F207" s="78" t="s">
        <v>703</v>
      </c>
      <c r="G207" s="79" t="n">
        <v>34.5</v>
      </c>
      <c r="H207" s="80" t="n">
        <v>0.6044</v>
      </c>
      <c r="I207" s="80" t="n">
        <v>275</v>
      </c>
      <c r="J207" s="80" t="n">
        <v>275</v>
      </c>
      <c r="K207" s="80" t="n">
        <v>275</v>
      </c>
      <c r="L207" s="81" t="s">
        <v>198</v>
      </c>
      <c r="M207" s="80" t="n">
        <v>0.415122435473197</v>
      </c>
      <c r="N207" s="80" t="n">
        <v>0.423726009265387</v>
      </c>
      <c r="O207" s="80" t="n">
        <v>4.09976836532098</v>
      </c>
      <c r="P207" s="80" t="n">
        <v>0.75</v>
      </c>
      <c r="Q207" s="80" t="n">
        <v>1.9018861681006</v>
      </c>
      <c r="R207" s="80" t="n">
        <v>1.67190602250165</v>
      </c>
      <c r="S207" s="81" t="s">
        <v>233</v>
      </c>
      <c r="T207" s="81" t="s">
        <v>200</v>
      </c>
      <c r="U207" s="81" t="s">
        <v>201</v>
      </c>
      <c r="V207" s="82"/>
      <c r="W207" s="81" t="s">
        <v>360</v>
      </c>
      <c r="X207" s="81" t="n">
        <v>0.590151851826813</v>
      </c>
      <c r="Y207" s="81" t="n">
        <v>44.261388887011</v>
      </c>
      <c r="Z207" s="81" t="n">
        <v>75</v>
      </c>
      <c r="AA207" s="81" t="s">
        <v>211</v>
      </c>
      <c r="AB207" s="73" t="s">
        <v>47</v>
      </c>
      <c r="AC207" s="83"/>
    </row>
    <row r="208" customFormat="false" ht="15" hidden="false" customHeight="false" outlineLevel="0" collapsed="false">
      <c r="C208" s="69" t="n">
        <v>203</v>
      </c>
      <c r="D208" s="78" t="s">
        <v>704</v>
      </c>
      <c r="E208" s="78" t="s">
        <v>232</v>
      </c>
      <c r="F208" s="78" t="s">
        <v>705</v>
      </c>
      <c r="G208" s="79" t="n">
        <v>34.5</v>
      </c>
      <c r="H208" s="80" t="n">
        <v>1.1</v>
      </c>
      <c r="I208" s="80" t="n">
        <v>458</v>
      </c>
      <c r="J208" s="80" t="n">
        <v>458</v>
      </c>
      <c r="K208" s="80" t="n">
        <v>458</v>
      </c>
      <c r="L208" s="81" t="s">
        <v>198</v>
      </c>
      <c r="M208" s="80" t="n">
        <v>0.209636363636364</v>
      </c>
      <c r="N208" s="80" t="n">
        <v>0.378818181818182</v>
      </c>
      <c r="O208" s="80" t="n">
        <v>4.41436363636364</v>
      </c>
      <c r="P208" s="80" t="n">
        <v>0.544454545454545</v>
      </c>
      <c r="Q208" s="80" t="n">
        <v>1.85709090909091</v>
      </c>
      <c r="R208" s="80" t="n">
        <v>1.72190909090909</v>
      </c>
      <c r="S208" s="81" t="s">
        <v>233</v>
      </c>
      <c r="T208" s="81" t="s">
        <v>200</v>
      </c>
      <c r="U208" s="81" t="s">
        <v>201</v>
      </c>
      <c r="V208" s="82"/>
      <c r="W208" s="81" t="s">
        <v>234</v>
      </c>
      <c r="X208" s="81" t="n">
        <v>1.99384259257931</v>
      </c>
      <c r="Y208" s="81" t="n">
        <v>11.9630555554759</v>
      </c>
      <c r="Z208" s="81" t="n">
        <v>6</v>
      </c>
      <c r="AA208" s="81" t="s">
        <v>211</v>
      </c>
      <c r="AB208" s="73" t="s">
        <v>47</v>
      </c>
      <c r="AC208" s="83"/>
    </row>
    <row r="209" customFormat="false" ht="15" hidden="false" customHeight="false" outlineLevel="0" collapsed="false">
      <c r="C209" s="76" t="n">
        <v>204</v>
      </c>
      <c r="D209" s="78" t="s">
        <v>706</v>
      </c>
      <c r="E209" s="78" t="s">
        <v>707</v>
      </c>
      <c r="F209" s="78" t="s">
        <v>708</v>
      </c>
      <c r="G209" s="79" t="n">
        <v>34.5</v>
      </c>
      <c r="H209" s="80" t="n">
        <v>6.45</v>
      </c>
      <c r="I209" s="80" t="n">
        <v>275</v>
      </c>
      <c r="J209" s="80" t="n">
        <v>275</v>
      </c>
      <c r="K209" s="80" t="n">
        <v>275</v>
      </c>
      <c r="L209" s="81" t="s">
        <v>198</v>
      </c>
      <c r="M209" s="80" t="n">
        <v>0.415116279069767</v>
      </c>
      <c r="N209" s="80" t="n">
        <v>0.423705426356589</v>
      </c>
      <c r="O209" s="80" t="n">
        <v>4.09982945736434</v>
      </c>
      <c r="P209" s="80" t="n">
        <v>0.75</v>
      </c>
      <c r="Q209" s="80" t="n">
        <v>1.90195348837209</v>
      </c>
      <c r="R209" s="80" t="n">
        <v>1.67195348837209</v>
      </c>
      <c r="S209" s="81" t="s">
        <v>233</v>
      </c>
      <c r="T209" s="81" t="s">
        <v>200</v>
      </c>
      <c r="U209" s="81" t="s">
        <v>201</v>
      </c>
      <c r="V209" s="82"/>
      <c r="W209" s="81" t="s">
        <v>360</v>
      </c>
      <c r="X209" s="81" t="n">
        <v>3.53972222217999</v>
      </c>
      <c r="Y209" s="81" t="n">
        <v>14.15888888872</v>
      </c>
      <c r="Z209" s="81" t="n">
        <v>4</v>
      </c>
      <c r="AA209" s="81" t="s">
        <v>211</v>
      </c>
      <c r="AB209" s="73" t="s">
        <v>47</v>
      </c>
      <c r="AC209" s="83"/>
    </row>
    <row r="210" customFormat="false" ht="15" hidden="false" customHeight="false" outlineLevel="0" collapsed="false">
      <c r="C210" s="76" t="n">
        <v>205</v>
      </c>
      <c r="D210" s="78" t="s">
        <v>709</v>
      </c>
      <c r="E210" s="78" t="s">
        <v>710</v>
      </c>
      <c r="F210" s="78" t="s">
        <v>711</v>
      </c>
      <c r="G210" s="79" t="n">
        <v>34.5</v>
      </c>
      <c r="H210" s="80" t="n">
        <v>7.8</v>
      </c>
      <c r="I210" s="80" t="n">
        <v>355</v>
      </c>
      <c r="J210" s="80" t="n">
        <v>299.975</v>
      </c>
      <c r="K210" s="80" t="n">
        <v>355</v>
      </c>
      <c r="L210" s="81" t="s">
        <v>239</v>
      </c>
      <c r="M210" s="80" t="n">
        <v>0.261628205128205</v>
      </c>
      <c r="N210" s="80" t="n">
        <v>0.406051282051282</v>
      </c>
      <c r="O210" s="80" t="n">
        <v>4.29608974358974</v>
      </c>
      <c r="P210" s="80" t="n">
        <v>0.596512820512821</v>
      </c>
      <c r="Q210" s="80" t="n">
        <v>1.88429487179487</v>
      </c>
      <c r="R210" s="80" t="n">
        <v>1.70364102564103</v>
      </c>
      <c r="S210" s="81" t="s">
        <v>233</v>
      </c>
      <c r="T210" s="81" t="s">
        <v>200</v>
      </c>
      <c r="U210" s="81" t="s">
        <v>201</v>
      </c>
      <c r="V210" s="82"/>
      <c r="W210" s="81" t="s">
        <v>301</v>
      </c>
      <c r="X210" s="81" t="n">
        <v>0.92250645993383</v>
      </c>
      <c r="Y210" s="81" t="n">
        <v>79.3355555543094</v>
      </c>
      <c r="Z210" s="81" t="n">
        <v>86</v>
      </c>
      <c r="AA210" s="81" t="s">
        <v>211</v>
      </c>
      <c r="AB210" s="73" t="s">
        <v>47</v>
      </c>
      <c r="AC210" s="83"/>
    </row>
    <row r="211" customFormat="false" ht="15" hidden="false" customHeight="false" outlineLevel="0" collapsed="false">
      <c r="C211" s="69" t="n">
        <v>206</v>
      </c>
      <c r="D211" s="78" t="s">
        <v>712</v>
      </c>
      <c r="E211" s="78" t="s">
        <v>713</v>
      </c>
      <c r="F211" s="78" t="s">
        <v>714</v>
      </c>
      <c r="G211" s="79" t="n">
        <v>34.5</v>
      </c>
      <c r="H211" s="80" t="n">
        <v>15.0247</v>
      </c>
      <c r="I211" s="80" t="n">
        <v>184</v>
      </c>
      <c r="J211" s="80" t="n">
        <v>184</v>
      </c>
      <c r="K211" s="80" t="n">
        <v>184</v>
      </c>
      <c r="L211" s="81" t="s">
        <v>198</v>
      </c>
      <c r="M211" s="80" t="n">
        <v>0.830658848429586</v>
      </c>
      <c r="N211" s="80" t="n">
        <v>0.449892510332985</v>
      </c>
      <c r="O211" s="80" t="n">
        <v>3.83646928058464</v>
      </c>
      <c r="P211" s="80" t="n">
        <v>1.16555405432388</v>
      </c>
      <c r="Q211" s="80" t="n">
        <v>1.92814498791989</v>
      </c>
      <c r="R211" s="80" t="n">
        <v>1.62648838246354</v>
      </c>
      <c r="S211" s="81" t="s">
        <v>233</v>
      </c>
      <c r="T211" s="81" t="s">
        <v>200</v>
      </c>
      <c r="U211" s="81" t="s">
        <v>201</v>
      </c>
      <c r="V211" s="82"/>
      <c r="W211" s="81" t="s">
        <v>380</v>
      </c>
      <c r="X211" s="81" t="n">
        <v>0.748774509784519</v>
      </c>
      <c r="Y211" s="81" t="n">
        <v>25.4583333326736</v>
      </c>
      <c r="Z211" s="81" t="n">
        <v>34</v>
      </c>
      <c r="AA211" s="81" t="s">
        <v>211</v>
      </c>
      <c r="AB211" s="73" t="s">
        <v>47</v>
      </c>
      <c r="AC211" s="83"/>
    </row>
    <row r="212" customFormat="false" ht="15" hidden="false" customHeight="false" outlineLevel="0" collapsed="false">
      <c r="C212" s="76" t="n">
        <v>207</v>
      </c>
      <c r="D212" s="78" t="s">
        <v>715</v>
      </c>
      <c r="E212" s="78" t="s">
        <v>371</v>
      </c>
      <c r="F212" s="78" t="s">
        <v>716</v>
      </c>
      <c r="G212" s="79" t="n">
        <v>34.5</v>
      </c>
      <c r="H212" s="80" t="n">
        <v>22.83</v>
      </c>
      <c r="I212" s="80" t="n">
        <v>1000</v>
      </c>
      <c r="J212" s="80" t="n">
        <v>226</v>
      </c>
      <c r="K212" s="80" t="n">
        <v>1000</v>
      </c>
      <c r="L212" s="81" t="s">
        <v>239</v>
      </c>
      <c r="M212" s="80" t="n">
        <v>0.165497152869032</v>
      </c>
      <c r="N212" s="80" t="n">
        <v>0.394410862899693</v>
      </c>
      <c r="O212" s="80" t="n">
        <v>4.21599649583881</v>
      </c>
      <c r="P212" s="80" t="n">
        <v>0.338821725799387</v>
      </c>
      <c r="Q212" s="80" t="n">
        <v>1.89624178712221</v>
      </c>
      <c r="R212" s="80" t="n">
        <v>1.54682873412177</v>
      </c>
      <c r="S212" s="81" t="s">
        <v>233</v>
      </c>
      <c r="T212" s="81" t="s">
        <v>200</v>
      </c>
      <c r="U212" s="81" t="s">
        <v>201</v>
      </c>
      <c r="V212" s="82"/>
      <c r="W212" s="81" t="s">
        <v>717</v>
      </c>
      <c r="X212" s="81" t="n">
        <v>0</v>
      </c>
      <c r="Y212" s="81" t="n">
        <v>0</v>
      </c>
      <c r="Z212" s="81" t="n">
        <v>0</v>
      </c>
      <c r="AA212" s="81" t="s">
        <v>211</v>
      </c>
      <c r="AB212" s="73" t="s">
        <v>47</v>
      </c>
      <c r="AC212" s="83"/>
    </row>
    <row r="213" customFormat="false" ht="15" hidden="false" customHeight="false" outlineLevel="0" collapsed="false">
      <c r="C213" s="76" t="n">
        <v>208</v>
      </c>
      <c r="D213" s="78" t="s">
        <v>718</v>
      </c>
      <c r="E213" s="78" t="s">
        <v>719</v>
      </c>
      <c r="F213" s="78" t="s">
        <v>521</v>
      </c>
      <c r="G213" s="79" t="n">
        <v>34.5</v>
      </c>
      <c r="H213" s="80" t="n">
        <v>4.4</v>
      </c>
      <c r="I213" s="80" t="n">
        <v>275</v>
      </c>
      <c r="J213" s="80" t="n">
        <v>275</v>
      </c>
      <c r="K213" s="80" t="n">
        <v>275</v>
      </c>
      <c r="L213" s="81" t="s">
        <v>198</v>
      </c>
      <c r="M213" s="80" t="n">
        <v>0.415113636363636</v>
      </c>
      <c r="N213" s="80" t="n">
        <v>0.423704545454545</v>
      </c>
      <c r="O213" s="80" t="n">
        <v>4.09984090909091</v>
      </c>
      <c r="P213" s="80" t="n">
        <v>0.75</v>
      </c>
      <c r="Q213" s="80" t="n">
        <v>1.90195454545455</v>
      </c>
      <c r="R213" s="80" t="n">
        <v>1.67195454545455</v>
      </c>
      <c r="S213" s="81" t="s">
        <v>233</v>
      </c>
      <c r="T213" s="81" t="s">
        <v>200</v>
      </c>
      <c r="U213" s="81" t="s">
        <v>201</v>
      </c>
      <c r="V213" s="82"/>
      <c r="W213" s="81" t="s">
        <v>360</v>
      </c>
      <c r="X213" s="81" t="n">
        <v>0.617457627153056</v>
      </c>
      <c r="Y213" s="81" t="n">
        <v>36.4300000020303</v>
      </c>
      <c r="Z213" s="81" t="n">
        <v>59</v>
      </c>
      <c r="AA213" s="81" t="s">
        <v>211</v>
      </c>
      <c r="AB213" s="73" t="s">
        <v>47</v>
      </c>
      <c r="AC213" s="83"/>
    </row>
    <row r="214" customFormat="false" ht="15" hidden="false" customHeight="false" outlineLevel="0" collapsed="false">
      <c r="C214" s="69" t="n">
        <v>209</v>
      </c>
      <c r="D214" s="78" t="s">
        <v>720</v>
      </c>
      <c r="E214" s="78" t="s">
        <v>371</v>
      </c>
      <c r="F214" s="78" t="s">
        <v>369</v>
      </c>
      <c r="G214" s="79" t="n">
        <v>34.5</v>
      </c>
      <c r="H214" s="80" t="n">
        <v>19</v>
      </c>
      <c r="I214" s="80" t="n">
        <v>458</v>
      </c>
      <c r="J214" s="80" t="n">
        <v>92.516</v>
      </c>
      <c r="K214" s="80" t="n">
        <v>458</v>
      </c>
      <c r="L214" s="81" t="s">
        <v>239</v>
      </c>
      <c r="M214" s="80" t="n">
        <v>0.209610526315789</v>
      </c>
      <c r="N214" s="80" t="n">
        <v>0.378836842105263</v>
      </c>
      <c r="O214" s="80" t="n">
        <v>4.41433157894737</v>
      </c>
      <c r="P214" s="80" t="n">
        <v>0.5445</v>
      </c>
      <c r="Q214" s="80" t="n">
        <v>1.85708947368421</v>
      </c>
      <c r="R214" s="80" t="n">
        <v>1.72190526315789</v>
      </c>
      <c r="S214" s="81" t="s">
        <v>233</v>
      </c>
      <c r="T214" s="81" t="s">
        <v>200</v>
      </c>
      <c r="U214" s="81" t="s">
        <v>201</v>
      </c>
      <c r="V214" s="82"/>
      <c r="W214" s="81" t="s">
        <v>234</v>
      </c>
      <c r="X214" s="81" t="n">
        <v>0</v>
      </c>
      <c r="Y214" s="81" t="n">
        <v>0</v>
      </c>
      <c r="Z214" s="81" t="n">
        <v>0</v>
      </c>
      <c r="AA214" s="81" t="s">
        <v>211</v>
      </c>
      <c r="AB214" s="73" t="s">
        <v>47</v>
      </c>
      <c r="AC214" s="83"/>
    </row>
    <row r="215" customFormat="false" ht="15" hidden="false" customHeight="false" outlineLevel="0" collapsed="false">
      <c r="C215" s="76" t="n">
        <v>210</v>
      </c>
      <c r="D215" s="78" t="s">
        <v>721</v>
      </c>
      <c r="E215" s="78" t="s">
        <v>722</v>
      </c>
      <c r="F215" s="78" t="s">
        <v>529</v>
      </c>
      <c r="G215" s="79" t="n">
        <v>34.5</v>
      </c>
      <c r="H215" s="80" t="n">
        <v>0.3616</v>
      </c>
      <c r="I215" s="80" t="n">
        <v>458</v>
      </c>
      <c r="J215" s="80" t="n">
        <v>458</v>
      </c>
      <c r="K215" s="80" t="n">
        <v>458</v>
      </c>
      <c r="L215" s="81" t="s">
        <v>198</v>
      </c>
      <c r="M215" s="80" t="n">
        <v>0.20962389380531</v>
      </c>
      <c r="N215" s="80" t="n">
        <v>0.378871681415929</v>
      </c>
      <c r="O215" s="80" t="n">
        <v>4.41426991150443</v>
      </c>
      <c r="P215" s="80" t="n">
        <v>0.544524336283186</v>
      </c>
      <c r="Q215" s="80" t="n">
        <v>1.85702433628319</v>
      </c>
      <c r="R215" s="80" t="n">
        <v>1.72179203539823</v>
      </c>
      <c r="S215" s="81" t="s">
        <v>233</v>
      </c>
      <c r="T215" s="81" t="s">
        <v>200</v>
      </c>
      <c r="U215" s="81" t="s">
        <v>201</v>
      </c>
      <c r="V215" s="82"/>
      <c r="W215" s="81" t="s">
        <v>234</v>
      </c>
      <c r="X215" s="81" t="n">
        <v>1.41421052630635</v>
      </c>
      <c r="Y215" s="81" t="n">
        <v>53.7399999996414</v>
      </c>
      <c r="Z215" s="81" t="n">
        <v>38</v>
      </c>
      <c r="AA215" s="81" t="s">
        <v>211</v>
      </c>
      <c r="AB215" s="73" t="s">
        <v>47</v>
      </c>
      <c r="AC215" s="83"/>
    </row>
    <row r="216" customFormat="false" ht="15" hidden="false" customHeight="false" outlineLevel="0" collapsed="false">
      <c r="C216" s="76" t="n">
        <v>211</v>
      </c>
      <c r="D216" s="78" t="s">
        <v>723</v>
      </c>
      <c r="E216" s="78" t="s">
        <v>705</v>
      </c>
      <c r="F216" s="78" t="s">
        <v>724</v>
      </c>
      <c r="G216" s="79" t="n">
        <v>34.5</v>
      </c>
      <c r="H216" s="80" t="n">
        <v>1.8</v>
      </c>
      <c r="I216" s="80" t="n">
        <v>458</v>
      </c>
      <c r="J216" s="80" t="n">
        <v>458</v>
      </c>
      <c r="K216" s="80" t="n">
        <v>458</v>
      </c>
      <c r="L216" s="81" t="s">
        <v>198</v>
      </c>
      <c r="M216" s="80" t="n">
        <v>0.209611111111111</v>
      </c>
      <c r="N216" s="80" t="n">
        <v>0.378833333333333</v>
      </c>
      <c r="O216" s="80" t="n">
        <v>4.41433333333333</v>
      </c>
      <c r="P216" s="80" t="n">
        <v>0.5445</v>
      </c>
      <c r="Q216" s="80" t="n">
        <v>1.85711111111111</v>
      </c>
      <c r="R216" s="80" t="n">
        <v>1.72188888888889</v>
      </c>
      <c r="S216" s="81" t="s">
        <v>233</v>
      </c>
      <c r="T216" s="81" t="s">
        <v>200</v>
      </c>
      <c r="U216" s="81" t="s">
        <v>201</v>
      </c>
      <c r="V216" s="82"/>
      <c r="W216" s="81" t="s">
        <v>234</v>
      </c>
      <c r="X216" s="81" t="n">
        <v>2.63904761903853</v>
      </c>
      <c r="Y216" s="81" t="n">
        <v>36.9466666665394</v>
      </c>
      <c r="Z216" s="81" t="n">
        <v>14</v>
      </c>
      <c r="AA216" s="81" t="s">
        <v>211</v>
      </c>
      <c r="AB216" s="73" t="s">
        <v>47</v>
      </c>
      <c r="AC216" s="83"/>
    </row>
    <row r="217" customFormat="false" ht="15" hidden="false" customHeight="false" outlineLevel="0" collapsed="false">
      <c r="C217" s="69" t="n">
        <v>212</v>
      </c>
      <c r="D217" s="78" t="s">
        <v>725</v>
      </c>
      <c r="E217" s="78" t="s">
        <v>281</v>
      </c>
      <c r="F217" s="78" t="s">
        <v>287</v>
      </c>
      <c r="G217" s="79" t="n">
        <v>34.5</v>
      </c>
      <c r="H217" s="80" t="n">
        <v>19.9</v>
      </c>
      <c r="I217" s="80" t="n">
        <v>458</v>
      </c>
      <c r="J217" s="80" t="n">
        <v>299.99</v>
      </c>
      <c r="K217" s="80" t="n">
        <v>458</v>
      </c>
      <c r="L217" s="81" t="s">
        <v>239</v>
      </c>
      <c r="M217" s="80" t="n">
        <v>0.209608040201005</v>
      </c>
      <c r="N217" s="80" t="n">
        <v>0.3788391959799</v>
      </c>
      <c r="O217" s="80" t="n">
        <v>4.41433165829146</v>
      </c>
      <c r="P217" s="80" t="n">
        <v>0.544497487437186</v>
      </c>
      <c r="Q217" s="80" t="n">
        <v>1.85709045226131</v>
      </c>
      <c r="R217" s="80" t="n">
        <v>1.72190452261307</v>
      </c>
      <c r="S217" s="81" t="s">
        <v>233</v>
      </c>
      <c r="T217" s="81" t="s">
        <v>200</v>
      </c>
      <c r="U217" s="81" t="s">
        <v>201</v>
      </c>
      <c r="V217" s="82"/>
      <c r="W217" s="81" t="s">
        <v>234</v>
      </c>
      <c r="X217" s="81" t="n">
        <v>1.12067796611839</v>
      </c>
      <c r="Y217" s="81" t="n">
        <v>66.1200000009849</v>
      </c>
      <c r="Z217" s="81" t="n">
        <v>59</v>
      </c>
      <c r="AA217" s="81" t="s">
        <v>211</v>
      </c>
      <c r="AB217" s="73" t="s">
        <v>47</v>
      </c>
      <c r="AC217" s="83"/>
    </row>
    <row r="218" customFormat="false" ht="15" hidden="false" customHeight="false" outlineLevel="0" collapsed="false">
      <c r="C218" s="76" t="n">
        <v>213</v>
      </c>
      <c r="D218" s="78" t="s">
        <v>726</v>
      </c>
      <c r="E218" s="78" t="s">
        <v>727</v>
      </c>
      <c r="F218" s="78" t="s">
        <v>728</v>
      </c>
      <c r="G218" s="79" t="n">
        <v>34.5</v>
      </c>
      <c r="H218" s="80" t="n">
        <v>1.004</v>
      </c>
      <c r="I218" s="80" t="n">
        <v>458</v>
      </c>
      <c r="J218" s="80" t="n">
        <v>449.756</v>
      </c>
      <c r="K218" s="80" t="n">
        <v>458</v>
      </c>
      <c r="L218" s="81" t="s">
        <v>239</v>
      </c>
      <c r="M218" s="80" t="n">
        <v>0.209561752988048</v>
      </c>
      <c r="N218" s="80" t="n">
        <v>0.378884462151394</v>
      </c>
      <c r="O218" s="80" t="n">
        <v>4.41434262948207</v>
      </c>
      <c r="P218" s="80" t="n">
        <v>0.544521912350598</v>
      </c>
      <c r="Q218" s="80" t="n">
        <v>1.85707171314741</v>
      </c>
      <c r="R218" s="80" t="n">
        <v>1.72191235059761</v>
      </c>
      <c r="S218" s="81" t="s">
        <v>233</v>
      </c>
      <c r="T218" s="81" t="s">
        <v>200</v>
      </c>
      <c r="U218" s="81" t="s">
        <v>201</v>
      </c>
      <c r="V218" s="82"/>
      <c r="W218" s="81" t="s">
        <v>234</v>
      </c>
      <c r="X218" s="81" t="n">
        <v>1.41421052630635</v>
      </c>
      <c r="Y218" s="81" t="n">
        <v>53.7399999996414</v>
      </c>
      <c r="Z218" s="81" t="n">
        <v>38</v>
      </c>
      <c r="AA218" s="81" t="s">
        <v>211</v>
      </c>
      <c r="AB218" s="73" t="s">
        <v>47</v>
      </c>
      <c r="AC218" s="83"/>
    </row>
    <row r="219" customFormat="false" ht="15" hidden="false" customHeight="false" outlineLevel="0" collapsed="false">
      <c r="C219" s="76" t="n">
        <v>214</v>
      </c>
      <c r="D219" s="78" t="s">
        <v>729</v>
      </c>
      <c r="E219" s="78" t="s">
        <v>727</v>
      </c>
      <c r="F219" s="78" t="s">
        <v>363</v>
      </c>
      <c r="G219" s="79" t="n">
        <v>34.5</v>
      </c>
      <c r="H219" s="80" t="n">
        <v>0.2354</v>
      </c>
      <c r="I219" s="80" t="n">
        <v>355</v>
      </c>
      <c r="J219" s="80" t="n">
        <v>170.4</v>
      </c>
      <c r="K219" s="80" t="n">
        <v>355</v>
      </c>
      <c r="L219" s="81" t="s">
        <v>239</v>
      </c>
      <c r="M219" s="80" t="n">
        <v>0.261682242990654</v>
      </c>
      <c r="N219" s="80" t="n">
        <v>0.406117247238743</v>
      </c>
      <c r="O219" s="80" t="n">
        <v>4.29609175870858</v>
      </c>
      <c r="P219" s="80" t="n">
        <v>0.5964316057774</v>
      </c>
      <c r="Q219" s="80" t="n">
        <v>1.88445199660153</v>
      </c>
      <c r="R219" s="80" t="n">
        <v>1.7034834324554</v>
      </c>
      <c r="S219" s="81" t="s">
        <v>233</v>
      </c>
      <c r="T219" s="81" t="s">
        <v>200</v>
      </c>
      <c r="U219" s="81" t="s">
        <v>201</v>
      </c>
      <c r="V219" s="82"/>
      <c r="W219" s="81" t="s">
        <v>301</v>
      </c>
      <c r="X219" s="81" t="n">
        <v>1.60313131315739</v>
      </c>
      <c r="Y219" s="81" t="n">
        <v>17.6344444447313</v>
      </c>
      <c r="Z219" s="81" t="n">
        <v>11</v>
      </c>
      <c r="AA219" s="81" t="s">
        <v>211</v>
      </c>
      <c r="AB219" s="73" t="s">
        <v>47</v>
      </c>
      <c r="AC219" s="83"/>
    </row>
    <row r="220" customFormat="false" ht="15" hidden="false" customHeight="false" outlineLevel="0" collapsed="false">
      <c r="C220" s="69" t="n">
        <v>215</v>
      </c>
      <c r="D220" s="78" t="s">
        <v>730</v>
      </c>
      <c r="E220" s="78" t="s">
        <v>731</v>
      </c>
      <c r="F220" s="78" t="s">
        <v>732</v>
      </c>
      <c r="G220" s="79" t="n">
        <v>34.5</v>
      </c>
      <c r="H220" s="80" t="n">
        <v>15.2003</v>
      </c>
      <c r="I220" s="80" t="n">
        <v>355</v>
      </c>
      <c r="J220" s="80" t="n">
        <v>355</v>
      </c>
      <c r="K220" s="80" t="n">
        <v>355</v>
      </c>
      <c r="L220" s="81" t="s">
        <v>198</v>
      </c>
      <c r="M220" s="80" t="n">
        <v>0.261619836450596</v>
      </c>
      <c r="N220" s="80" t="n">
        <v>0.406051196357967</v>
      </c>
      <c r="O220" s="80" t="n">
        <v>4.29609284027289</v>
      </c>
      <c r="P220" s="80" t="n">
        <v>0.596514542476135</v>
      </c>
      <c r="Q220" s="80" t="n">
        <v>1.88429833621705</v>
      </c>
      <c r="R220" s="80" t="n">
        <v>1.70364400702618</v>
      </c>
      <c r="S220" s="81" t="s">
        <v>233</v>
      </c>
      <c r="T220" s="81" t="s">
        <v>200</v>
      </c>
      <c r="U220" s="81" t="s">
        <v>201</v>
      </c>
      <c r="V220" s="82"/>
      <c r="W220" s="81" t="s">
        <v>301</v>
      </c>
      <c r="X220" s="81" t="n">
        <v>0</v>
      </c>
      <c r="Y220" s="81" t="n">
        <v>0</v>
      </c>
      <c r="Z220" s="81" t="n">
        <v>0</v>
      </c>
      <c r="AA220" s="81" t="s">
        <v>211</v>
      </c>
      <c r="AB220" s="73" t="s">
        <v>47</v>
      </c>
      <c r="AC220" s="83"/>
    </row>
    <row r="221" customFormat="false" ht="15" hidden="false" customHeight="false" outlineLevel="0" collapsed="false">
      <c r="C221" s="76" t="n">
        <v>216</v>
      </c>
      <c r="D221" s="78" t="s">
        <v>733</v>
      </c>
      <c r="E221" s="78" t="s">
        <v>710</v>
      </c>
      <c r="F221" s="78" t="s">
        <v>674</v>
      </c>
      <c r="G221" s="79" t="n">
        <v>34.5</v>
      </c>
      <c r="H221" s="80" t="n">
        <v>4.6</v>
      </c>
      <c r="I221" s="80" t="n">
        <v>355</v>
      </c>
      <c r="J221" s="80" t="n">
        <v>299.975</v>
      </c>
      <c r="K221" s="80" t="n">
        <v>355</v>
      </c>
      <c r="L221" s="81" t="s">
        <v>239</v>
      </c>
      <c r="M221" s="80" t="n">
        <v>0.261630434782609</v>
      </c>
      <c r="N221" s="80" t="n">
        <v>0.40604347826087</v>
      </c>
      <c r="O221" s="80" t="n">
        <v>4.29608695652174</v>
      </c>
      <c r="P221" s="80" t="n">
        <v>0.596521739130435</v>
      </c>
      <c r="Q221" s="80" t="n">
        <v>1.88430434782609</v>
      </c>
      <c r="R221" s="80" t="n">
        <v>1.70365217391304</v>
      </c>
      <c r="S221" s="81" t="s">
        <v>233</v>
      </c>
      <c r="T221" s="81" t="s">
        <v>200</v>
      </c>
      <c r="U221" s="81" t="s">
        <v>201</v>
      </c>
      <c r="V221" s="82"/>
      <c r="W221" s="81" t="s">
        <v>301</v>
      </c>
      <c r="X221" s="81" t="n">
        <v>0.92250645993383</v>
      </c>
      <c r="Y221" s="81" t="n">
        <v>79.3355555543094</v>
      </c>
      <c r="Z221" s="81" t="n">
        <v>86</v>
      </c>
      <c r="AA221" s="81" t="s">
        <v>211</v>
      </c>
      <c r="AB221" s="73" t="s">
        <v>47</v>
      </c>
      <c r="AC221" s="83"/>
    </row>
    <row r="222" customFormat="false" ht="15" hidden="false" customHeight="false" outlineLevel="0" collapsed="false">
      <c r="C222" s="76" t="n">
        <v>217</v>
      </c>
      <c r="D222" s="78" t="s">
        <v>734</v>
      </c>
      <c r="E222" s="78" t="n">
        <v>7397526</v>
      </c>
      <c r="F222" s="78" t="s">
        <v>735</v>
      </c>
      <c r="G222" s="79" t="n">
        <v>34.5</v>
      </c>
      <c r="H222" s="80" t="n">
        <v>0.505</v>
      </c>
      <c r="I222" s="80" t="n">
        <v>458</v>
      </c>
      <c r="J222" s="80" t="n">
        <v>150.682</v>
      </c>
      <c r="K222" s="80" t="n">
        <v>458</v>
      </c>
      <c r="L222" s="81" t="s">
        <v>239</v>
      </c>
      <c r="M222" s="80" t="n">
        <v>0.20970297029703</v>
      </c>
      <c r="N222" s="80" t="n">
        <v>0.378811881188119</v>
      </c>
      <c r="O222" s="80" t="n">
        <v>4.41425742574258</v>
      </c>
      <c r="P222" s="80" t="n">
        <v>0.544554455445545</v>
      </c>
      <c r="Q222" s="80" t="n">
        <v>1.8570297029703</v>
      </c>
      <c r="R222" s="80" t="n">
        <v>1.7219801980198</v>
      </c>
      <c r="S222" s="81" t="s">
        <v>233</v>
      </c>
      <c r="T222" s="81" t="s">
        <v>200</v>
      </c>
      <c r="U222" s="81" t="s">
        <v>201</v>
      </c>
      <c r="V222" s="82"/>
      <c r="W222" s="81" t="s">
        <v>234</v>
      </c>
      <c r="X222" s="81" t="n">
        <v>0.190763888957736</v>
      </c>
      <c r="Y222" s="81" t="n">
        <v>7.63055555830943</v>
      </c>
      <c r="Z222" s="81" t="n">
        <v>40</v>
      </c>
      <c r="AA222" s="81" t="s">
        <v>211</v>
      </c>
      <c r="AB222" s="73" t="s">
        <v>47</v>
      </c>
      <c r="AC222" s="83"/>
    </row>
    <row r="223" customFormat="false" ht="15" hidden="false" customHeight="false" outlineLevel="0" collapsed="false">
      <c r="C223" s="69" t="n">
        <v>218</v>
      </c>
      <c r="D223" s="78" t="s">
        <v>736</v>
      </c>
      <c r="E223" s="78" t="s">
        <v>689</v>
      </c>
      <c r="F223" s="78" t="s">
        <v>737</v>
      </c>
      <c r="G223" s="79" t="n">
        <v>34.5</v>
      </c>
      <c r="H223" s="80" t="n">
        <v>9.74</v>
      </c>
      <c r="I223" s="80" t="n">
        <v>458</v>
      </c>
      <c r="J223" s="80" t="n">
        <v>458</v>
      </c>
      <c r="K223" s="80" t="n">
        <v>458</v>
      </c>
      <c r="L223" s="81" t="s">
        <v>198</v>
      </c>
      <c r="M223" s="80" t="n">
        <v>0.209609856262834</v>
      </c>
      <c r="N223" s="80" t="n">
        <v>0.378839835728953</v>
      </c>
      <c r="O223" s="80" t="n">
        <v>4.41433264887064</v>
      </c>
      <c r="P223" s="80" t="n">
        <v>0.544496919917864</v>
      </c>
      <c r="Q223" s="80" t="n">
        <v>1.8570841889117</v>
      </c>
      <c r="R223" s="80" t="n">
        <v>1.72189938398357</v>
      </c>
      <c r="S223" s="81" t="s">
        <v>233</v>
      </c>
      <c r="T223" s="81" t="s">
        <v>200</v>
      </c>
      <c r="U223" s="81" t="s">
        <v>201</v>
      </c>
      <c r="V223" s="82"/>
      <c r="W223" s="81" t="s">
        <v>234</v>
      </c>
      <c r="X223" s="81" t="n">
        <v>0</v>
      </c>
      <c r="Y223" s="81" t="n">
        <v>0</v>
      </c>
      <c r="Z223" s="81" t="n">
        <v>0</v>
      </c>
      <c r="AA223" s="81" t="s">
        <v>211</v>
      </c>
      <c r="AB223" s="73" t="s">
        <v>47</v>
      </c>
      <c r="AC223" s="83"/>
    </row>
    <row r="224" customFormat="false" ht="15" hidden="false" customHeight="false" outlineLevel="0" collapsed="false">
      <c r="C224" s="76" t="n">
        <v>219</v>
      </c>
      <c r="D224" s="78" t="s">
        <v>738</v>
      </c>
      <c r="E224" s="78" t="s">
        <v>697</v>
      </c>
      <c r="F224" s="78" t="s">
        <v>384</v>
      </c>
      <c r="G224" s="79" t="n">
        <v>34.5</v>
      </c>
      <c r="H224" s="80" t="n">
        <v>6.4</v>
      </c>
      <c r="I224" s="80" t="n">
        <v>458</v>
      </c>
      <c r="J224" s="80" t="n">
        <v>399.834</v>
      </c>
      <c r="K224" s="80" t="n">
        <v>458</v>
      </c>
      <c r="L224" s="81" t="s">
        <v>239</v>
      </c>
      <c r="M224" s="80" t="n">
        <v>0.209609375</v>
      </c>
      <c r="N224" s="80" t="n">
        <v>0.37884375</v>
      </c>
      <c r="O224" s="80" t="n">
        <v>4.414328125</v>
      </c>
      <c r="P224" s="80" t="n">
        <v>0.5445</v>
      </c>
      <c r="Q224" s="80" t="n">
        <v>1.85709375</v>
      </c>
      <c r="R224" s="80" t="n">
        <v>1.72190625</v>
      </c>
      <c r="S224" s="81" t="s">
        <v>233</v>
      </c>
      <c r="T224" s="81" t="s">
        <v>200</v>
      </c>
      <c r="U224" s="81" t="s">
        <v>201</v>
      </c>
      <c r="V224" s="82"/>
      <c r="W224" s="81" t="s">
        <v>234</v>
      </c>
      <c r="X224" s="81" t="n">
        <v>0.786503567782214</v>
      </c>
      <c r="Y224" s="81" t="n">
        <v>85.7288888882613</v>
      </c>
      <c r="Z224" s="81" t="n">
        <v>109</v>
      </c>
      <c r="AA224" s="81" t="s">
        <v>211</v>
      </c>
      <c r="AB224" s="73" t="s">
        <v>47</v>
      </c>
      <c r="AC224" s="83"/>
    </row>
    <row r="225" customFormat="false" ht="15" hidden="false" customHeight="false" outlineLevel="0" collapsed="false">
      <c r="C225" s="76" t="n">
        <v>220</v>
      </c>
      <c r="D225" s="78" t="s">
        <v>739</v>
      </c>
      <c r="E225" s="78" t="s">
        <v>684</v>
      </c>
      <c r="F225" s="78" t="s">
        <v>703</v>
      </c>
      <c r="G225" s="79" t="n">
        <v>34.5</v>
      </c>
      <c r="H225" s="80" t="n">
        <v>3.67</v>
      </c>
      <c r="I225" s="80" t="n">
        <v>458</v>
      </c>
      <c r="J225" s="80" t="n">
        <v>458</v>
      </c>
      <c r="K225" s="80" t="n">
        <v>458</v>
      </c>
      <c r="L225" s="81" t="s">
        <v>198</v>
      </c>
      <c r="M225" s="80" t="n">
        <v>0.209618528610354</v>
      </c>
      <c r="N225" s="80" t="n">
        <v>0.378828337874659</v>
      </c>
      <c r="O225" s="80" t="n">
        <v>4.41433242506812</v>
      </c>
      <c r="P225" s="80" t="n">
        <v>0.54449591280654</v>
      </c>
      <c r="Q225" s="80" t="n">
        <v>1.85708446866485</v>
      </c>
      <c r="R225" s="80" t="n">
        <v>1.72190735694823</v>
      </c>
      <c r="S225" s="81" t="s">
        <v>233</v>
      </c>
      <c r="T225" s="81" t="s">
        <v>200</v>
      </c>
      <c r="U225" s="81" t="s">
        <v>201</v>
      </c>
      <c r="V225" s="82"/>
      <c r="W225" s="81" t="s">
        <v>234</v>
      </c>
      <c r="X225" s="81" t="n">
        <v>0.590151851826813</v>
      </c>
      <c r="Y225" s="81" t="n">
        <v>44.261388887011</v>
      </c>
      <c r="Z225" s="81" t="n">
        <v>75</v>
      </c>
      <c r="AA225" s="81" t="s">
        <v>211</v>
      </c>
      <c r="AB225" s="73" t="s">
        <v>47</v>
      </c>
      <c r="AC225" s="83"/>
    </row>
    <row r="226" customFormat="false" ht="15" hidden="false" customHeight="false" outlineLevel="0" collapsed="false">
      <c r="C226" s="69" t="n">
        <v>221</v>
      </c>
      <c r="D226" s="78" t="s">
        <v>740</v>
      </c>
      <c r="E226" s="78" t="s">
        <v>668</v>
      </c>
      <c r="F226" s="78" t="s">
        <v>741</v>
      </c>
      <c r="G226" s="79" t="n">
        <v>34.5</v>
      </c>
      <c r="H226" s="80" t="n">
        <v>0.2447</v>
      </c>
      <c r="I226" s="80" t="n">
        <v>275</v>
      </c>
      <c r="J226" s="80" t="n">
        <v>275</v>
      </c>
      <c r="K226" s="80" t="n">
        <v>275</v>
      </c>
      <c r="L226" s="81" t="s">
        <v>198</v>
      </c>
      <c r="M226" s="80" t="n">
        <v>0.415202288516551</v>
      </c>
      <c r="N226" s="80" t="n">
        <v>0.423784225582346</v>
      </c>
      <c r="O226" s="80" t="n">
        <v>4.09971393543114</v>
      </c>
      <c r="P226" s="80" t="n">
        <v>0.74989783408255</v>
      </c>
      <c r="Q226" s="80" t="n">
        <v>1.90192071924806</v>
      </c>
      <c r="R226" s="80" t="n">
        <v>1.6718430731508</v>
      </c>
      <c r="S226" s="81" t="s">
        <v>233</v>
      </c>
      <c r="T226" s="81" t="s">
        <v>200</v>
      </c>
      <c r="U226" s="81" t="s">
        <v>201</v>
      </c>
      <c r="V226" s="82"/>
      <c r="W226" s="81" t="s">
        <v>360</v>
      </c>
      <c r="X226" s="81" t="n">
        <v>0.617457627153056</v>
      </c>
      <c r="Y226" s="81" t="n">
        <v>36.4300000020303</v>
      </c>
      <c r="Z226" s="81" t="n">
        <v>59</v>
      </c>
      <c r="AA226" s="81" t="s">
        <v>211</v>
      </c>
      <c r="AB226" s="73" t="s">
        <v>47</v>
      </c>
      <c r="AC226" s="83"/>
    </row>
    <row r="227" customFormat="false" ht="15" hidden="false" customHeight="false" outlineLevel="0" collapsed="false">
      <c r="C227" s="76" t="n">
        <v>222</v>
      </c>
      <c r="D227" s="78" t="s">
        <v>742</v>
      </c>
      <c r="E227" s="78" t="s">
        <v>511</v>
      </c>
      <c r="F227" s="78" t="s">
        <v>743</v>
      </c>
      <c r="G227" s="79" t="n">
        <v>34.5</v>
      </c>
      <c r="H227" s="80" t="n">
        <v>5</v>
      </c>
      <c r="I227" s="80" t="n">
        <v>275</v>
      </c>
      <c r="J227" s="80" t="n">
        <v>275</v>
      </c>
      <c r="K227" s="80" t="n">
        <v>275</v>
      </c>
      <c r="L227" s="81" t="s">
        <v>198</v>
      </c>
      <c r="M227" s="80" t="n">
        <v>0.41512</v>
      </c>
      <c r="N227" s="80" t="n">
        <v>0.4237</v>
      </c>
      <c r="O227" s="80" t="n">
        <v>4.09984</v>
      </c>
      <c r="P227" s="80" t="n">
        <v>0.75</v>
      </c>
      <c r="Q227" s="80" t="n">
        <v>1.90196</v>
      </c>
      <c r="R227" s="80" t="n">
        <v>1.67196</v>
      </c>
      <c r="S227" s="81" t="s">
        <v>233</v>
      </c>
      <c r="T227" s="81" t="s">
        <v>200</v>
      </c>
      <c r="U227" s="81" t="s">
        <v>201</v>
      </c>
      <c r="V227" s="82"/>
      <c r="W227" s="81" t="s">
        <v>360</v>
      </c>
      <c r="X227" s="81" t="n">
        <v>0.617457627153056</v>
      </c>
      <c r="Y227" s="81" t="n">
        <v>36.4300000020303</v>
      </c>
      <c r="Z227" s="81" t="n">
        <v>59</v>
      </c>
      <c r="AA227" s="81" t="s">
        <v>211</v>
      </c>
      <c r="AB227" s="73" t="s">
        <v>47</v>
      </c>
      <c r="AC227" s="83"/>
    </row>
    <row r="228" customFormat="false" ht="15" hidden="false" customHeight="false" outlineLevel="0" collapsed="false">
      <c r="C228" s="76" t="n">
        <v>223</v>
      </c>
      <c r="D228" s="78" t="s">
        <v>744</v>
      </c>
      <c r="E228" s="78" t="s">
        <v>508</v>
      </c>
      <c r="F228" s="78" t="s">
        <v>707</v>
      </c>
      <c r="G228" s="79" t="n">
        <v>34.5</v>
      </c>
      <c r="H228" s="80" t="n">
        <v>11.94</v>
      </c>
      <c r="I228" s="80" t="n">
        <v>275</v>
      </c>
      <c r="J228" s="80" t="n">
        <v>275</v>
      </c>
      <c r="K228" s="80" t="n">
        <v>275</v>
      </c>
      <c r="L228" s="81" t="s">
        <v>198</v>
      </c>
      <c r="M228" s="80" t="n">
        <v>0.415108877721943</v>
      </c>
      <c r="N228" s="80" t="n">
        <v>0.423710217755444</v>
      </c>
      <c r="O228" s="80" t="n">
        <v>4.0998324958124</v>
      </c>
      <c r="P228" s="80" t="n">
        <v>0.75</v>
      </c>
      <c r="Q228" s="80" t="n">
        <v>1.90195979899497</v>
      </c>
      <c r="R228" s="80" t="n">
        <v>1.67195142378559</v>
      </c>
      <c r="S228" s="81" t="s">
        <v>233</v>
      </c>
      <c r="T228" s="81" t="s">
        <v>200</v>
      </c>
      <c r="U228" s="81" t="s">
        <v>201</v>
      </c>
      <c r="V228" s="82"/>
      <c r="W228" s="81" t="s">
        <v>360</v>
      </c>
      <c r="X228" s="81" t="n">
        <v>3.53972222217999</v>
      </c>
      <c r="Y228" s="81" t="n">
        <v>14.15888888872</v>
      </c>
      <c r="Z228" s="81" t="n">
        <v>4</v>
      </c>
      <c r="AA228" s="81" t="s">
        <v>211</v>
      </c>
      <c r="AB228" s="73" t="s">
        <v>47</v>
      </c>
      <c r="AC228" s="83"/>
    </row>
    <row r="229" customFormat="false" ht="15" hidden="false" customHeight="false" outlineLevel="0" collapsed="false">
      <c r="C229" s="69" t="n">
        <v>224</v>
      </c>
      <c r="D229" s="78" t="s">
        <v>745</v>
      </c>
      <c r="E229" s="78" t="s">
        <v>724</v>
      </c>
      <c r="F229" s="78" t="s">
        <v>732</v>
      </c>
      <c r="G229" s="79" t="n">
        <v>34.5</v>
      </c>
      <c r="H229" s="80" t="n">
        <v>4.8</v>
      </c>
      <c r="I229" s="80" t="n">
        <v>458</v>
      </c>
      <c r="J229" s="80" t="n">
        <v>458</v>
      </c>
      <c r="K229" s="80" t="n">
        <v>458</v>
      </c>
      <c r="L229" s="81" t="s">
        <v>198</v>
      </c>
      <c r="M229" s="80" t="n">
        <v>0.209604166666667</v>
      </c>
      <c r="N229" s="80" t="n">
        <v>0.378833333333333</v>
      </c>
      <c r="O229" s="80" t="n">
        <v>4.41433333333333</v>
      </c>
      <c r="P229" s="80" t="n">
        <v>0.5445</v>
      </c>
      <c r="Q229" s="80" t="n">
        <v>1.85708333333333</v>
      </c>
      <c r="R229" s="80" t="n">
        <v>1.72189583333333</v>
      </c>
      <c r="S229" s="81" t="s">
        <v>233</v>
      </c>
      <c r="T229" s="81" t="s">
        <v>200</v>
      </c>
      <c r="U229" s="81" t="s">
        <v>201</v>
      </c>
      <c r="V229" s="82"/>
      <c r="W229" s="81" t="s">
        <v>234</v>
      </c>
      <c r="X229" s="81" t="n">
        <v>2.63904761903853</v>
      </c>
      <c r="Y229" s="81" t="n">
        <v>36.9466666665394</v>
      </c>
      <c r="Z229" s="81" t="n">
        <v>14</v>
      </c>
      <c r="AA229" s="81" t="s">
        <v>211</v>
      </c>
      <c r="AB229" s="73" t="s">
        <v>47</v>
      </c>
      <c r="AC229" s="83"/>
    </row>
    <row r="230" customFormat="false" ht="15" hidden="false" customHeight="false" outlineLevel="0" collapsed="false">
      <c r="C230" s="76" t="n">
        <v>225</v>
      </c>
      <c r="D230" s="78" t="s">
        <v>746</v>
      </c>
      <c r="E230" s="78" t="s">
        <v>696</v>
      </c>
      <c r="F230" s="78" t="s">
        <v>747</v>
      </c>
      <c r="G230" s="79" t="n">
        <v>34.5</v>
      </c>
      <c r="H230" s="80" t="n">
        <v>3.8051</v>
      </c>
      <c r="I230" s="80" t="n">
        <v>458</v>
      </c>
      <c r="J230" s="80" t="n">
        <v>458</v>
      </c>
      <c r="K230" s="80" t="n">
        <v>458</v>
      </c>
      <c r="L230" s="81" t="s">
        <v>198</v>
      </c>
      <c r="M230" s="80" t="n">
        <v>0.209613413576516</v>
      </c>
      <c r="N230" s="80" t="n">
        <v>0.378833670599984</v>
      </c>
      <c r="O230" s="80" t="n">
        <v>4.41433865075819</v>
      </c>
      <c r="P230" s="80" t="n">
        <v>0.544506057659457</v>
      </c>
      <c r="Q230" s="80" t="n">
        <v>1.8570865417466</v>
      </c>
      <c r="R230" s="80" t="n">
        <v>1.72189955585924</v>
      </c>
      <c r="S230" s="81" t="s">
        <v>233</v>
      </c>
      <c r="T230" s="81" t="s">
        <v>200</v>
      </c>
      <c r="U230" s="81" t="s">
        <v>201</v>
      </c>
      <c r="V230" s="82"/>
      <c r="W230" s="81" t="s">
        <v>234</v>
      </c>
      <c r="X230" s="81" t="n">
        <v>0.786503567782214</v>
      </c>
      <c r="Y230" s="81" t="n">
        <v>85.7288888882613</v>
      </c>
      <c r="Z230" s="81" t="n">
        <v>109</v>
      </c>
      <c r="AA230" s="81" t="s">
        <v>211</v>
      </c>
      <c r="AB230" s="73" t="s">
        <v>47</v>
      </c>
      <c r="AC230" s="83"/>
    </row>
    <row r="231" customFormat="false" ht="15" hidden="false" customHeight="false" outlineLevel="0" collapsed="false">
      <c r="C231" s="76" t="n">
        <v>226</v>
      </c>
      <c r="D231" s="78" t="s">
        <v>748</v>
      </c>
      <c r="E231" s="78" t="s">
        <v>749</v>
      </c>
      <c r="F231" s="78" t="s">
        <v>259</v>
      </c>
      <c r="G231" s="79" t="n">
        <v>34.5</v>
      </c>
      <c r="H231" s="80" t="n">
        <v>20</v>
      </c>
      <c r="I231" s="80" t="n">
        <v>458</v>
      </c>
      <c r="J231" s="80" t="n">
        <v>458</v>
      </c>
      <c r="K231" s="80" t="n">
        <v>458</v>
      </c>
      <c r="L231" s="81" t="s">
        <v>198</v>
      </c>
      <c r="M231" s="80" t="n">
        <v>0.20961</v>
      </c>
      <c r="N231" s="80" t="n">
        <v>0.37884</v>
      </c>
      <c r="O231" s="80" t="n">
        <v>4.414335</v>
      </c>
      <c r="P231" s="80" t="n">
        <v>0.5445</v>
      </c>
      <c r="Q231" s="80" t="n">
        <v>1.85709</v>
      </c>
      <c r="R231" s="80" t="n">
        <v>1.721905</v>
      </c>
      <c r="S231" s="81" t="s">
        <v>233</v>
      </c>
      <c r="T231" s="81" t="s">
        <v>200</v>
      </c>
      <c r="U231" s="81" t="s">
        <v>201</v>
      </c>
      <c r="V231" s="82"/>
      <c r="W231" s="81" t="s">
        <v>234</v>
      </c>
      <c r="X231" s="81" t="n">
        <v>0.590151851826813</v>
      </c>
      <c r="Y231" s="81" t="n">
        <v>44.261388887011</v>
      </c>
      <c r="Z231" s="81" t="n">
        <v>75</v>
      </c>
      <c r="AA231" s="81" t="s">
        <v>211</v>
      </c>
      <c r="AB231" s="73" t="s">
        <v>47</v>
      </c>
      <c r="AC231" s="83"/>
    </row>
    <row r="232" customFormat="false" ht="15" hidden="false" customHeight="false" outlineLevel="0" collapsed="false">
      <c r="C232" s="69" t="n">
        <v>227</v>
      </c>
      <c r="D232" s="78" t="s">
        <v>750</v>
      </c>
      <c r="E232" s="78" t="s">
        <v>530</v>
      </c>
      <c r="F232" s="78" t="s">
        <v>699</v>
      </c>
      <c r="G232" s="79" t="n">
        <v>34.5</v>
      </c>
      <c r="H232" s="80" t="n">
        <v>1.1968</v>
      </c>
      <c r="I232" s="80" t="n">
        <v>355</v>
      </c>
      <c r="J232" s="80" t="n">
        <v>355</v>
      </c>
      <c r="K232" s="80" t="n">
        <v>355</v>
      </c>
      <c r="L232" s="81" t="s">
        <v>198</v>
      </c>
      <c r="M232" s="80" t="n">
        <v>0.261614304812834</v>
      </c>
      <c r="N232" s="80" t="n">
        <v>0.406082887700535</v>
      </c>
      <c r="O232" s="80" t="n">
        <v>4.29629010695187</v>
      </c>
      <c r="P232" s="80" t="n">
        <v>0.596507352941176</v>
      </c>
      <c r="Q232" s="80" t="n">
        <v>1.88435828877005</v>
      </c>
      <c r="R232" s="80" t="n">
        <v>1.70370989304813</v>
      </c>
      <c r="S232" s="81" t="s">
        <v>233</v>
      </c>
      <c r="T232" s="81" t="s">
        <v>200</v>
      </c>
      <c r="U232" s="81" t="s">
        <v>201</v>
      </c>
      <c r="V232" s="82"/>
      <c r="W232" s="81" t="s">
        <v>301</v>
      </c>
      <c r="X232" s="81" t="n">
        <v>1.41421052630635</v>
      </c>
      <c r="Y232" s="81" t="n">
        <v>53.7399999996414</v>
      </c>
      <c r="Z232" s="81" t="n">
        <v>38</v>
      </c>
      <c r="AA232" s="81" t="s">
        <v>211</v>
      </c>
      <c r="AB232" s="73" t="s">
        <v>47</v>
      </c>
      <c r="AC232" s="83"/>
    </row>
    <row r="233" customFormat="false" ht="15" hidden="false" customHeight="false" outlineLevel="0" collapsed="false">
      <c r="C233" s="76" t="n">
        <v>228</v>
      </c>
      <c r="D233" s="78" t="s">
        <v>751</v>
      </c>
      <c r="E233" s="78" t="s">
        <v>703</v>
      </c>
      <c r="F233" s="78" t="s">
        <v>664</v>
      </c>
      <c r="G233" s="79" t="n">
        <v>34.5</v>
      </c>
      <c r="H233" s="80" t="n">
        <v>1.48</v>
      </c>
      <c r="I233" s="80" t="n">
        <v>458</v>
      </c>
      <c r="J233" s="80" t="n">
        <v>458</v>
      </c>
      <c r="K233" s="80" t="n">
        <v>458</v>
      </c>
      <c r="L233" s="81" t="s">
        <v>198</v>
      </c>
      <c r="M233" s="80" t="n">
        <v>0.209594594594595</v>
      </c>
      <c r="N233" s="80" t="n">
        <v>0.378851351351351</v>
      </c>
      <c r="O233" s="80" t="n">
        <v>4.41432432432432</v>
      </c>
      <c r="P233" s="80" t="n">
        <v>0.544527027027027</v>
      </c>
      <c r="Q233" s="80" t="n">
        <v>1.85709459459459</v>
      </c>
      <c r="R233" s="80" t="n">
        <v>1.72189189189189</v>
      </c>
      <c r="S233" s="81" t="s">
        <v>233</v>
      </c>
      <c r="T233" s="81" t="s">
        <v>200</v>
      </c>
      <c r="U233" s="81" t="s">
        <v>201</v>
      </c>
      <c r="V233" s="82"/>
      <c r="W233" s="81" t="s">
        <v>234</v>
      </c>
      <c r="X233" s="81" t="n">
        <v>0.590151851826813</v>
      </c>
      <c r="Y233" s="81" t="n">
        <v>44.261388887011</v>
      </c>
      <c r="Z233" s="81" t="n">
        <v>75</v>
      </c>
      <c r="AA233" s="81" t="s">
        <v>211</v>
      </c>
      <c r="AB233" s="73" t="s">
        <v>47</v>
      </c>
      <c r="AC233" s="83"/>
    </row>
    <row r="234" customFormat="false" ht="15" hidden="false" customHeight="false" outlineLevel="0" collapsed="false">
      <c r="C234" s="76" t="n">
        <v>229</v>
      </c>
      <c r="D234" s="78" t="s">
        <v>752</v>
      </c>
      <c r="E234" s="78" t="s">
        <v>727</v>
      </c>
      <c r="F234" s="78" t="s">
        <v>753</v>
      </c>
      <c r="G234" s="79" t="n">
        <v>34.5</v>
      </c>
      <c r="H234" s="80" t="n">
        <v>10.6</v>
      </c>
      <c r="I234" s="80" t="n">
        <v>661</v>
      </c>
      <c r="J234" s="80" t="n">
        <v>661</v>
      </c>
      <c r="K234" s="80" t="n">
        <v>661</v>
      </c>
      <c r="L234" s="81" t="s">
        <v>198</v>
      </c>
      <c r="M234" s="80" t="n">
        <v>0.117915094339623</v>
      </c>
      <c r="N234" s="80" t="n">
        <v>0.356915094339623</v>
      </c>
      <c r="O234" s="80" t="n">
        <v>4.70527358490566</v>
      </c>
      <c r="P234" s="80" t="n">
        <v>0.452811320754717</v>
      </c>
      <c r="Q234" s="80" t="n">
        <v>1.83516981132075</v>
      </c>
      <c r="R234" s="80" t="n">
        <v>1.76438679245283</v>
      </c>
      <c r="S234" s="81" t="s">
        <v>233</v>
      </c>
      <c r="T234" s="81" t="s">
        <v>200</v>
      </c>
      <c r="U234" s="81" t="s">
        <v>201</v>
      </c>
      <c r="V234" s="82"/>
      <c r="W234" s="81" t="s">
        <v>754</v>
      </c>
      <c r="X234" s="81" t="n">
        <v>0</v>
      </c>
      <c r="Y234" s="81" t="n">
        <v>0</v>
      </c>
      <c r="Z234" s="81" t="n">
        <v>0</v>
      </c>
      <c r="AA234" s="81" t="s">
        <v>211</v>
      </c>
      <c r="AB234" s="73" t="s">
        <v>47</v>
      </c>
      <c r="AC234" s="83"/>
    </row>
    <row r="235" customFormat="false" ht="15" hidden="false" customHeight="false" outlineLevel="0" collapsed="false">
      <c r="C235" s="69" t="n">
        <v>230</v>
      </c>
      <c r="D235" s="78" t="s">
        <v>755</v>
      </c>
      <c r="E235" s="78" t="s">
        <v>511</v>
      </c>
      <c r="F235" s="78" t="s">
        <v>719</v>
      </c>
      <c r="G235" s="79" t="n">
        <v>34.5</v>
      </c>
      <c r="H235" s="80" t="n">
        <v>5</v>
      </c>
      <c r="I235" s="80" t="n">
        <v>275</v>
      </c>
      <c r="J235" s="80" t="n">
        <v>275</v>
      </c>
      <c r="K235" s="80" t="n">
        <v>275</v>
      </c>
      <c r="L235" s="81" t="s">
        <v>198</v>
      </c>
      <c r="M235" s="80" t="n">
        <v>0.41512</v>
      </c>
      <c r="N235" s="80" t="n">
        <v>0.4237</v>
      </c>
      <c r="O235" s="80" t="n">
        <v>4.09984</v>
      </c>
      <c r="P235" s="80" t="n">
        <v>0.75</v>
      </c>
      <c r="Q235" s="80" t="n">
        <v>1.90196</v>
      </c>
      <c r="R235" s="80" t="n">
        <v>1.67196</v>
      </c>
      <c r="S235" s="81" t="s">
        <v>233</v>
      </c>
      <c r="T235" s="81" t="s">
        <v>200</v>
      </c>
      <c r="U235" s="81" t="s">
        <v>201</v>
      </c>
      <c r="V235" s="82"/>
      <c r="W235" s="81" t="s">
        <v>360</v>
      </c>
      <c r="X235" s="81" t="n">
        <v>0.0847777777846204</v>
      </c>
      <c r="Y235" s="81" t="n">
        <v>1.69555555569241</v>
      </c>
      <c r="Z235" s="81" t="n">
        <v>20</v>
      </c>
      <c r="AA235" s="81" t="s">
        <v>211</v>
      </c>
      <c r="AB235" s="73" t="s">
        <v>47</v>
      </c>
      <c r="AC235" s="83"/>
    </row>
    <row r="236" customFormat="false" ht="15" hidden="false" customHeight="false" outlineLevel="0" collapsed="false">
      <c r="C236" s="76" t="n">
        <v>231</v>
      </c>
      <c r="D236" s="78" t="s">
        <v>756</v>
      </c>
      <c r="E236" s="78" t="s">
        <v>697</v>
      </c>
      <c r="F236" s="78" t="s">
        <v>757</v>
      </c>
      <c r="G236" s="79" t="n">
        <v>34.5</v>
      </c>
      <c r="H236" s="80" t="n">
        <v>0.7451</v>
      </c>
      <c r="I236" s="80" t="n">
        <v>1000</v>
      </c>
      <c r="J236" s="80" t="n">
        <v>1000</v>
      </c>
      <c r="K236" s="80" t="n">
        <v>1000</v>
      </c>
      <c r="L236" s="81" t="s">
        <v>198</v>
      </c>
      <c r="M236" s="80" t="n">
        <v>1.32022547309086</v>
      </c>
      <c r="N236" s="80" t="n">
        <v>0.491477654006174</v>
      </c>
      <c r="O236" s="80" t="n">
        <v>3.47282243994095</v>
      </c>
      <c r="P236" s="80" t="n">
        <v>1.49362501677627</v>
      </c>
      <c r="Q236" s="80" t="n">
        <v>1.99328949134344</v>
      </c>
      <c r="R236" s="80" t="n">
        <v>1.43457254059858</v>
      </c>
      <c r="S236" s="81" t="s">
        <v>233</v>
      </c>
      <c r="T236" s="81" t="s">
        <v>200</v>
      </c>
      <c r="U236" s="81" t="s">
        <v>201</v>
      </c>
      <c r="V236" s="82"/>
      <c r="W236" s="81" t="s">
        <v>758</v>
      </c>
      <c r="X236" s="81" t="n">
        <v>0.786503567782214</v>
      </c>
      <c r="Y236" s="81" t="n">
        <v>85.7288888882613</v>
      </c>
      <c r="Z236" s="81" t="n">
        <v>109</v>
      </c>
      <c r="AA236" s="81" t="s">
        <v>211</v>
      </c>
      <c r="AB236" s="73" t="s">
        <v>47</v>
      </c>
      <c r="AC236" s="83"/>
    </row>
    <row r="237" customFormat="false" ht="15" hidden="false" customHeight="false" outlineLevel="0" collapsed="false">
      <c r="C237" s="76" t="n">
        <v>232</v>
      </c>
      <c r="D237" s="78" t="s">
        <v>759</v>
      </c>
      <c r="E237" s="78" t="s">
        <v>760</v>
      </c>
      <c r="F237" s="78" t="s">
        <v>761</v>
      </c>
      <c r="G237" s="79" t="n">
        <v>34.5</v>
      </c>
      <c r="H237" s="80" t="n">
        <v>29.9007</v>
      </c>
      <c r="I237" s="80" t="n">
        <v>275</v>
      </c>
      <c r="J237" s="80" t="n">
        <v>179.85</v>
      </c>
      <c r="K237" s="80" t="n">
        <v>275</v>
      </c>
      <c r="L237" s="81" t="s">
        <v>239</v>
      </c>
      <c r="M237" s="80" t="n">
        <v>0.415110683027488</v>
      </c>
      <c r="N237" s="80" t="n">
        <v>0.423705799529777</v>
      </c>
      <c r="O237" s="80" t="n">
        <v>4.09983043875227</v>
      </c>
      <c r="P237" s="80" t="n">
        <v>0.749999163899173</v>
      </c>
      <c r="Q237" s="80" t="n">
        <v>1.90195547261435</v>
      </c>
      <c r="R237" s="80" t="n">
        <v>1.67195082389376</v>
      </c>
      <c r="S237" s="81" t="s">
        <v>233</v>
      </c>
      <c r="T237" s="81" t="s">
        <v>200</v>
      </c>
      <c r="U237" s="81" t="s">
        <v>201</v>
      </c>
      <c r="V237" s="82"/>
      <c r="W237" s="81" t="s">
        <v>360</v>
      </c>
      <c r="X237" s="81" t="n">
        <v>3.06607777778059</v>
      </c>
      <c r="Y237" s="81" t="n">
        <v>153.30388888903</v>
      </c>
      <c r="Z237" s="81" t="n">
        <v>50</v>
      </c>
      <c r="AA237" s="81" t="s">
        <v>211</v>
      </c>
      <c r="AB237" s="73" t="s">
        <v>47</v>
      </c>
      <c r="AC237" s="83"/>
    </row>
    <row r="238" customFormat="false" ht="15" hidden="false" customHeight="false" outlineLevel="0" collapsed="false">
      <c r="C238" s="69" t="n">
        <v>233</v>
      </c>
      <c r="D238" s="78" t="s">
        <v>762</v>
      </c>
      <c r="E238" s="78" t="s">
        <v>728</v>
      </c>
      <c r="F238" s="78" t="s">
        <v>264</v>
      </c>
      <c r="G238" s="79" t="n">
        <v>34.5</v>
      </c>
      <c r="H238" s="80" t="n">
        <v>1.004</v>
      </c>
      <c r="I238" s="80" t="n">
        <v>458</v>
      </c>
      <c r="J238" s="80" t="n">
        <v>449.756</v>
      </c>
      <c r="K238" s="80" t="n">
        <v>458</v>
      </c>
      <c r="L238" s="81" t="s">
        <v>239</v>
      </c>
      <c r="M238" s="80" t="n">
        <v>0.209561752988048</v>
      </c>
      <c r="N238" s="80" t="n">
        <v>0.378884462151394</v>
      </c>
      <c r="O238" s="80" t="n">
        <v>4.41434262948207</v>
      </c>
      <c r="P238" s="80" t="n">
        <v>0.544521912350598</v>
      </c>
      <c r="Q238" s="80" t="n">
        <v>1.85707171314741</v>
      </c>
      <c r="R238" s="80" t="n">
        <v>1.72191235059761</v>
      </c>
      <c r="S238" s="81" t="s">
        <v>233</v>
      </c>
      <c r="T238" s="81" t="s">
        <v>200</v>
      </c>
      <c r="U238" s="81" t="s">
        <v>201</v>
      </c>
      <c r="V238" s="82"/>
      <c r="W238" s="81" t="s">
        <v>234</v>
      </c>
      <c r="X238" s="81" t="n">
        <v>1.41421052630635</v>
      </c>
      <c r="Y238" s="81" t="n">
        <v>53.7399999996414</v>
      </c>
      <c r="Z238" s="81" t="n">
        <v>38</v>
      </c>
      <c r="AA238" s="81" t="s">
        <v>211</v>
      </c>
      <c r="AB238" s="73" t="s">
        <v>47</v>
      </c>
      <c r="AC238" s="83"/>
    </row>
    <row r="239" customFormat="false" ht="15" hidden="false" customHeight="false" outlineLevel="0" collapsed="false">
      <c r="C239" s="76" t="n">
        <v>234</v>
      </c>
      <c r="D239" s="78" t="s">
        <v>763</v>
      </c>
      <c r="E239" s="78" t="s">
        <v>764</v>
      </c>
      <c r="F239" s="78" t="s">
        <v>765</v>
      </c>
      <c r="G239" s="79" t="n">
        <v>34.5</v>
      </c>
      <c r="H239" s="80" t="n">
        <v>1.7838</v>
      </c>
      <c r="I239" s="80" t="n">
        <v>355</v>
      </c>
      <c r="J239" s="80" t="n">
        <v>355</v>
      </c>
      <c r="K239" s="80" t="n">
        <v>355</v>
      </c>
      <c r="L239" s="81" t="s">
        <v>198</v>
      </c>
      <c r="M239" s="80" t="n">
        <v>0.261632470007848</v>
      </c>
      <c r="N239" s="80" t="n">
        <v>0.406043278394439</v>
      </c>
      <c r="O239" s="80" t="n">
        <v>4.29610942930822</v>
      </c>
      <c r="P239" s="80" t="n">
        <v>0.596535486041036</v>
      </c>
      <c r="Q239" s="80" t="n">
        <v>1.88429196098217</v>
      </c>
      <c r="R239" s="80" t="n">
        <v>1.70366633030609</v>
      </c>
      <c r="S239" s="81" t="s">
        <v>233</v>
      </c>
      <c r="T239" s="81" t="s">
        <v>200</v>
      </c>
      <c r="U239" s="81" t="s">
        <v>201</v>
      </c>
      <c r="V239" s="82"/>
      <c r="W239" s="81" t="s">
        <v>301</v>
      </c>
      <c r="X239" s="81" t="n">
        <v>5.85698412695534</v>
      </c>
      <c r="Y239" s="81" t="n">
        <v>40.9988888886874</v>
      </c>
      <c r="Z239" s="81" t="n">
        <v>7</v>
      </c>
      <c r="AA239" s="81" t="s">
        <v>211</v>
      </c>
      <c r="AB239" s="73" t="s">
        <v>47</v>
      </c>
      <c r="AC239" s="83"/>
    </row>
    <row r="240" customFormat="false" ht="15" hidden="false" customHeight="false" outlineLevel="0" collapsed="false">
      <c r="C240" s="76" t="n">
        <v>235</v>
      </c>
      <c r="D240" s="78" t="s">
        <v>766</v>
      </c>
      <c r="E240" s="78" t="s">
        <v>711</v>
      </c>
      <c r="F240" s="78" t="s">
        <v>767</v>
      </c>
      <c r="G240" s="79" t="n">
        <v>34.5</v>
      </c>
      <c r="H240" s="80" t="n">
        <v>3</v>
      </c>
      <c r="I240" s="80" t="n">
        <v>355</v>
      </c>
      <c r="J240" s="80" t="n">
        <v>299.975</v>
      </c>
      <c r="K240" s="80" t="n">
        <v>355</v>
      </c>
      <c r="L240" s="81" t="s">
        <v>239</v>
      </c>
      <c r="M240" s="80" t="n">
        <v>0.261633333333333</v>
      </c>
      <c r="N240" s="80" t="n">
        <v>0.406033333333333</v>
      </c>
      <c r="O240" s="80" t="n">
        <v>4.2961</v>
      </c>
      <c r="P240" s="80" t="n">
        <v>0.5965</v>
      </c>
      <c r="Q240" s="80" t="n">
        <v>1.8843</v>
      </c>
      <c r="R240" s="80" t="n">
        <v>1.70363333333333</v>
      </c>
      <c r="S240" s="81" t="s">
        <v>233</v>
      </c>
      <c r="T240" s="81" t="s">
        <v>200</v>
      </c>
      <c r="U240" s="81" t="s">
        <v>201</v>
      </c>
      <c r="V240" s="82"/>
      <c r="W240" s="81" t="s">
        <v>301</v>
      </c>
      <c r="X240" s="81" t="n">
        <v>0.92250645993383</v>
      </c>
      <c r="Y240" s="81" t="n">
        <v>79.3355555543094</v>
      </c>
      <c r="Z240" s="81" t="n">
        <v>86</v>
      </c>
      <c r="AA240" s="81" t="s">
        <v>211</v>
      </c>
      <c r="AB240" s="73" t="s">
        <v>47</v>
      </c>
      <c r="AC240" s="83"/>
    </row>
    <row r="241" customFormat="false" ht="15" hidden="false" customHeight="false" outlineLevel="0" collapsed="false">
      <c r="C241" s="69" t="n">
        <v>236</v>
      </c>
      <c r="D241" s="78" t="s">
        <v>768</v>
      </c>
      <c r="E241" s="78" t="s">
        <v>761</v>
      </c>
      <c r="F241" s="78" t="s">
        <v>769</v>
      </c>
      <c r="G241" s="79" t="n">
        <v>34.5</v>
      </c>
      <c r="H241" s="80" t="n">
        <v>27.217</v>
      </c>
      <c r="I241" s="80" t="n">
        <v>275</v>
      </c>
      <c r="J241" s="80" t="n">
        <v>42.075</v>
      </c>
      <c r="K241" s="80" t="n">
        <v>275</v>
      </c>
      <c r="L241" s="81" t="s">
        <v>239</v>
      </c>
      <c r="M241" s="80" t="n">
        <v>0.415111878605284</v>
      </c>
      <c r="N241" s="80" t="n">
        <v>0.423705772127714</v>
      </c>
      <c r="O241" s="80" t="n">
        <v>4.09983098798545</v>
      </c>
      <c r="P241" s="80" t="n">
        <v>0.750001837087115</v>
      </c>
      <c r="Q241" s="80" t="n">
        <v>1.90195466069001</v>
      </c>
      <c r="R241" s="80" t="n">
        <v>1.6719513539332</v>
      </c>
      <c r="S241" s="81" t="s">
        <v>233</v>
      </c>
      <c r="T241" s="81" t="s">
        <v>200</v>
      </c>
      <c r="U241" s="81" t="s">
        <v>201</v>
      </c>
      <c r="V241" s="82"/>
      <c r="W241" s="81" t="s">
        <v>360</v>
      </c>
      <c r="X241" s="81" t="n">
        <v>3.06607777778059</v>
      </c>
      <c r="Y241" s="81" t="n">
        <v>153.30388888903</v>
      </c>
      <c r="Z241" s="81" t="n">
        <v>50</v>
      </c>
      <c r="AA241" s="81" t="s">
        <v>211</v>
      </c>
      <c r="AB241" s="73" t="s">
        <v>47</v>
      </c>
      <c r="AC241" s="83"/>
    </row>
    <row r="242" customFormat="false" ht="15" hidden="false" customHeight="false" outlineLevel="0" collapsed="false">
      <c r="C242" s="76" t="n">
        <v>237</v>
      </c>
      <c r="D242" s="78" t="s">
        <v>770</v>
      </c>
      <c r="E242" s="78" t="s">
        <v>664</v>
      </c>
      <c r="F242" s="78" t="s">
        <v>749</v>
      </c>
      <c r="G242" s="79" t="n">
        <v>34.5</v>
      </c>
      <c r="H242" s="80" t="n">
        <v>4.42</v>
      </c>
      <c r="I242" s="80" t="n">
        <v>458</v>
      </c>
      <c r="J242" s="80" t="n">
        <v>458</v>
      </c>
      <c r="K242" s="80" t="n">
        <v>458</v>
      </c>
      <c r="L242" s="81" t="s">
        <v>198</v>
      </c>
      <c r="M242" s="80" t="n">
        <v>0.209615384615385</v>
      </c>
      <c r="N242" s="80" t="n">
        <v>0.378846153846154</v>
      </c>
      <c r="O242" s="80" t="n">
        <v>4.41434389140272</v>
      </c>
      <c r="P242" s="80" t="n">
        <v>0.544502262443439</v>
      </c>
      <c r="Q242" s="80" t="n">
        <v>1.8570814479638</v>
      </c>
      <c r="R242" s="80" t="n">
        <v>1.72190045248869</v>
      </c>
      <c r="S242" s="81" t="s">
        <v>233</v>
      </c>
      <c r="T242" s="81" t="s">
        <v>200</v>
      </c>
      <c r="U242" s="81" t="s">
        <v>201</v>
      </c>
      <c r="V242" s="82"/>
      <c r="W242" s="81" t="s">
        <v>234</v>
      </c>
      <c r="X242" s="81" t="n">
        <v>0.590151851826813</v>
      </c>
      <c r="Y242" s="81" t="n">
        <v>44.261388887011</v>
      </c>
      <c r="Z242" s="81" t="n">
        <v>75</v>
      </c>
      <c r="AA242" s="81" t="s">
        <v>211</v>
      </c>
      <c r="AB242" s="73" t="s">
        <v>47</v>
      </c>
      <c r="AC242" s="83"/>
    </row>
    <row r="243" customFormat="false" ht="15" hidden="false" customHeight="false" outlineLevel="0" collapsed="false">
      <c r="C243" s="76" t="n">
        <v>238</v>
      </c>
      <c r="D243" s="78" t="s">
        <v>771</v>
      </c>
      <c r="E243" s="78" t="s">
        <v>263</v>
      </c>
      <c r="F243" s="78" t="s">
        <v>529</v>
      </c>
      <c r="G243" s="79" t="n">
        <v>34.5</v>
      </c>
      <c r="H243" s="80" t="n">
        <v>1.2</v>
      </c>
      <c r="I243" s="80" t="n">
        <v>458</v>
      </c>
      <c r="J243" s="80" t="n">
        <v>449.756</v>
      </c>
      <c r="K243" s="80" t="n">
        <v>458</v>
      </c>
      <c r="L243" s="81" t="s">
        <v>239</v>
      </c>
      <c r="M243" s="80" t="n">
        <v>0.209583333333333</v>
      </c>
      <c r="N243" s="80" t="n">
        <v>0.378833333333333</v>
      </c>
      <c r="O243" s="80" t="n">
        <v>4.41433333333333</v>
      </c>
      <c r="P243" s="80" t="n">
        <v>0.5445</v>
      </c>
      <c r="Q243" s="80" t="n">
        <v>1.85708333333333</v>
      </c>
      <c r="R243" s="80" t="n">
        <v>1.72191666666667</v>
      </c>
      <c r="S243" s="81" t="s">
        <v>233</v>
      </c>
      <c r="T243" s="81" t="s">
        <v>200</v>
      </c>
      <c r="U243" s="81" t="s">
        <v>201</v>
      </c>
      <c r="V243" s="82"/>
      <c r="W243" s="81" t="s">
        <v>234</v>
      </c>
      <c r="X243" s="81" t="n">
        <v>1.41421052630635</v>
      </c>
      <c r="Y243" s="81" t="n">
        <v>53.7399999996414</v>
      </c>
      <c r="Z243" s="81" t="n">
        <v>38</v>
      </c>
      <c r="AA243" s="81" t="s">
        <v>211</v>
      </c>
      <c r="AB243" s="73" t="s">
        <v>47</v>
      </c>
      <c r="AC243" s="83"/>
    </row>
    <row r="244" customFormat="false" ht="15" hidden="false" customHeight="false" outlineLevel="0" collapsed="false">
      <c r="C244" s="69" t="n">
        <v>239</v>
      </c>
      <c r="D244" s="78" t="s">
        <v>772</v>
      </c>
      <c r="E244" s="78" t="s">
        <v>243</v>
      </c>
      <c r="F244" s="78" t="s">
        <v>773</v>
      </c>
      <c r="G244" s="79" t="n">
        <v>34.5</v>
      </c>
      <c r="H244" s="80" t="n">
        <v>1.36</v>
      </c>
      <c r="I244" s="80" t="n">
        <v>458</v>
      </c>
      <c r="J244" s="80" t="n">
        <v>458</v>
      </c>
      <c r="K244" s="80" t="n">
        <v>458</v>
      </c>
      <c r="L244" s="81" t="s">
        <v>198</v>
      </c>
      <c r="M244" s="80" t="n">
        <v>0.209632352941176</v>
      </c>
      <c r="N244" s="80" t="n">
        <v>0.378823529411765</v>
      </c>
      <c r="O244" s="80" t="n">
        <v>4.41433823529412</v>
      </c>
      <c r="P244" s="80" t="n">
        <v>0.544485294117647</v>
      </c>
      <c r="Q244" s="80" t="n">
        <v>1.85705882352941</v>
      </c>
      <c r="R244" s="80" t="n">
        <v>1.72191176470588</v>
      </c>
      <c r="S244" s="81" t="s">
        <v>233</v>
      </c>
      <c r="T244" s="81" t="s">
        <v>200</v>
      </c>
      <c r="U244" s="81" t="s">
        <v>201</v>
      </c>
      <c r="V244" s="82"/>
      <c r="W244" s="81" t="s">
        <v>234</v>
      </c>
      <c r="X244" s="81" t="n">
        <v>0.122708333379705</v>
      </c>
      <c r="Y244" s="81" t="n">
        <v>0.981666667037644</v>
      </c>
      <c r="Z244" s="81" t="n">
        <v>8</v>
      </c>
      <c r="AA244" s="81" t="s">
        <v>211</v>
      </c>
      <c r="AB244" s="73" t="s">
        <v>47</v>
      </c>
      <c r="AC244" s="83"/>
    </row>
    <row r="245" customFormat="false" ht="15" hidden="false" customHeight="false" outlineLevel="0" collapsed="false">
      <c r="C245" s="76" t="n">
        <v>240</v>
      </c>
      <c r="D245" s="78" t="s">
        <v>774</v>
      </c>
      <c r="E245" s="78" t="s">
        <v>732</v>
      </c>
      <c r="F245" s="78" t="s">
        <v>773</v>
      </c>
      <c r="G245" s="79" t="n">
        <v>34.5</v>
      </c>
      <c r="H245" s="80" t="n">
        <v>6.08</v>
      </c>
      <c r="I245" s="80" t="n">
        <v>458</v>
      </c>
      <c r="J245" s="80" t="n">
        <v>458</v>
      </c>
      <c r="K245" s="80" t="n">
        <v>458</v>
      </c>
      <c r="L245" s="81" t="s">
        <v>198</v>
      </c>
      <c r="M245" s="80" t="n">
        <v>0.209605263157895</v>
      </c>
      <c r="N245" s="80" t="n">
        <v>0.378832236842105</v>
      </c>
      <c r="O245" s="80" t="n">
        <v>4.41432565789474</v>
      </c>
      <c r="P245" s="80" t="n">
        <v>0.544506578947368</v>
      </c>
      <c r="Q245" s="80" t="n">
        <v>1.85708881578947</v>
      </c>
      <c r="R245" s="80" t="n">
        <v>1.72190789473684</v>
      </c>
      <c r="S245" s="81" t="s">
        <v>233</v>
      </c>
      <c r="T245" s="81" t="s">
        <v>200</v>
      </c>
      <c r="U245" s="81" t="s">
        <v>201</v>
      </c>
      <c r="V245" s="82"/>
      <c r="W245" s="81" t="s">
        <v>234</v>
      </c>
      <c r="X245" s="81" t="n">
        <v>0.804413580219261</v>
      </c>
      <c r="Y245" s="81" t="n">
        <v>7.23972222197335</v>
      </c>
      <c r="Z245" s="81" t="n">
        <v>9</v>
      </c>
      <c r="AA245" s="81" t="s">
        <v>211</v>
      </c>
      <c r="AB245" s="73" t="s">
        <v>47</v>
      </c>
      <c r="AC245" s="83"/>
    </row>
    <row r="246" customFormat="false" ht="15" hidden="false" customHeight="false" outlineLevel="0" collapsed="false">
      <c r="C246" s="76" t="n">
        <v>241</v>
      </c>
      <c r="D246" s="78" t="s">
        <v>775</v>
      </c>
      <c r="E246" s="78" t="s">
        <v>231</v>
      </c>
      <c r="F246" s="78" t="s">
        <v>242</v>
      </c>
      <c r="G246" s="79" t="n">
        <v>34.5</v>
      </c>
      <c r="H246" s="80" t="n">
        <v>0.02</v>
      </c>
      <c r="I246" s="80" t="n">
        <v>458</v>
      </c>
      <c r="J246" s="80" t="n">
        <v>458</v>
      </c>
      <c r="K246" s="80" t="n">
        <v>458</v>
      </c>
      <c r="L246" s="81" t="s">
        <v>198</v>
      </c>
      <c r="M246" s="80" t="n">
        <v>0.21</v>
      </c>
      <c r="N246" s="80" t="n">
        <v>0.38</v>
      </c>
      <c r="O246" s="80" t="n">
        <v>4.415</v>
      </c>
      <c r="P246" s="80" t="n">
        <v>0.545</v>
      </c>
      <c r="Q246" s="80" t="n">
        <v>1.855</v>
      </c>
      <c r="R246" s="80" t="n">
        <v>1.72</v>
      </c>
      <c r="S246" s="81" t="s">
        <v>233</v>
      </c>
      <c r="T246" s="81" t="s">
        <v>200</v>
      </c>
      <c r="U246" s="81" t="s">
        <v>201</v>
      </c>
      <c r="V246" s="82"/>
      <c r="W246" s="81" t="s">
        <v>234</v>
      </c>
      <c r="X246" s="81" t="n">
        <v>0</v>
      </c>
      <c r="Y246" s="81" t="n">
        <v>0</v>
      </c>
      <c r="Z246" s="81" t="n">
        <v>0</v>
      </c>
      <c r="AA246" s="81" t="s">
        <v>211</v>
      </c>
      <c r="AB246" s="73" t="s">
        <v>47</v>
      </c>
      <c r="AC246" s="83"/>
    </row>
    <row r="247" customFormat="false" ht="15" hidden="false" customHeight="false" outlineLevel="0" collapsed="false">
      <c r="C247" s="69" t="n">
        <v>242</v>
      </c>
      <c r="D247" s="78" t="s">
        <v>776</v>
      </c>
      <c r="E247" s="78" t="s">
        <v>675</v>
      </c>
      <c r="F247" s="78" t="s">
        <v>732</v>
      </c>
      <c r="G247" s="79" t="n">
        <v>34.5</v>
      </c>
      <c r="H247" s="80" t="n">
        <v>0.17</v>
      </c>
      <c r="I247" s="80" t="n">
        <v>458</v>
      </c>
      <c r="J247" s="80" t="n">
        <v>299.99</v>
      </c>
      <c r="K247" s="80" t="n">
        <v>458</v>
      </c>
      <c r="L247" s="81" t="s">
        <v>239</v>
      </c>
      <c r="M247" s="80" t="n">
        <v>0.209411764705882</v>
      </c>
      <c r="N247" s="80" t="n">
        <v>0.378823529411765</v>
      </c>
      <c r="O247" s="80" t="n">
        <v>4.41411764705882</v>
      </c>
      <c r="P247" s="80" t="n">
        <v>0.544705882352941</v>
      </c>
      <c r="Q247" s="80" t="n">
        <v>1.85705882352941</v>
      </c>
      <c r="R247" s="80" t="n">
        <v>1.72176470588235</v>
      </c>
      <c r="S247" s="81" t="s">
        <v>233</v>
      </c>
      <c r="T247" s="81" t="s">
        <v>200</v>
      </c>
      <c r="U247" s="81" t="s">
        <v>201</v>
      </c>
      <c r="V247" s="82"/>
      <c r="W247" s="81" t="s">
        <v>234</v>
      </c>
      <c r="X247" s="81" t="n">
        <v>0</v>
      </c>
      <c r="Y247" s="81" t="n">
        <v>0</v>
      </c>
      <c r="Z247" s="81" t="n">
        <v>0</v>
      </c>
      <c r="AA247" s="81" t="s">
        <v>211</v>
      </c>
      <c r="AB247" s="73" t="s">
        <v>47</v>
      </c>
      <c r="AC247" s="83"/>
    </row>
    <row r="248" customFormat="false" ht="15" hidden="false" customHeight="false" outlineLevel="0" collapsed="false">
      <c r="C248" s="76" t="n">
        <v>243</v>
      </c>
      <c r="D248" s="78" t="s">
        <v>777</v>
      </c>
      <c r="E248" s="78" t="s">
        <v>677</v>
      </c>
      <c r="F248" s="78" t="s">
        <v>778</v>
      </c>
      <c r="G248" s="79" t="n">
        <v>34.5</v>
      </c>
      <c r="H248" s="80" t="n">
        <v>6.9363</v>
      </c>
      <c r="I248" s="80" t="n">
        <v>355</v>
      </c>
      <c r="J248" s="80" t="n">
        <v>355</v>
      </c>
      <c r="K248" s="80" t="n">
        <v>355</v>
      </c>
      <c r="L248" s="81" t="s">
        <v>198</v>
      </c>
      <c r="M248" s="80" t="n">
        <v>0.261623632195839</v>
      </c>
      <c r="N248" s="80" t="n">
        <v>0.406052218041319</v>
      </c>
      <c r="O248" s="80" t="n">
        <v>4.2960944595822</v>
      </c>
      <c r="P248" s="80" t="n">
        <v>0.59651399160936</v>
      </c>
      <c r="Q248" s="80" t="n">
        <v>1.88428989518908</v>
      </c>
      <c r="R248" s="80" t="n">
        <v>1.7036460360711</v>
      </c>
      <c r="S248" s="81" t="s">
        <v>233</v>
      </c>
      <c r="T248" s="81" t="s">
        <v>200</v>
      </c>
      <c r="U248" s="81" t="s">
        <v>201</v>
      </c>
      <c r="V248" s="82"/>
      <c r="W248" s="81" t="s">
        <v>301</v>
      </c>
      <c r="X248" s="81" t="n">
        <v>0</v>
      </c>
      <c r="Y248" s="81" t="n">
        <v>0</v>
      </c>
      <c r="Z248" s="81" t="n">
        <v>0</v>
      </c>
      <c r="AA248" s="81" t="s">
        <v>211</v>
      </c>
      <c r="AB248" s="73" t="s">
        <v>47</v>
      </c>
      <c r="AC248" s="83"/>
    </row>
    <row r="249" customFormat="false" ht="15" hidden="false" customHeight="false" outlineLevel="0" collapsed="false">
      <c r="C249" s="76" t="n">
        <v>244</v>
      </c>
      <c r="D249" s="78" t="s">
        <v>779</v>
      </c>
      <c r="E249" s="78" t="s">
        <v>780</v>
      </c>
      <c r="F249" s="78" t="s">
        <v>681</v>
      </c>
      <c r="G249" s="79" t="n">
        <v>34.5</v>
      </c>
      <c r="H249" s="80" t="n">
        <v>1.2184</v>
      </c>
      <c r="I249" s="80" t="n">
        <v>355</v>
      </c>
      <c r="J249" s="80" t="n">
        <v>269.8</v>
      </c>
      <c r="K249" s="80" t="n">
        <v>355</v>
      </c>
      <c r="L249" s="81" t="s">
        <v>239</v>
      </c>
      <c r="M249" s="80" t="n">
        <v>0.261654629021668</v>
      </c>
      <c r="N249" s="80" t="n">
        <v>0.406024294156271</v>
      </c>
      <c r="O249" s="80" t="n">
        <v>4.29612606697308</v>
      </c>
      <c r="P249" s="80" t="n">
        <v>0.596520026263953</v>
      </c>
      <c r="Q249" s="80" t="n">
        <v>1.88427445830598</v>
      </c>
      <c r="R249" s="80" t="n">
        <v>1.70362770847012</v>
      </c>
      <c r="S249" s="81" t="s">
        <v>233</v>
      </c>
      <c r="T249" s="81" t="s">
        <v>200</v>
      </c>
      <c r="U249" s="81" t="s">
        <v>201</v>
      </c>
      <c r="V249" s="82"/>
      <c r="W249" s="81" t="s">
        <v>301</v>
      </c>
      <c r="X249" s="81" t="n">
        <v>1.60313131315739</v>
      </c>
      <c r="Y249" s="81" t="n">
        <v>17.6344444447313</v>
      </c>
      <c r="Z249" s="81" t="n">
        <v>11</v>
      </c>
      <c r="AA249" s="81" t="s">
        <v>211</v>
      </c>
      <c r="AB249" s="73" t="s">
        <v>47</v>
      </c>
      <c r="AC249" s="83"/>
    </row>
    <row r="250" customFormat="false" ht="15" hidden="false" customHeight="false" outlineLevel="0" collapsed="false">
      <c r="C250" s="69" t="n">
        <v>245</v>
      </c>
      <c r="D250" s="78" t="s">
        <v>781</v>
      </c>
      <c r="E250" s="78" t="s">
        <v>669</v>
      </c>
      <c r="F250" s="78" t="s">
        <v>782</v>
      </c>
      <c r="G250" s="79" t="n">
        <v>34.5</v>
      </c>
      <c r="H250" s="80" t="n">
        <v>41.4296</v>
      </c>
      <c r="I250" s="80" t="n">
        <v>275</v>
      </c>
      <c r="J250" s="80" t="n">
        <v>275</v>
      </c>
      <c r="K250" s="80" t="n">
        <v>275</v>
      </c>
      <c r="L250" s="81" t="s">
        <v>198</v>
      </c>
      <c r="M250" s="80" t="n">
        <v>0.415111417923417</v>
      </c>
      <c r="N250" s="80" t="n">
        <v>0.423706721764149</v>
      </c>
      <c r="O250" s="80" t="n">
        <v>4.09983200417093</v>
      </c>
      <c r="P250" s="80" t="n">
        <v>0.75</v>
      </c>
      <c r="Q250" s="80" t="n">
        <v>1.90195657211269</v>
      </c>
      <c r="R250" s="80" t="n">
        <v>1.67195193774499</v>
      </c>
      <c r="S250" s="81" t="s">
        <v>233</v>
      </c>
      <c r="T250" s="81" t="s">
        <v>200</v>
      </c>
      <c r="U250" s="81" t="s">
        <v>201</v>
      </c>
      <c r="V250" s="82"/>
      <c r="W250" s="81" t="s">
        <v>360</v>
      </c>
      <c r="X250" s="81" t="n">
        <v>0.617457627153056</v>
      </c>
      <c r="Y250" s="81" t="n">
        <v>36.4300000020303</v>
      </c>
      <c r="Z250" s="81" t="n">
        <v>59</v>
      </c>
      <c r="AA250" s="81" t="s">
        <v>211</v>
      </c>
      <c r="AB250" s="73" t="s">
        <v>47</v>
      </c>
      <c r="AC250" s="83"/>
    </row>
    <row r="251" customFormat="false" ht="15" hidden="false" customHeight="false" outlineLevel="0" collapsed="false">
      <c r="C251" s="76" t="n">
        <v>246</v>
      </c>
      <c r="D251" s="78" t="s">
        <v>783</v>
      </c>
      <c r="E251" s="78" t="s">
        <v>666</v>
      </c>
      <c r="F251" s="78" t="s">
        <v>688</v>
      </c>
      <c r="G251" s="79" t="n">
        <v>34.5</v>
      </c>
      <c r="H251" s="80" t="n">
        <v>16.44</v>
      </c>
      <c r="I251" s="80" t="n">
        <v>458</v>
      </c>
      <c r="J251" s="80" t="n">
        <v>279.838</v>
      </c>
      <c r="K251" s="80" t="n">
        <v>458</v>
      </c>
      <c r="L251" s="81" t="s">
        <v>239</v>
      </c>
      <c r="M251" s="80" t="n">
        <v>0.209610705596107</v>
      </c>
      <c r="N251" s="80" t="n">
        <v>0.378838199513382</v>
      </c>
      <c r="O251" s="80" t="n">
        <v>4.41433090024331</v>
      </c>
      <c r="P251" s="80" t="n">
        <v>0.544501216545012</v>
      </c>
      <c r="Q251" s="80" t="n">
        <v>1.85708637469586</v>
      </c>
      <c r="R251" s="80" t="n">
        <v>1.72190389294404</v>
      </c>
      <c r="S251" s="81" t="s">
        <v>233</v>
      </c>
      <c r="T251" s="81" t="s">
        <v>200</v>
      </c>
      <c r="U251" s="81" t="s">
        <v>201</v>
      </c>
      <c r="V251" s="82"/>
      <c r="W251" s="81" t="s">
        <v>234</v>
      </c>
      <c r="X251" s="81" t="n">
        <v>0</v>
      </c>
      <c r="Y251" s="81" t="n">
        <v>0</v>
      </c>
      <c r="Z251" s="81" t="n">
        <v>0</v>
      </c>
      <c r="AA251" s="81" t="s">
        <v>211</v>
      </c>
      <c r="AB251" s="73" t="s">
        <v>47</v>
      </c>
      <c r="AC251" s="83"/>
    </row>
    <row r="252" customFormat="false" ht="15" hidden="false" customHeight="false" outlineLevel="0" collapsed="false">
      <c r="C252" s="76" t="n">
        <v>247</v>
      </c>
      <c r="D252" s="78" t="s">
        <v>784</v>
      </c>
      <c r="E252" s="78" t="s">
        <v>708</v>
      </c>
      <c r="F252" s="78" t="s">
        <v>672</v>
      </c>
      <c r="G252" s="79" t="n">
        <v>34.5</v>
      </c>
      <c r="H252" s="80" t="n">
        <v>4.38</v>
      </c>
      <c r="I252" s="80" t="n">
        <v>275</v>
      </c>
      <c r="J252" s="80" t="n">
        <v>275</v>
      </c>
      <c r="K252" s="80" t="n">
        <v>275</v>
      </c>
      <c r="L252" s="81" t="s">
        <v>198</v>
      </c>
      <c r="M252" s="80" t="n">
        <v>0.415114155251142</v>
      </c>
      <c r="N252" s="80" t="n">
        <v>0.423698630136986</v>
      </c>
      <c r="O252" s="80" t="n">
        <v>4.0998401826484</v>
      </c>
      <c r="P252" s="80" t="n">
        <v>0.75</v>
      </c>
      <c r="Q252" s="80" t="n">
        <v>1.90196347031963</v>
      </c>
      <c r="R252" s="80" t="n">
        <v>1.67196347031963</v>
      </c>
      <c r="S252" s="81" t="s">
        <v>233</v>
      </c>
      <c r="T252" s="81" t="s">
        <v>200</v>
      </c>
      <c r="U252" s="81" t="s">
        <v>201</v>
      </c>
      <c r="V252" s="82"/>
      <c r="W252" s="81" t="s">
        <v>360</v>
      </c>
      <c r="X252" s="81" t="n">
        <v>3.53972222217999</v>
      </c>
      <c r="Y252" s="81" t="n">
        <v>14.15888888872</v>
      </c>
      <c r="Z252" s="81" t="n">
        <v>4</v>
      </c>
      <c r="AA252" s="81" t="s">
        <v>211</v>
      </c>
      <c r="AB252" s="73" t="s">
        <v>47</v>
      </c>
      <c r="AC252" s="83"/>
    </row>
    <row r="253" customFormat="false" ht="15" hidden="false" customHeight="false" outlineLevel="0" collapsed="false">
      <c r="C253" s="69" t="n">
        <v>248</v>
      </c>
      <c r="D253" s="78" t="s">
        <v>785</v>
      </c>
      <c r="E253" s="78" t="s">
        <v>737</v>
      </c>
      <c r="F253" s="78" t="s">
        <v>671</v>
      </c>
      <c r="G253" s="79" t="n">
        <v>34.5</v>
      </c>
      <c r="H253" s="80" t="n">
        <v>7.8654</v>
      </c>
      <c r="I253" s="80" t="n">
        <v>458</v>
      </c>
      <c r="J253" s="80" t="n">
        <v>415.864</v>
      </c>
      <c r="K253" s="80" t="n">
        <v>458</v>
      </c>
      <c r="L253" s="81" t="s">
        <v>239</v>
      </c>
      <c r="M253" s="80" t="n">
        <v>0.209614259923208</v>
      </c>
      <c r="N253" s="80" t="n">
        <v>0.378836422813843</v>
      </c>
      <c r="O253" s="80" t="n">
        <v>4.41433366389503</v>
      </c>
      <c r="P253" s="80" t="n">
        <v>0.544498690467109</v>
      </c>
      <c r="Q253" s="80" t="n">
        <v>1.85708292013121</v>
      </c>
      <c r="R253" s="80" t="n">
        <v>1.72190861240369</v>
      </c>
      <c r="S253" s="81" t="s">
        <v>233</v>
      </c>
      <c r="T253" s="81" t="s">
        <v>200</v>
      </c>
      <c r="U253" s="81" t="s">
        <v>201</v>
      </c>
      <c r="V253" s="82"/>
      <c r="W253" s="81" t="s">
        <v>234</v>
      </c>
      <c r="X253" s="81" t="n">
        <v>2.0245138888713</v>
      </c>
      <c r="Y253" s="81" t="n">
        <v>8.09805555548519</v>
      </c>
      <c r="Z253" s="81" t="n">
        <v>4</v>
      </c>
      <c r="AA253" s="81" t="s">
        <v>211</v>
      </c>
      <c r="AB253" s="73" t="s">
        <v>47</v>
      </c>
      <c r="AC253" s="83"/>
    </row>
    <row r="254" customFormat="false" ht="15" hidden="false" customHeight="false" outlineLevel="0" collapsed="false">
      <c r="C254" s="76" t="n">
        <v>249</v>
      </c>
      <c r="D254" s="78" t="s">
        <v>786</v>
      </c>
      <c r="E254" s="78" t="s">
        <v>737</v>
      </c>
      <c r="F254" s="78" t="s">
        <v>787</v>
      </c>
      <c r="G254" s="79" t="n">
        <v>34.5</v>
      </c>
      <c r="H254" s="80" t="n">
        <v>18.76</v>
      </c>
      <c r="I254" s="80" t="n">
        <v>458</v>
      </c>
      <c r="J254" s="80" t="n">
        <v>59.998</v>
      </c>
      <c r="K254" s="80" t="n">
        <v>458</v>
      </c>
      <c r="L254" s="81" t="s">
        <v>239</v>
      </c>
      <c r="M254" s="80" t="n">
        <v>0.209610874200426</v>
      </c>
      <c r="N254" s="80" t="n">
        <v>0.378837953091684</v>
      </c>
      <c r="O254" s="80" t="n">
        <v>4.41433368869936</v>
      </c>
      <c r="P254" s="80" t="n">
        <v>0.544498933901919</v>
      </c>
      <c r="Q254" s="80" t="n">
        <v>1.85708955223881</v>
      </c>
      <c r="R254" s="80" t="n">
        <v>1.72190298507463</v>
      </c>
      <c r="S254" s="81" t="s">
        <v>233</v>
      </c>
      <c r="T254" s="81" t="s">
        <v>200</v>
      </c>
      <c r="U254" s="81" t="s">
        <v>201</v>
      </c>
      <c r="V254" s="82"/>
      <c r="W254" s="81" t="s">
        <v>234</v>
      </c>
      <c r="X254" s="81" t="n">
        <v>0.503194444481051</v>
      </c>
      <c r="Y254" s="81" t="n">
        <v>5.03194444481051</v>
      </c>
      <c r="Z254" s="81" t="n">
        <v>10</v>
      </c>
      <c r="AA254" s="81" t="s">
        <v>211</v>
      </c>
      <c r="AB254" s="73" t="s">
        <v>47</v>
      </c>
      <c r="AC254" s="83"/>
    </row>
    <row r="255" customFormat="false" ht="15" hidden="false" customHeight="false" outlineLevel="0" collapsed="false">
      <c r="C255" s="76" t="n">
        <v>250</v>
      </c>
      <c r="D255" s="78" t="s">
        <v>788</v>
      </c>
      <c r="E255" s="78" t="s">
        <v>714</v>
      </c>
      <c r="F255" s="78" t="s">
        <v>508</v>
      </c>
      <c r="G255" s="79" t="n">
        <v>34.5</v>
      </c>
      <c r="H255" s="80" t="n">
        <v>8.308</v>
      </c>
      <c r="I255" s="80" t="n">
        <v>184</v>
      </c>
      <c r="J255" s="80" t="n">
        <v>184</v>
      </c>
      <c r="K255" s="80" t="n">
        <v>184</v>
      </c>
      <c r="L255" s="81" t="s">
        <v>198</v>
      </c>
      <c r="M255" s="80" t="n">
        <v>0.83065719788156</v>
      </c>
      <c r="N255" s="80" t="n">
        <v>0.449891670678864</v>
      </c>
      <c r="O255" s="80" t="n">
        <v>3.83647087144921</v>
      </c>
      <c r="P255" s="80" t="n">
        <v>1.16555127587867</v>
      </c>
      <c r="Q255" s="80" t="n">
        <v>1.92814155031295</v>
      </c>
      <c r="R255" s="80" t="n">
        <v>1.6264805007222</v>
      </c>
      <c r="S255" s="81" t="s">
        <v>233</v>
      </c>
      <c r="T255" s="81" t="s">
        <v>200</v>
      </c>
      <c r="U255" s="81" t="s">
        <v>201</v>
      </c>
      <c r="V255" s="82"/>
      <c r="W255" s="81" t="s">
        <v>380</v>
      </c>
      <c r="X255" s="81" t="n">
        <v>0.748774509784519</v>
      </c>
      <c r="Y255" s="81" t="n">
        <v>25.4583333326736</v>
      </c>
      <c r="Z255" s="81" t="n">
        <v>34</v>
      </c>
      <c r="AA255" s="81" t="s">
        <v>211</v>
      </c>
      <c r="AB255" s="73" t="s">
        <v>47</v>
      </c>
      <c r="AC255" s="83"/>
    </row>
    <row r="256" customFormat="false" ht="15" hidden="false" customHeight="false" outlineLevel="0" collapsed="false">
      <c r="C256" s="69" t="n">
        <v>251</v>
      </c>
      <c r="D256" s="78" t="s">
        <v>789</v>
      </c>
      <c r="E256" s="78" t="s">
        <v>790</v>
      </c>
      <c r="F256" s="78" t="s">
        <v>691</v>
      </c>
      <c r="G256" s="79" t="n">
        <v>34.5</v>
      </c>
      <c r="H256" s="80" t="n">
        <v>3.1087</v>
      </c>
      <c r="I256" s="80" t="n">
        <v>275</v>
      </c>
      <c r="J256" s="80" t="n">
        <v>167.75</v>
      </c>
      <c r="K256" s="80" t="n">
        <v>275</v>
      </c>
      <c r="L256" s="81" t="s">
        <v>239</v>
      </c>
      <c r="M256" s="80" t="n">
        <v>0.415125293531058</v>
      </c>
      <c r="N256" s="80" t="n">
        <v>0.423714092707563</v>
      </c>
      <c r="O256" s="80" t="n">
        <v>4.09981664361309</v>
      </c>
      <c r="P256" s="80" t="n">
        <v>0.749991958053206</v>
      </c>
      <c r="Q256" s="80" t="n">
        <v>1.9019525846817</v>
      </c>
      <c r="R256" s="80" t="n">
        <v>1.67195290635957</v>
      </c>
      <c r="S256" s="81" t="s">
        <v>233</v>
      </c>
      <c r="T256" s="81" t="s">
        <v>200</v>
      </c>
      <c r="U256" s="81" t="s">
        <v>201</v>
      </c>
      <c r="V256" s="82"/>
      <c r="W256" s="81" t="s">
        <v>360</v>
      </c>
      <c r="X256" s="81" t="n">
        <v>0.880025252519937</v>
      </c>
      <c r="Y256" s="81" t="n">
        <v>9.68027777771931</v>
      </c>
      <c r="Z256" s="81" t="n">
        <v>11</v>
      </c>
      <c r="AA256" s="81" t="s">
        <v>211</v>
      </c>
      <c r="AB256" s="73" t="s">
        <v>47</v>
      </c>
      <c r="AC256" s="83"/>
    </row>
    <row r="257" customFormat="false" ht="15" hidden="false" customHeight="false" outlineLevel="0" collapsed="false">
      <c r="C257" s="76" t="n">
        <v>252</v>
      </c>
      <c r="D257" s="78" t="s">
        <v>791</v>
      </c>
      <c r="E257" s="78" t="s">
        <v>532</v>
      </c>
      <c r="F257" s="78" t="s">
        <v>792</v>
      </c>
      <c r="G257" s="79" t="n">
        <v>34.5</v>
      </c>
      <c r="H257" s="80" t="n">
        <v>0.815</v>
      </c>
      <c r="I257" s="80" t="n">
        <v>458</v>
      </c>
      <c r="J257" s="80" t="n">
        <v>458</v>
      </c>
      <c r="K257" s="80" t="n">
        <v>458</v>
      </c>
      <c r="L257" s="81" t="s">
        <v>198</v>
      </c>
      <c r="M257" s="80" t="n">
        <v>0.209570552147239</v>
      </c>
      <c r="N257" s="80" t="n">
        <v>0.378895705521472</v>
      </c>
      <c r="O257" s="80" t="n">
        <v>4.41435582822086</v>
      </c>
      <c r="P257" s="80" t="n">
        <v>0.544539877300614</v>
      </c>
      <c r="Q257" s="80" t="n">
        <v>1.85705521472393</v>
      </c>
      <c r="R257" s="80" t="n">
        <v>1.72196319018405</v>
      </c>
      <c r="S257" s="81" t="s">
        <v>233</v>
      </c>
      <c r="T257" s="81" t="s">
        <v>200</v>
      </c>
      <c r="U257" s="81" t="s">
        <v>201</v>
      </c>
      <c r="V257" s="82"/>
      <c r="W257" s="81" t="s">
        <v>234</v>
      </c>
      <c r="X257" s="81" t="n">
        <v>0.355454545473384</v>
      </c>
      <c r="Y257" s="81" t="n">
        <v>15.6400000008289</v>
      </c>
      <c r="Z257" s="81" t="n">
        <v>44</v>
      </c>
      <c r="AA257" s="81" t="s">
        <v>211</v>
      </c>
      <c r="AB257" s="73" t="s">
        <v>47</v>
      </c>
      <c r="AC257" s="83"/>
    </row>
    <row r="258" customFormat="false" ht="15" hidden="false" customHeight="false" outlineLevel="0" collapsed="false">
      <c r="C258" s="76" t="n">
        <v>253</v>
      </c>
      <c r="D258" s="78" t="s">
        <v>793</v>
      </c>
      <c r="E258" s="78" t="s">
        <v>794</v>
      </c>
      <c r="F258" s="78" t="s">
        <v>650</v>
      </c>
      <c r="G258" s="79" t="n">
        <v>34.5</v>
      </c>
      <c r="H258" s="80" t="n">
        <v>0.85</v>
      </c>
      <c r="I258" s="80" t="n">
        <v>465</v>
      </c>
      <c r="J258" s="80" t="n">
        <v>465</v>
      </c>
      <c r="K258" s="80" t="n">
        <v>465</v>
      </c>
      <c r="L258" s="81" t="s">
        <v>198</v>
      </c>
      <c r="M258" s="80" t="n">
        <v>0.0908235294117647</v>
      </c>
      <c r="N258" s="80" t="n">
        <v>0.137764705882353</v>
      </c>
      <c r="O258" s="80" t="n">
        <v>95.3236470588235</v>
      </c>
      <c r="P258" s="80" t="n">
        <v>0.144470588235294</v>
      </c>
      <c r="Q258" s="80" t="n">
        <v>0.35</v>
      </c>
      <c r="R258" s="80" t="n">
        <v>95.3236470588235</v>
      </c>
      <c r="S258" s="81" t="s">
        <v>233</v>
      </c>
      <c r="T258" s="81" t="s">
        <v>200</v>
      </c>
      <c r="U258" s="81" t="s">
        <v>201</v>
      </c>
      <c r="V258" s="82"/>
      <c r="W258" s="81" t="s">
        <v>240</v>
      </c>
      <c r="X258" s="81" t="n">
        <v>4.78076388890622</v>
      </c>
      <c r="Y258" s="81" t="n">
        <v>19.1230555556249</v>
      </c>
      <c r="Z258" s="81" t="n">
        <v>4</v>
      </c>
      <c r="AA258" s="81" t="s">
        <v>211</v>
      </c>
      <c r="AB258" s="73" t="s">
        <v>47</v>
      </c>
      <c r="AC258" s="83"/>
    </row>
    <row r="259" customFormat="false" ht="15" hidden="false" customHeight="false" outlineLevel="0" collapsed="false">
      <c r="C259" s="69" t="n">
        <v>254</v>
      </c>
      <c r="D259" s="78" t="s">
        <v>795</v>
      </c>
      <c r="E259" s="78" t="s">
        <v>796</v>
      </c>
      <c r="F259" s="78" t="s">
        <v>773</v>
      </c>
      <c r="G259" s="79" t="n">
        <v>34.5</v>
      </c>
      <c r="H259" s="80" t="n">
        <v>3.65</v>
      </c>
      <c r="I259" s="80" t="n">
        <v>458</v>
      </c>
      <c r="J259" s="80" t="n">
        <v>458</v>
      </c>
      <c r="K259" s="80" t="n">
        <v>458</v>
      </c>
      <c r="L259" s="81" t="s">
        <v>198</v>
      </c>
      <c r="M259" s="80" t="n">
        <v>0.209616438356164</v>
      </c>
      <c r="N259" s="80" t="n">
        <v>0.378849315068493</v>
      </c>
      <c r="O259" s="80" t="n">
        <v>4.41432876712329</v>
      </c>
      <c r="P259" s="80" t="n">
        <v>0.544493150684932</v>
      </c>
      <c r="Q259" s="80" t="n">
        <v>1.85709589041096</v>
      </c>
      <c r="R259" s="80" t="n">
        <v>1.7218904109589</v>
      </c>
      <c r="S259" s="81" t="s">
        <v>233</v>
      </c>
      <c r="T259" s="81" t="s">
        <v>200</v>
      </c>
      <c r="U259" s="81" t="s">
        <v>201</v>
      </c>
      <c r="V259" s="82"/>
      <c r="W259" s="81" t="s">
        <v>234</v>
      </c>
      <c r="X259" s="81" t="n">
        <v>0.305277777719311</v>
      </c>
      <c r="Y259" s="81" t="n">
        <v>0.610555555438623</v>
      </c>
      <c r="Z259" s="81" t="n">
        <v>2</v>
      </c>
      <c r="AA259" s="81" t="s">
        <v>211</v>
      </c>
      <c r="AB259" s="73" t="s">
        <v>47</v>
      </c>
      <c r="AC259" s="83"/>
    </row>
    <row r="260" customFormat="false" ht="15" hidden="false" customHeight="false" outlineLevel="0" collapsed="false">
      <c r="C260" s="76" t="n">
        <v>255</v>
      </c>
      <c r="D260" s="78" t="s">
        <v>797</v>
      </c>
      <c r="E260" s="78" t="s">
        <v>798</v>
      </c>
      <c r="F260" s="78" t="s">
        <v>515</v>
      </c>
      <c r="G260" s="79" t="n">
        <v>34.5</v>
      </c>
      <c r="H260" s="80" t="n">
        <v>1.6035</v>
      </c>
      <c r="I260" s="80" t="n">
        <v>355</v>
      </c>
      <c r="J260" s="80" t="n">
        <v>355</v>
      </c>
      <c r="K260" s="80" t="n">
        <v>355</v>
      </c>
      <c r="L260" s="81" t="s">
        <v>198</v>
      </c>
      <c r="M260" s="80" t="n">
        <v>0.261615216713439</v>
      </c>
      <c r="N260" s="80" t="n">
        <v>0.406049267227939</v>
      </c>
      <c r="O260" s="80" t="n">
        <v>4.29610227627066</v>
      </c>
      <c r="P260" s="80" t="n">
        <v>0.59650763953851</v>
      </c>
      <c r="Q260" s="80" t="n">
        <v>1.88431555971313</v>
      </c>
      <c r="R260" s="80" t="n">
        <v>1.70364826941066</v>
      </c>
      <c r="S260" s="81" t="s">
        <v>233</v>
      </c>
      <c r="T260" s="81" t="s">
        <v>200</v>
      </c>
      <c r="U260" s="81" t="s">
        <v>201</v>
      </c>
      <c r="V260" s="82"/>
      <c r="W260" s="81" t="s">
        <v>301</v>
      </c>
      <c r="X260" s="81" t="n">
        <v>0</v>
      </c>
      <c r="Y260" s="81" t="n">
        <v>0</v>
      </c>
      <c r="Z260" s="81" t="n">
        <v>0</v>
      </c>
      <c r="AA260" s="81" t="s">
        <v>211</v>
      </c>
      <c r="AB260" s="73" t="s">
        <v>47</v>
      </c>
      <c r="AC260" s="83"/>
    </row>
    <row r="261" customFormat="false" ht="15" hidden="false" customHeight="false" outlineLevel="0" collapsed="false">
      <c r="C261" s="76" t="n">
        <v>256</v>
      </c>
      <c r="D261" s="78" t="s">
        <v>799</v>
      </c>
      <c r="E261" s="78" t="s">
        <v>800</v>
      </c>
      <c r="F261" s="78" t="s">
        <v>600</v>
      </c>
      <c r="G261" s="79" t="n">
        <v>34.5</v>
      </c>
      <c r="H261" s="80" t="n">
        <v>12.343</v>
      </c>
      <c r="I261" s="80" t="n">
        <v>458</v>
      </c>
      <c r="J261" s="80" t="n">
        <v>380.14</v>
      </c>
      <c r="K261" s="80" t="n">
        <v>458</v>
      </c>
      <c r="L261" s="81" t="s">
        <v>239</v>
      </c>
      <c r="M261" s="80" t="n">
        <v>0.209608685084663</v>
      </c>
      <c r="N261" s="80" t="n">
        <v>0.378838207891112</v>
      </c>
      <c r="O261" s="80" t="n">
        <v>4.41433201004618</v>
      </c>
      <c r="P261" s="80" t="n">
        <v>0.5445029571417</v>
      </c>
      <c r="Q261" s="80" t="n">
        <v>1.85708498744228</v>
      </c>
      <c r="R261" s="80" t="n">
        <v>1.7218990520943</v>
      </c>
      <c r="S261" s="81" t="s">
        <v>233</v>
      </c>
      <c r="T261" s="81" t="s">
        <v>200</v>
      </c>
      <c r="U261" s="81" t="s">
        <v>201</v>
      </c>
      <c r="V261" s="82"/>
      <c r="W261" s="81" t="s">
        <v>234</v>
      </c>
      <c r="X261" s="81" t="n">
        <v>1.24107026145023</v>
      </c>
      <c r="Y261" s="81" t="n">
        <v>84.3927777786157</v>
      </c>
      <c r="Z261" s="81" t="n">
        <v>68</v>
      </c>
      <c r="AA261" s="81" t="s">
        <v>211</v>
      </c>
      <c r="AB261" s="73" t="s">
        <v>47</v>
      </c>
      <c r="AC261" s="83"/>
    </row>
    <row r="262" customFormat="false" ht="15" hidden="false" customHeight="false" outlineLevel="0" collapsed="false">
      <c r="C262" s="69" t="n">
        <v>257</v>
      </c>
      <c r="D262" s="78" t="s">
        <v>801</v>
      </c>
      <c r="E262" s="78" t="s">
        <v>515</v>
      </c>
      <c r="F262" s="78" t="s">
        <v>519</v>
      </c>
      <c r="G262" s="79" t="n">
        <v>34.5</v>
      </c>
      <c r="H262" s="80" t="n">
        <v>2.8</v>
      </c>
      <c r="I262" s="80" t="n">
        <v>458</v>
      </c>
      <c r="J262" s="80" t="n">
        <v>458</v>
      </c>
      <c r="K262" s="80" t="n">
        <v>458</v>
      </c>
      <c r="L262" s="81" t="s">
        <v>198</v>
      </c>
      <c r="M262" s="80" t="n">
        <v>0.209607142857143</v>
      </c>
      <c r="N262" s="80" t="n">
        <v>0.378821428571429</v>
      </c>
      <c r="O262" s="80" t="n">
        <v>4.41432142857143</v>
      </c>
      <c r="P262" s="80" t="n">
        <v>0.5445</v>
      </c>
      <c r="Q262" s="80" t="n">
        <v>1.85707142857143</v>
      </c>
      <c r="R262" s="80" t="n">
        <v>1.72189285714286</v>
      </c>
      <c r="S262" s="81" t="s">
        <v>233</v>
      </c>
      <c r="T262" s="81" t="s">
        <v>200</v>
      </c>
      <c r="U262" s="81" t="s">
        <v>201</v>
      </c>
      <c r="V262" s="82"/>
      <c r="W262" s="81" t="s">
        <v>234</v>
      </c>
      <c r="X262" s="81" t="n">
        <v>0</v>
      </c>
      <c r="Y262" s="81" t="n">
        <v>0</v>
      </c>
      <c r="Z262" s="81" t="n">
        <v>0</v>
      </c>
      <c r="AA262" s="81" t="s">
        <v>211</v>
      </c>
      <c r="AB262" s="73" t="s">
        <v>47</v>
      </c>
      <c r="AC262" s="83"/>
    </row>
    <row r="263" customFormat="false" ht="15" hidden="false" customHeight="false" outlineLevel="0" collapsed="false">
      <c r="C263" s="76" t="n">
        <v>258</v>
      </c>
      <c r="D263" s="78" t="s">
        <v>802</v>
      </c>
      <c r="E263" s="78" t="s">
        <v>513</v>
      </c>
      <c r="F263" s="78" t="s">
        <v>803</v>
      </c>
      <c r="G263" s="79" t="n">
        <v>34.5</v>
      </c>
      <c r="H263" s="80" t="n">
        <v>4.65</v>
      </c>
      <c r="I263" s="80" t="n">
        <v>458</v>
      </c>
      <c r="J263" s="80" t="n">
        <v>439.68</v>
      </c>
      <c r="K263" s="80" t="n">
        <v>458</v>
      </c>
      <c r="L263" s="81" t="s">
        <v>239</v>
      </c>
      <c r="M263" s="80" t="n">
        <v>0.209612903225806</v>
      </c>
      <c r="N263" s="80" t="n">
        <v>0.378838709677419</v>
      </c>
      <c r="O263" s="80" t="n">
        <v>4.41434408602151</v>
      </c>
      <c r="P263" s="80" t="n">
        <v>0.544494623655914</v>
      </c>
      <c r="Q263" s="80" t="n">
        <v>1.85709677419355</v>
      </c>
      <c r="R263" s="80" t="n">
        <v>1.72189247311828</v>
      </c>
      <c r="S263" s="81" t="s">
        <v>233</v>
      </c>
      <c r="T263" s="81" t="s">
        <v>200</v>
      </c>
      <c r="U263" s="81" t="s">
        <v>201</v>
      </c>
      <c r="V263" s="82"/>
      <c r="W263" s="81" t="s">
        <v>234</v>
      </c>
      <c r="X263" s="81" t="n">
        <v>1.24107026145023</v>
      </c>
      <c r="Y263" s="81" t="n">
        <v>84.3927777786157</v>
      </c>
      <c r="Z263" s="81" t="n">
        <v>68</v>
      </c>
      <c r="AA263" s="81" t="s">
        <v>211</v>
      </c>
      <c r="AB263" s="73" t="s">
        <v>47</v>
      </c>
      <c r="AC263" s="83"/>
    </row>
    <row r="264" customFormat="false" ht="15" hidden="false" customHeight="false" outlineLevel="0" collapsed="false">
      <c r="C264" s="76" t="n">
        <v>259</v>
      </c>
      <c r="D264" s="78" t="s">
        <v>804</v>
      </c>
      <c r="E264" s="78" t="s">
        <v>803</v>
      </c>
      <c r="F264" s="78" t="s">
        <v>315</v>
      </c>
      <c r="G264" s="79" t="n">
        <v>34.5</v>
      </c>
      <c r="H264" s="80" t="n">
        <v>2.8</v>
      </c>
      <c r="I264" s="80" t="n">
        <v>458</v>
      </c>
      <c r="J264" s="80" t="n">
        <v>458</v>
      </c>
      <c r="K264" s="80" t="n">
        <v>458</v>
      </c>
      <c r="L264" s="81" t="s">
        <v>198</v>
      </c>
      <c r="M264" s="80" t="n">
        <v>0.209607142857143</v>
      </c>
      <c r="N264" s="80" t="n">
        <v>0.378821428571429</v>
      </c>
      <c r="O264" s="80" t="n">
        <v>4.41432142857143</v>
      </c>
      <c r="P264" s="80" t="n">
        <v>0.5445</v>
      </c>
      <c r="Q264" s="80" t="n">
        <v>1.85707142857143</v>
      </c>
      <c r="R264" s="80" t="n">
        <v>1.72189285714286</v>
      </c>
      <c r="S264" s="81" t="s">
        <v>233</v>
      </c>
      <c r="T264" s="81" t="s">
        <v>200</v>
      </c>
      <c r="U264" s="81" t="s">
        <v>201</v>
      </c>
      <c r="V264" s="82"/>
      <c r="W264" s="81" t="s">
        <v>234</v>
      </c>
      <c r="X264" s="81" t="n">
        <v>1.24107026145023</v>
      </c>
      <c r="Y264" s="81" t="n">
        <v>84.3927777786157</v>
      </c>
      <c r="Z264" s="81" t="n">
        <v>68</v>
      </c>
      <c r="AA264" s="81" t="s">
        <v>211</v>
      </c>
      <c r="AB264" s="73" t="s">
        <v>47</v>
      </c>
      <c r="AC264" s="83"/>
    </row>
    <row r="265" customFormat="false" ht="15" hidden="false" customHeight="false" outlineLevel="0" collapsed="false">
      <c r="C265" s="69" t="n">
        <v>260</v>
      </c>
      <c r="D265" s="78" t="s">
        <v>805</v>
      </c>
      <c r="E265" s="78" t="s">
        <v>806</v>
      </c>
      <c r="F265" s="78" t="s">
        <v>807</v>
      </c>
      <c r="G265" s="79" t="n">
        <v>34.5</v>
      </c>
      <c r="H265" s="80" t="n">
        <v>14.75</v>
      </c>
      <c r="I265" s="80" t="n">
        <v>458</v>
      </c>
      <c r="J265" s="80" t="n">
        <v>149.766</v>
      </c>
      <c r="K265" s="80" t="n">
        <v>458</v>
      </c>
      <c r="L265" s="81" t="s">
        <v>239</v>
      </c>
      <c r="M265" s="80" t="n">
        <v>0.209606779661017</v>
      </c>
      <c r="N265" s="80" t="n">
        <v>0.378840677966102</v>
      </c>
      <c r="O265" s="80" t="n">
        <v>4.41433220338983</v>
      </c>
      <c r="P265" s="80" t="n">
        <v>0.544501694915254</v>
      </c>
      <c r="Q265" s="80" t="n">
        <v>1.85708474576271</v>
      </c>
      <c r="R265" s="80" t="n">
        <v>1.72190508474576</v>
      </c>
      <c r="S265" s="81" t="s">
        <v>233</v>
      </c>
      <c r="T265" s="81" t="s">
        <v>200</v>
      </c>
      <c r="U265" s="81" t="s">
        <v>201</v>
      </c>
      <c r="V265" s="82"/>
      <c r="W265" s="81" t="s">
        <v>234</v>
      </c>
      <c r="X265" s="81" t="n">
        <v>0</v>
      </c>
      <c r="Y265" s="81" t="n">
        <v>0</v>
      </c>
      <c r="Z265" s="81" t="n">
        <v>0</v>
      </c>
      <c r="AA265" s="81" t="s">
        <v>211</v>
      </c>
      <c r="AB265" s="73" t="s">
        <v>47</v>
      </c>
      <c r="AC265" s="83"/>
    </row>
    <row r="266" customFormat="false" ht="15" hidden="false" customHeight="false" outlineLevel="0" collapsed="false">
      <c r="C266" s="76" t="n">
        <v>261</v>
      </c>
      <c r="D266" s="78" t="s">
        <v>808</v>
      </c>
      <c r="E266" s="78" t="s">
        <v>796</v>
      </c>
      <c r="F266" s="78" t="s">
        <v>705</v>
      </c>
      <c r="G266" s="79" t="n">
        <v>34.5</v>
      </c>
      <c r="H266" s="80" t="n">
        <v>4.1</v>
      </c>
      <c r="I266" s="80" t="n">
        <v>458</v>
      </c>
      <c r="J266" s="80" t="n">
        <v>458</v>
      </c>
      <c r="K266" s="80" t="n">
        <v>458</v>
      </c>
      <c r="L266" s="81" t="s">
        <v>198</v>
      </c>
      <c r="M266" s="80" t="n">
        <v>0.209609756097561</v>
      </c>
      <c r="N266" s="80" t="n">
        <v>0.378829268292683</v>
      </c>
      <c r="O266" s="80" t="n">
        <v>4.41434146341464</v>
      </c>
      <c r="P266" s="80" t="n">
        <v>0.544487804878049</v>
      </c>
      <c r="Q266" s="80" t="n">
        <v>1.85709756097561</v>
      </c>
      <c r="R266" s="80" t="n">
        <v>1.72190243902439</v>
      </c>
      <c r="S266" s="81" t="s">
        <v>233</v>
      </c>
      <c r="T266" s="81" t="s">
        <v>200</v>
      </c>
      <c r="U266" s="81" t="s">
        <v>201</v>
      </c>
      <c r="V266" s="82"/>
      <c r="W266" s="81" t="s">
        <v>234</v>
      </c>
      <c r="X266" s="81" t="n">
        <v>2.3504861110705</v>
      </c>
      <c r="Y266" s="81" t="n">
        <v>9.40194444428198</v>
      </c>
      <c r="Z266" s="81" t="n">
        <v>4</v>
      </c>
      <c r="AA266" s="81" t="s">
        <v>211</v>
      </c>
      <c r="AB266" s="73" t="s">
        <v>47</v>
      </c>
      <c r="AC266" s="83"/>
    </row>
    <row r="267" customFormat="false" ht="15" hidden="false" customHeight="false" outlineLevel="0" collapsed="false">
      <c r="C267" s="76" t="n">
        <v>262</v>
      </c>
      <c r="D267" s="78" t="s">
        <v>809</v>
      </c>
      <c r="E267" s="78" t="s">
        <v>810</v>
      </c>
      <c r="F267" s="78" t="s">
        <v>295</v>
      </c>
      <c r="G267" s="79" t="n">
        <v>34.5</v>
      </c>
      <c r="H267" s="80" t="n">
        <v>1.57</v>
      </c>
      <c r="I267" s="80" t="n">
        <v>458</v>
      </c>
      <c r="J267" s="80" t="n">
        <v>458</v>
      </c>
      <c r="K267" s="80" t="n">
        <v>458</v>
      </c>
      <c r="L267" s="81" t="s">
        <v>198</v>
      </c>
      <c r="M267" s="80" t="n">
        <v>0.209617834394904</v>
      </c>
      <c r="N267" s="80" t="n">
        <v>0.378853503184713</v>
      </c>
      <c r="O267" s="80" t="n">
        <v>4.41433121019108</v>
      </c>
      <c r="P267" s="80" t="n">
        <v>0.544522292993631</v>
      </c>
      <c r="Q267" s="80" t="n">
        <v>1.85707006369427</v>
      </c>
      <c r="R267" s="80" t="n">
        <v>1.72191082802548</v>
      </c>
      <c r="S267" s="81" t="s">
        <v>233</v>
      </c>
      <c r="T267" s="81" t="s">
        <v>200</v>
      </c>
      <c r="U267" s="81" t="s">
        <v>201</v>
      </c>
      <c r="V267" s="82"/>
      <c r="W267" s="81" t="s">
        <v>234</v>
      </c>
      <c r="X267" s="81" t="n">
        <v>0.907076271185237</v>
      </c>
      <c r="Y267" s="81" t="n">
        <v>107.034999999858</v>
      </c>
      <c r="Z267" s="81" t="n">
        <v>118</v>
      </c>
      <c r="AA267" s="81" t="s">
        <v>211</v>
      </c>
      <c r="AB267" s="73" t="s">
        <v>47</v>
      </c>
      <c r="AC267" s="83"/>
    </row>
    <row r="268" customFormat="false" ht="15" hidden="false" customHeight="false" outlineLevel="0" collapsed="false">
      <c r="C268" s="69" t="n">
        <v>263</v>
      </c>
      <c r="D268" s="78" t="s">
        <v>811</v>
      </c>
      <c r="E268" s="78" t="s">
        <v>794</v>
      </c>
      <c r="F268" s="78" t="s">
        <v>519</v>
      </c>
      <c r="G268" s="79" t="n">
        <v>34.5</v>
      </c>
      <c r="H268" s="80" t="n">
        <v>4.24</v>
      </c>
      <c r="I268" s="80" t="n">
        <v>458</v>
      </c>
      <c r="J268" s="80" t="n">
        <v>458</v>
      </c>
      <c r="K268" s="80" t="n">
        <v>458</v>
      </c>
      <c r="L268" s="81" t="s">
        <v>198</v>
      </c>
      <c r="M268" s="80" t="n">
        <v>0.209599056603774</v>
      </c>
      <c r="N268" s="80" t="n">
        <v>0.378844339622642</v>
      </c>
      <c r="O268" s="80" t="n">
        <v>4.41433962264151</v>
      </c>
      <c r="P268" s="80" t="n">
        <v>0.544504716981132</v>
      </c>
      <c r="Q268" s="80" t="n">
        <v>1.85709905660377</v>
      </c>
      <c r="R268" s="80" t="n">
        <v>1.72191037735849</v>
      </c>
      <c r="S268" s="81" t="s">
        <v>233</v>
      </c>
      <c r="T268" s="81" t="s">
        <v>200</v>
      </c>
      <c r="U268" s="81" t="s">
        <v>201</v>
      </c>
      <c r="V268" s="82"/>
      <c r="W268" s="81" t="s">
        <v>234</v>
      </c>
      <c r="X268" s="81" t="n">
        <v>4.78076388890622</v>
      </c>
      <c r="Y268" s="81" t="n">
        <v>19.1230555556249</v>
      </c>
      <c r="Z268" s="81" t="n">
        <v>4</v>
      </c>
      <c r="AA268" s="81" t="s">
        <v>211</v>
      </c>
      <c r="AB268" s="73" t="s">
        <v>47</v>
      </c>
      <c r="AC268" s="83"/>
    </row>
    <row r="269" customFormat="false" ht="15" hidden="false" customHeight="false" outlineLevel="0" collapsed="false">
      <c r="C269" s="76" t="n">
        <v>264</v>
      </c>
      <c r="D269" s="78" t="s">
        <v>812</v>
      </c>
      <c r="E269" s="78" t="s">
        <v>765</v>
      </c>
      <c r="F269" s="78" t="s">
        <v>727</v>
      </c>
      <c r="G269" s="79" t="n">
        <v>34.5</v>
      </c>
      <c r="H269" s="80" t="n">
        <v>0.2155</v>
      </c>
      <c r="I269" s="80" t="n">
        <v>355</v>
      </c>
      <c r="J269" s="80" t="n">
        <v>355</v>
      </c>
      <c r="K269" s="80" t="n">
        <v>355</v>
      </c>
      <c r="L269" s="81" t="s">
        <v>198</v>
      </c>
      <c r="M269" s="80" t="n">
        <v>0.261716937354988</v>
      </c>
      <c r="N269" s="80" t="n">
        <v>0.406032482598608</v>
      </c>
      <c r="O269" s="80" t="n">
        <v>4.29605568445476</v>
      </c>
      <c r="P269" s="80" t="n">
        <v>0.596287703016241</v>
      </c>
      <c r="Q269" s="80" t="n">
        <v>1.88445475638051</v>
      </c>
      <c r="R269" s="80" t="n">
        <v>1.70348027842227</v>
      </c>
      <c r="S269" s="81" t="s">
        <v>233</v>
      </c>
      <c r="T269" s="81" t="s">
        <v>200</v>
      </c>
      <c r="U269" s="81" t="s">
        <v>201</v>
      </c>
      <c r="V269" s="82"/>
      <c r="W269" s="81" t="s">
        <v>301</v>
      </c>
      <c r="X269" s="81" t="n">
        <v>5.85698412695534</v>
      </c>
      <c r="Y269" s="81" t="n">
        <v>40.9988888886874</v>
      </c>
      <c r="Z269" s="81" t="n">
        <v>7</v>
      </c>
      <c r="AA269" s="81" t="s">
        <v>211</v>
      </c>
      <c r="AB269" s="73" t="s">
        <v>47</v>
      </c>
      <c r="AC269" s="83"/>
    </row>
    <row r="270" customFormat="false" ht="15" hidden="false" customHeight="false" outlineLevel="0" collapsed="false">
      <c r="C270" s="76" t="n">
        <v>265</v>
      </c>
      <c r="D270" s="78" t="s">
        <v>533</v>
      </c>
      <c r="E270" s="78" t="s">
        <v>316</v>
      </c>
      <c r="F270" s="78" t="s">
        <v>813</v>
      </c>
      <c r="G270" s="79" t="n">
        <v>34.5</v>
      </c>
      <c r="H270" s="80" t="n">
        <v>0.453</v>
      </c>
      <c r="I270" s="80" t="n">
        <v>458</v>
      </c>
      <c r="J270" s="80" t="n">
        <v>458</v>
      </c>
      <c r="K270" s="80" t="n">
        <v>458</v>
      </c>
      <c r="L270" s="81" t="s">
        <v>198</v>
      </c>
      <c r="M270" s="80" t="n">
        <v>0.209713024282561</v>
      </c>
      <c r="N270" s="80" t="n">
        <v>0.378807947019868</v>
      </c>
      <c r="O270" s="80" t="n">
        <v>4.41434878587196</v>
      </c>
      <c r="P270" s="80" t="n">
        <v>0.544591611479029</v>
      </c>
      <c r="Q270" s="80" t="n">
        <v>1.85717439293598</v>
      </c>
      <c r="R270" s="80" t="n">
        <v>1.72185430463576</v>
      </c>
      <c r="S270" s="81" t="s">
        <v>233</v>
      </c>
      <c r="T270" s="81" t="s">
        <v>200</v>
      </c>
      <c r="U270" s="81" t="s">
        <v>201</v>
      </c>
      <c r="V270" s="82"/>
      <c r="W270" s="81" t="s">
        <v>234</v>
      </c>
      <c r="X270" s="81" t="n">
        <v>1.24107026145023</v>
      </c>
      <c r="Y270" s="81" t="n">
        <v>84.3927777786157</v>
      </c>
      <c r="Z270" s="81" t="n">
        <v>68</v>
      </c>
      <c r="AA270" s="81" t="s">
        <v>211</v>
      </c>
      <c r="AB270" s="73" t="s">
        <v>47</v>
      </c>
      <c r="AC270" s="83"/>
    </row>
    <row r="271" customFormat="false" ht="15" hidden="false" customHeight="false" outlineLevel="0" collapsed="false">
      <c r="C271" s="69" t="n">
        <v>266</v>
      </c>
      <c r="D271" s="78" t="s">
        <v>740</v>
      </c>
      <c r="E271" s="78" t="s">
        <v>668</v>
      </c>
      <c r="F271" s="78" t="n">
        <v>0</v>
      </c>
      <c r="G271" s="79" t="n">
        <v>34.5</v>
      </c>
      <c r="H271" s="80" t="n">
        <v>0.2447</v>
      </c>
      <c r="I271" s="80" t="n">
        <v>275</v>
      </c>
      <c r="J271" s="80" t="n">
        <v>275</v>
      </c>
      <c r="K271" s="80" t="n">
        <v>275</v>
      </c>
      <c r="L271" s="81" t="s">
        <v>198</v>
      </c>
      <c r="M271" s="80" t="n">
        <v>0.415202288516551</v>
      </c>
      <c r="N271" s="80" t="n">
        <v>0.423784225582346</v>
      </c>
      <c r="O271" s="80" t="n">
        <v>4.09971393543114</v>
      </c>
      <c r="P271" s="80" t="n">
        <v>0.74989783408255</v>
      </c>
      <c r="Q271" s="80" t="n">
        <v>1.90192071924806</v>
      </c>
      <c r="R271" s="80" t="n">
        <v>1.6718430731508</v>
      </c>
      <c r="S271" s="81" t="s">
        <v>233</v>
      </c>
      <c r="T271" s="81" t="s">
        <v>200</v>
      </c>
      <c r="U271" s="81" t="s">
        <v>201</v>
      </c>
      <c r="V271" s="82"/>
      <c r="W271" s="81" t="s">
        <v>360</v>
      </c>
      <c r="X271" s="81" t="n">
        <v>0.617457627153056</v>
      </c>
      <c r="Y271" s="81" t="n">
        <v>36.4300000020303</v>
      </c>
      <c r="Z271" s="81" t="n">
        <v>59</v>
      </c>
      <c r="AA271" s="81" t="s">
        <v>211</v>
      </c>
      <c r="AB271" s="73" t="s">
        <v>47</v>
      </c>
      <c r="AC271" s="83"/>
    </row>
    <row r="272" customFormat="false" ht="15" hidden="false" customHeight="false" outlineLevel="0" collapsed="false">
      <c r="C272" s="76" t="n">
        <v>267</v>
      </c>
      <c r="D272" s="78" t="s">
        <v>781</v>
      </c>
      <c r="E272" s="78" t="s">
        <v>669</v>
      </c>
      <c r="F272" s="78" t="s">
        <v>814</v>
      </c>
      <c r="G272" s="79" t="n">
        <v>34.5</v>
      </c>
      <c r="H272" s="80" t="n">
        <v>6.7296</v>
      </c>
      <c r="I272" s="80" t="n">
        <v>275</v>
      </c>
      <c r="J272" s="80" t="n">
        <v>275</v>
      </c>
      <c r="K272" s="80" t="n">
        <v>275</v>
      </c>
      <c r="L272" s="81" t="s">
        <v>198</v>
      </c>
      <c r="M272" s="80" t="n">
        <v>0.415106395625297</v>
      </c>
      <c r="N272" s="80" t="n">
        <v>0.423710175939135</v>
      </c>
      <c r="O272" s="80" t="n">
        <v>4.09982762719924</v>
      </c>
      <c r="P272" s="80" t="n">
        <v>0.75</v>
      </c>
      <c r="Q272" s="80" t="n">
        <v>1.90195553970518</v>
      </c>
      <c r="R272" s="80" t="n">
        <v>1.67195672848312</v>
      </c>
      <c r="S272" s="81" t="s">
        <v>233</v>
      </c>
      <c r="T272" s="81" t="s">
        <v>200</v>
      </c>
      <c r="U272" s="81" t="s">
        <v>201</v>
      </c>
      <c r="V272" s="82"/>
      <c r="W272" s="81" t="s">
        <v>360</v>
      </c>
      <c r="X272" s="81" t="n">
        <v>0.617457627153056</v>
      </c>
      <c r="Y272" s="81" t="n">
        <v>36.4300000020303</v>
      </c>
      <c r="Z272" s="81" t="n">
        <v>59</v>
      </c>
      <c r="AA272" s="81" t="s">
        <v>211</v>
      </c>
      <c r="AB272" s="73" t="s">
        <v>47</v>
      </c>
      <c r="AC272" s="83"/>
    </row>
    <row r="273" customFormat="false" ht="15" hidden="false" customHeight="false" outlineLevel="0" collapsed="false">
      <c r="C273" s="76" t="n">
        <v>268</v>
      </c>
      <c r="D273" s="78" t="s">
        <v>815</v>
      </c>
      <c r="E273" s="78" t="s">
        <v>814</v>
      </c>
      <c r="F273" s="78" t="s">
        <v>741</v>
      </c>
      <c r="G273" s="79" t="n">
        <v>34.5</v>
      </c>
      <c r="H273" s="80" t="n">
        <v>7</v>
      </c>
      <c r="I273" s="80" t="n">
        <v>458</v>
      </c>
      <c r="J273" s="80" t="n">
        <v>458</v>
      </c>
      <c r="K273" s="80" t="n">
        <v>458</v>
      </c>
      <c r="L273" s="81" t="s">
        <v>198</v>
      </c>
      <c r="M273" s="80" t="n">
        <v>0.209614285714286</v>
      </c>
      <c r="N273" s="80" t="n">
        <v>0.378842857142857</v>
      </c>
      <c r="O273" s="80" t="n">
        <v>4.41432857142857</v>
      </c>
      <c r="P273" s="80" t="n">
        <v>0.5445</v>
      </c>
      <c r="Q273" s="80" t="n">
        <v>1.85708571428571</v>
      </c>
      <c r="R273" s="80" t="n">
        <v>1.7219</v>
      </c>
      <c r="S273" s="81" t="s">
        <v>233</v>
      </c>
      <c r="T273" s="81" t="s">
        <v>200</v>
      </c>
      <c r="U273" s="81" t="s">
        <v>355</v>
      </c>
      <c r="V273" s="82" t="n">
        <v>47483</v>
      </c>
      <c r="W273" s="81" t="s">
        <v>234</v>
      </c>
      <c r="X273" s="81" t="n">
        <v>0</v>
      </c>
      <c r="Y273" s="81" t="n">
        <v>0</v>
      </c>
      <c r="Z273" s="81" t="n">
        <v>0</v>
      </c>
      <c r="AA273" s="81" t="s">
        <v>211</v>
      </c>
      <c r="AB273" s="73" t="s">
        <v>47</v>
      </c>
      <c r="AC273" s="83"/>
    </row>
    <row r="274" customFormat="false" ht="15" hidden="false" customHeight="false" outlineLevel="0" collapsed="false">
      <c r="C274" s="69" t="n">
        <v>269</v>
      </c>
      <c r="D274" s="78" t="s">
        <v>816</v>
      </c>
      <c r="E274" s="78" t="s">
        <v>511</v>
      </c>
      <c r="F274" s="78" t="s">
        <v>741</v>
      </c>
      <c r="G274" s="79" t="n">
        <v>34.5</v>
      </c>
      <c r="H274" s="80" t="n">
        <v>22.34</v>
      </c>
      <c r="I274" s="80" t="n">
        <v>458</v>
      </c>
      <c r="J274" s="80" t="n">
        <v>458</v>
      </c>
      <c r="K274" s="80" t="n">
        <v>458</v>
      </c>
      <c r="L274" s="81" t="s">
        <v>198</v>
      </c>
      <c r="M274" s="80" t="n">
        <v>0.209610564010743</v>
      </c>
      <c r="N274" s="80" t="n">
        <v>0.378840644583706</v>
      </c>
      <c r="O274" s="80" t="n">
        <v>4.41433303491495</v>
      </c>
      <c r="P274" s="80" t="n">
        <v>0.544498657117278</v>
      </c>
      <c r="Q274" s="80" t="n">
        <v>1.85708594449418</v>
      </c>
      <c r="R274" s="80" t="n">
        <v>1.7219024171889</v>
      </c>
      <c r="S274" s="81" t="s">
        <v>233</v>
      </c>
      <c r="T274" s="81" t="s">
        <v>200</v>
      </c>
      <c r="U274" s="81" t="s">
        <v>355</v>
      </c>
      <c r="V274" s="82" t="n">
        <v>47483</v>
      </c>
      <c r="W274" s="81" t="s">
        <v>234</v>
      </c>
      <c r="X274" s="81" t="n">
        <v>0</v>
      </c>
      <c r="Y274" s="81" t="n">
        <v>0</v>
      </c>
      <c r="Z274" s="81" t="n">
        <v>0</v>
      </c>
      <c r="AA274" s="81" t="s">
        <v>211</v>
      </c>
      <c r="AB274" s="73" t="s">
        <v>47</v>
      </c>
      <c r="AC274" s="83"/>
    </row>
    <row r="275" customFormat="false" ht="15" hidden="false" customHeight="false" outlineLevel="0" collapsed="false">
      <c r="C275" s="76" t="n">
        <v>270</v>
      </c>
      <c r="D275" s="78" t="s">
        <v>817</v>
      </c>
      <c r="E275" s="78" t="s">
        <v>813</v>
      </c>
      <c r="F275" s="78" t="s">
        <v>818</v>
      </c>
      <c r="G275" s="79" t="n">
        <v>34.5</v>
      </c>
      <c r="H275" s="80" t="n">
        <v>0.275</v>
      </c>
      <c r="I275" s="80" t="n">
        <v>458</v>
      </c>
      <c r="J275" s="80" t="n">
        <v>458</v>
      </c>
      <c r="K275" s="80" t="n">
        <v>458</v>
      </c>
      <c r="L275" s="81" t="s">
        <v>198</v>
      </c>
      <c r="M275" s="80" t="n">
        <v>0.209454545454545</v>
      </c>
      <c r="N275" s="80" t="n">
        <v>0.378909090909091</v>
      </c>
      <c r="O275" s="80" t="n">
        <v>4.41418181818182</v>
      </c>
      <c r="P275" s="80" t="n">
        <v>0.544363636363636</v>
      </c>
      <c r="Q275" s="80" t="n">
        <v>1.85709090909091</v>
      </c>
      <c r="R275" s="80" t="n">
        <v>1.72181818181818</v>
      </c>
      <c r="S275" s="81" t="s">
        <v>233</v>
      </c>
      <c r="T275" s="81" t="s">
        <v>200</v>
      </c>
      <c r="U275" s="81" t="s">
        <v>355</v>
      </c>
      <c r="V275" s="82" t="n">
        <v>46752</v>
      </c>
      <c r="W275" s="81" t="s">
        <v>234</v>
      </c>
      <c r="X275" s="81" t="n">
        <v>0</v>
      </c>
      <c r="Y275" s="81" t="n">
        <v>0</v>
      </c>
      <c r="Z275" s="81" t="n">
        <v>0</v>
      </c>
      <c r="AA275" s="81" t="s">
        <v>211</v>
      </c>
      <c r="AB275" s="73" t="s">
        <v>47</v>
      </c>
      <c r="AC275" s="83"/>
    </row>
    <row r="276" customFormat="false" ht="15" hidden="false" customHeight="false" outlineLevel="0" collapsed="false">
      <c r="C276" s="76" t="n">
        <v>271</v>
      </c>
      <c r="D276" s="78" t="s">
        <v>819</v>
      </c>
      <c r="E276" s="78" t="s">
        <v>818</v>
      </c>
      <c r="F276" s="78" t="s">
        <v>820</v>
      </c>
      <c r="G276" s="79" t="n">
        <v>34.5</v>
      </c>
      <c r="H276" s="80" t="n">
        <v>7.1841</v>
      </c>
      <c r="I276" s="80" t="n">
        <v>458</v>
      </c>
      <c r="J276" s="80" t="n">
        <v>458</v>
      </c>
      <c r="K276" s="80" t="n">
        <v>458</v>
      </c>
      <c r="L276" s="81" t="s">
        <v>198</v>
      </c>
      <c r="M276" s="80" t="n">
        <v>0.209615679069055</v>
      </c>
      <c r="N276" s="80" t="n">
        <v>0.378836597486115</v>
      </c>
      <c r="O276" s="80" t="n">
        <v>4.41433164905834</v>
      </c>
      <c r="P276" s="80" t="n">
        <v>0.544494091117885</v>
      </c>
      <c r="Q276" s="80" t="n">
        <v>1.85708717863059</v>
      </c>
      <c r="R276" s="80" t="n">
        <v>1.72189975083866</v>
      </c>
      <c r="S276" s="81" t="s">
        <v>233</v>
      </c>
      <c r="T276" s="81" t="s">
        <v>200</v>
      </c>
      <c r="U276" s="81" t="s">
        <v>355</v>
      </c>
      <c r="V276" s="82" t="n">
        <v>46752</v>
      </c>
      <c r="W276" s="81" t="s">
        <v>234</v>
      </c>
      <c r="X276" s="81" t="n">
        <v>0</v>
      </c>
      <c r="Y276" s="81" t="n">
        <v>0</v>
      </c>
      <c r="Z276" s="81" t="n">
        <v>0</v>
      </c>
      <c r="AA276" s="81" t="s">
        <v>211</v>
      </c>
      <c r="AB276" s="73" t="s">
        <v>47</v>
      </c>
      <c r="AC276" s="83" t="s">
        <v>367</v>
      </c>
    </row>
    <row r="277" customFormat="false" ht="15" hidden="false" customHeight="false" outlineLevel="0" collapsed="false">
      <c r="C277" s="69" t="n">
        <v>272</v>
      </c>
      <c r="D277" s="78" t="s">
        <v>821</v>
      </c>
      <c r="E277" s="78" t="s">
        <v>534</v>
      </c>
      <c r="F277" s="78" t="s">
        <v>820</v>
      </c>
      <c r="G277" s="79" t="n">
        <v>34.5</v>
      </c>
      <c r="H277" s="80" t="n">
        <v>3.6478</v>
      </c>
      <c r="I277" s="80" t="n">
        <v>458</v>
      </c>
      <c r="J277" s="80" t="n">
        <v>458</v>
      </c>
      <c r="K277" s="80" t="n">
        <v>458</v>
      </c>
      <c r="L277" s="81" t="s">
        <v>198</v>
      </c>
      <c r="M277" s="80" t="n">
        <v>0.209605789791107</v>
      </c>
      <c r="N277" s="80" t="n">
        <v>0.378831076265146</v>
      </c>
      <c r="O277" s="80" t="n">
        <v>4.41433192609244</v>
      </c>
      <c r="P277" s="80" t="n">
        <v>0.544492570864631</v>
      </c>
      <c r="Q277" s="80" t="n">
        <v>1.85709194583036</v>
      </c>
      <c r="R277" s="80" t="n">
        <v>1.72191457865015</v>
      </c>
      <c r="S277" s="81" t="s">
        <v>233</v>
      </c>
      <c r="T277" s="81" t="s">
        <v>200</v>
      </c>
      <c r="U277" s="81" t="s">
        <v>355</v>
      </c>
      <c r="V277" s="82" t="n">
        <v>46752</v>
      </c>
      <c r="W277" s="81" t="s">
        <v>234</v>
      </c>
      <c r="X277" s="81" t="n">
        <v>0</v>
      </c>
      <c r="Y277" s="81" t="n">
        <v>0</v>
      </c>
      <c r="Z277" s="81" t="n">
        <v>0</v>
      </c>
      <c r="AA277" s="81" t="s">
        <v>211</v>
      </c>
      <c r="AB277" s="73" t="s">
        <v>47</v>
      </c>
      <c r="AC277" s="83" t="s">
        <v>367</v>
      </c>
    </row>
    <row r="278" customFormat="false" ht="15" hidden="false" customHeight="false" outlineLevel="0" collapsed="false">
      <c r="C278" s="76" t="n">
        <v>273</v>
      </c>
      <c r="D278" s="78" t="s">
        <v>822</v>
      </c>
      <c r="E278" s="78" t="s">
        <v>336</v>
      </c>
      <c r="F278" s="78" t="s">
        <v>820</v>
      </c>
      <c r="G278" s="79" t="n">
        <v>34.5</v>
      </c>
      <c r="H278" s="80" t="n">
        <v>3.2</v>
      </c>
      <c r="I278" s="80" t="n">
        <v>458</v>
      </c>
      <c r="J278" s="80" t="n">
        <v>458</v>
      </c>
      <c r="K278" s="80" t="n">
        <v>458</v>
      </c>
      <c r="L278" s="81" t="s">
        <v>198</v>
      </c>
      <c r="M278" s="80" t="n">
        <v>0.209625</v>
      </c>
      <c r="N278" s="80" t="n">
        <v>0.37884375</v>
      </c>
      <c r="O278" s="80" t="n">
        <v>4.41434375</v>
      </c>
      <c r="P278" s="80" t="n">
        <v>0.5445</v>
      </c>
      <c r="Q278" s="80" t="n">
        <v>1.85709375</v>
      </c>
      <c r="R278" s="80" t="n">
        <v>1.72190625</v>
      </c>
      <c r="S278" s="81" t="s">
        <v>233</v>
      </c>
      <c r="T278" s="81" t="s">
        <v>200</v>
      </c>
      <c r="U278" s="81" t="s">
        <v>355</v>
      </c>
      <c r="V278" s="82" t="n">
        <v>46752</v>
      </c>
      <c r="W278" s="81" t="s">
        <v>234</v>
      </c>
      <c r="X278" s="81" t="n">
        <v>0</v>
      </c>
      <c r="Y278" s="81" t="n">
        <v>0</v>
      </c>
      <c r="Z278" s="81" t="n">
        <v>0</v>
      </c>
      <c r="AA278" s="81" t="s">
        <v>211</v>
      </c>
      <c r="AB278" s="73" t="s">
        <v>47</v>
      </c>
      <c r="AC278" s="83" t="s">
        <v>367</v>
      </c>
    </row>
    <row r="279" customFormat="false" ht="15" hidden="false" customHeight="false" outlineLevel="0" collapsed="false">
      <c r="C279" s="76" t="n">
        <v>274</v>
      </c>
      <c r="D279" s="78" t="s">
        <v>823</v>
      </c>
      <c r="E279" s="78" t="s">
        <v>782</v>
      </c>
      <c r="F279" s="78" t="s">
        <v>579</v>
      </c>
      <c r="G279" s="79" t="n">
        <v>34.5</v>
      </c>
      <c r="H279" s="80" t="n">
        <v>32.38</v>
      </c>
      <c r="I279" s="80" t="n">
        <v>458</v>
      </c>
      <c r="J279" s="80" t="n">
        <v>458</v>
      </c>
      <c r="K279" s="80" t="n">
        <v>458</v>
      </c>
      <c r="L279" s="81" t="s">
        <v>198</v>
      </c>
      <c r="M279" s="80" t="n">
        <v>0.209610870907968</v>
      </c>
      <c r="N279" s="80" t="n">
        <v>0.378838789376158</v>
      </c>
      <c r="O279" s="80" t="n">
        <v>4.41433292155652</v>
      </c>
      <c r="P279" s="80" t="n">
        <v>0.544499691167387</v>
      </c>
      <c r="Q279" s="80" t="n">
        <v>1.85708770846201</v>
      </c>
      <c r="R279" s="80" t="n">
        <v>1.72190240889438</v>
      </c>
      <c r="S279" s="81" t="s">
        <v>233</v>
      </c>
      <c r="T279" s="81" t="s">
        <v>200</v>
      </c>
      <c r="U279" s="81" t="s">
        <v>355</v>
      </c>
      <c r="V279" s="82" t="n">
        <v>47118</v>
      </c>
      <c r="W279" s="81" t="s">
        <v>234</v>
      </c>
      <c r="X279" s="81" t="n">
        <v>0</v>
      </c>
      <c r="Y279" s="81" t="n">
        <v>0</v>
      </c>
      <c r="Z279" s="81" t="n">
        <v>0</v>
      </c>
      <c r="AA279" s="81" t="s">
        <v>211</v>
      </c>
      <c r="AB279" s="73" t="s">
        <v>47</v>
      </c>
      <c r="AC279" s="83"/>
    </row>
    <row r="280" customFormat="false" ht="15" hidden="false" customHeight="false" outlineLevel="0" collapsed="false">
      <c r="C280" s="69" t="n">
        <v>275</v>
      </c>
      <c r="D280" s="78" t="s">
        <v>824</v>
      </c>
      <c r="E280" s="78" t="s">
        <v>814</v>
      </c>
      <c r="F280" s="78" t="s">
        <v>782</v>
      </c>
      <c r="G280" s="79" t="n">
        <v>34.5</v>
      </c>
      <c r="H280" s="80" t="n">
        <v>34.7</v>
      </c>
      <c r="I280" s="80" t="n">
        <v>275</v>
      </c>
      <c r="J280" s="80" t="n">
        <v>275</v>
      </c>
      <c r="K280" s="80" t="n">
        <v>275</v>
      </c>
      <c r="L280" s="81" t="s">
        <v>198</v>
      </c>
      <c r="M280" s="80" t="n">
        <v>0.415109510086455</v>
      </c>
      <c r="N280" s="80" t="n">
        <v>0.423706051873199</v>
      </c>
      <c r="O280" s="80" t="n">
        <v>4.09982997118156</v>
      </c>
      <c r="P280" s="80" t="n">
        <v>0.75</v>
      </c>
      <c r="Q280" s="80" t="n">
        <v>1.90195677233429</v>
      </c>
      <c r="R280" s="80" t="n">
        <v>1.67195100864553</v>
      </c>
      <c r="S280" s="81" t="s">
        <v>233</v>
      </c>
      <c r="T280" s="81" t="s">
        <v>200</v>
      </c>
      <c r="U280" s="81" t="s">
        <v>355</v>
      </c>
      <c r="V280" s="82" t="n">
        <v>47483</v>
      </c>
      <c r="W280" s="81" t="s">
        <v>360</v>
      </c>
      <c r="X280" s="81" t="n">
        <v>0</v>
      </c>
      <c r="Y280" s="81" t="n">
        <v>0</v>
      </c>
      <c r="Z280" s="81" t="n">
        <v>0</v>
      </c>
      <c r="AA280" s="81" t="s">
        <v>211</v>
      </c>
      <c r="AB280" s="73" t="s">
        <v>47</v>
      </c>
      <c r="AC280" s="83"/>
    </row>
    <row r="281" customFormat="false" ht="15" hidden="false" customHeight="false" outlineLevel="0" collapsed="false">
      <c r="C281" s="76" t="n">
        <v>276</v>
      </c>
      <c r="D281" s="78" t="s">
        <v>825</v>
      </c>
      <c r="E281" s="78" t="s">
        <v>700</v>
      </c>
      <c r="F281" s="78" t="s">
        <v>727</v>
      </c>
      <c r="G281" s="79" t="n">
        <v>34.5</v>
      </c>
      <c r="H281" s="80" t="n">
        <v>26.5</v>
      </c>
      <c r="I281" s="80" t="n">
        <v>530</v>
      </c>
      <c r="J281" s="80" t="n">
        <v>530</v>
      </c>
      <c r="K281" s="80" t="n">
        <v>530</v>
      </c>
      <c r="L281" s="81" t="s">
        <v>198</v>
      </c>
      <c r="M281" s="80" t="n">
        <v>0.165</v>
      </c>
      <c r="N281" s="80" t="n">
        <v>0.378837735849057</v>
      </c>
      <c r="O281" s="80" t="n">
        <v>4.4143320754717</v>
      </c>
      <c r="P281" s="80" t="n">
        <v>0.544498113207547</v>
      </c>
      <c r="Q281" s="80" t="n">
        <v>1.85708679245283</v>
      </c>
      <c r="R281" s="80" t="n">
        <v>1.72190188679245</v>
      </c>
      <c r="S281" s="81" t="s">
        <v>233</v>
      </c>
      <c r="T281" s="81" t="s">
        <v>200</v>
      </c>
      <c r="U281" s="81" t="s">
        <v>355</v>
      </c>
      <c r="V281" s="82" t="n">
        <v>47118</v>
      </c>
      <c r="W281" s="81" t="s">
        <v>826</v>
      </c>
      <c r="X281" s="81" t="n">
        <v>0</v>
      </c>
      <c r="Y281" s="81" t="n">
        <v>0</v>
      </c>
      <c r="Z281" s="81" t="n">
        <v>0</v>
      </c>
      <c r="AA281" s="81" t="s">
        <v>211</v>
      </c>
      <c r="AB281" s="73" t="s">
        <v>47</v>
      </c>
      <c r="AC281" s="83" t="s">
        <v>827</v>
      </c>
    </row>
    <row r="282" customFormat="false" ht="15" hidden="false" customHeight="false" outlineLevel="0" collapsed="false">
      <c r="C282" s="76" t="n">
        <v>277</v>
      </c>
      <c r="D282" s="78" t="s">
        <v>828</v>
      </c>
      <c r="E282" s="78" t="s">
        <v>829</v>
      </c>
      <c r="F282" s="78" t="s">
        <v>830</v>
      </c>
      <c r="G282" s="79" t="n">
        <v>230</v>
      </c>
      <c r="H282" s="80" t="n">
        <v>63</v>
      </c>
      <c r="I282" s="80" t="n">
        <v>1001</v>
      </c>
      <c r="J282" s="80" t="n">
        <v>1001</v>
      </c>
      <c r="K282" s="80" t="n">
        <v>1301.3</v>
      </c>
      <c r="L282" s="81" t="s">
        <v>198</v>
      </c>
      <c r="M282" s="80" t="n">
        <v>0.0501</v>
      </c>
      <c r="N282" s="80" t="n">
        <v>0.4739</v>
      </c>
      <c r="O282" s="80" t="n">
        <v>3.4402</v>
      </c>
      <c r="P282" s="80" t="n">
        <v>0.2965</v>
      </c>
      <c r="Q282" s="80" t="n">
        <v>1.1675</v>
      </c>
      <c r="R282" s="80" t="n">
        <v>2.0152</v>
      </c>
      <c r="S282" s="81" t="s">
        <v>199</v>
      </c>
      <c r="T282" s="81" t="s">
        <v>200</v>
      </c>
      <c r="U282" s="81" t="s">
        <v>355</v>
      </c>
      <c r="V282" s="82" t="n">
        <v>47118</v>
      </c>
      <c r="W282" s="81" t="s">
        <v>202</v>
      </c>
      <c r="X282" s="81" t="n">
        <v>0</v>
      </c>
      <c r="Y282" s="81" t="n">
        <v>0</v>
      </c>
      <c r="Z282" s="81" t="n">
        <v>0</v>
      </c>
      <c r="AA282" s="81" t="s">
        <v>203</v>
      </c>
      <c r="AB282" s="81" t="s">
        <v>44</v>
      </c>
      <c r="AC282" s="83" t="s">
        <v>831</v>
      </c>
    </row>
    <row r="283" customFormat="false" ht="15" hidden="false" customHeight="false" outlineLevel="0" collapsed="false">
      <c r="C283" s="69" t="n">
        <v>278</v>
      </c>
      <c r="D283" s="78" t="s">
        <v>832</v>
      </c>
      <c r="E283" s="78" t="s">
        <v>829</v>
      </c>
      <c r="F283" s="78" t="s">
        <v>833</v>
      </c>
      <c r="G283" s="79" t="n">
        <v>230</v>
      </c>
      <c r="H283" s="80" t="n">
        <v>68</v>
      </c>
      <c r="I283" s="80" t="n">
        <v>830</v>
      </c>
      <c r="J283" s="80" t="n">
        <v>830</v>
      </c>
      <c r="K283" s="80" t="n">
        <v>1079</v>
      </c>
      <c r="L283" s="81" t="s">
        <v>198</v>
      </c>
      <c r="M283" s="80" t="n">
        <v>0.0684</v>
      </c>
      <c r="N283" s="80" t="n">
        <v>0.5133</v>
      </c>
      <c r="O283" s="80" t="n">
        <v>3.2286</v>
      </c>
      <c r="P283" s="80" t="n">
        <v>0.409</v>
      </c>
      <c r="Q283" s="80" t="n">
        <v>1.3289</v>
      </c>
      <c r="R283" s="80" t="n">
        <v>2.1862</v>
      </c>
      <c r="S283" s="81" t="s">
        <v>199</v>
      </c>
      <c r="T283" s="81" t="s">
        <v>200</v>
      </c>
      <c r="U283" s="81" t="s">
        <v>355</v>
      </c>
      <c r="V283" s="82" t="n">
        <v>47118</v>
      </c>
      <c r="W283" s="81" t="s">
        <v>202</v>
      </c>
      <c r="X283" s="81" t="n">
        <v>0</v>
      </c>
      <c r="Y283" s="81" t="n">
        <v>0</v>
      </c>
      <c r="Z283" s="81" t="n">
        <v>0</v>
      </c>
      <c r="AA283" s="81" t="s">
        <v>203</v>
      </c>
      <c r="AB283" s="81" t="s">
        <v>44</v>
      </c>
      <c r="AC283" s="83" t="s">
        <v>831</v>
      </c>
    </row>
    <row r="284" customFormat="false" ht="15" hidden="false" customHeight="false" outlineLevel="0" collapsed="false">
      <c r="C284" s="76" t="n">
        <v>279</v>
      </c>
      <c r="D284" s="78" t="s">
        <v>834</v>
      </c>
      <c r="E284" s="78" t="s">
        <v>829</v>
      </c>
      <c r="F284" s="78" t="s">
        <v>835</v>
      </c>
      <c r="G284" s="79" t="n">
        <v>230</v>
      </c>
      <c r="H284" s="80" t="n">
        <v>114.26</v>
      </c>
      <c r="I284" s="80" t="n">
        <v>1001</v>
      </c>
      <c r="J284" s="80" t="n">
        <v>1001</v>
      </c>
      <c r="K284" s="80" t="n">
        <v>1301.3</v>
      </c>
      <c r="L284" s="81" t="s">
        <v>198</v>
      </c>
      <c r="M284" s="80" t="n">
        <v>0.050099772448801</v>
      </c>
      <c r="N284" s="80" t="n">
        <v>0.473899877472431</v>
      </c>
      <c r="O284" s="80" t="n">
        <v>3.44020042009452</v>
      </c>
      <c r="P284" s="80" t="n">
        <v>0.296500087519692</v>
      </c>
      <c r="Q284" s="80" t="n">
        <v>1.16750043759846</v>
      </c>
      <c r="R284" s="80" t="n">
        <v>2.0151995448976</v>
      </c>
      <c r="S284" s="81" t="s">
        <v>199</v>
      </c>
      <c r="T284" s="81" t="s">
        <v>200</v>
      </c>
      <c r="U284" s="81" t="s">
        <v>355</v>
      </c>
      <c r="V284" s="82" t="n">
        <v>47118</v>
      </c>
      <c r="W284" s="81" t="s">
        <v>202</v>
      </c>
      <c r="X284" s="81" t="n">
        <v>0</v>
      </c>
      <c r="Y284" s="81" t="n">
        <v>0</v>
      </c>
      <c r="Z284" s="81" t="n">
        <v>0</v>
      </c>
      <c r="AA284" s="81" t="s">
        <v>203</v>
      </c>
      <c r="AB284" s="81" t="s">
        <v>44</v>
      </c>
      <c r="AC284" s="83" t="s">
        <v>831</v>
      </c>
    </row>
    <row r="285" customFormat="false" ht="15" hidden="false" customHeight="false" outlineLevel="0" collapsed="false">
      <c r="C285" s="76" t="n">
        <v>280</v>
      </c>
      <c r="D285" s="78" t="s">
        <v>836</v>
      </c>
      <c r="E285" s="78" t="s">
        <v>829</v>
      </c>
      <c r="F285" s="78" t="s">
        <v>837</v>
      </c>
      <c r="G285" s="79" t="n">
        <v>230</v>
      </c>
      <c r="H285" s="80" t="n">
        <v>110.2</v>
      </c>
      <c r="I285" s="80" t="n">
        <v>830</v>
      </c>
      <c r="J285" s="80" t="n">
        <v>830</v>
      </c>
      <c r="K285" s="80" t="n">
        <v>1079</v>
      </c>
      <c r="L285" s="81" t="s">
        <v>198</v>
      </c>
      <c r="M285" s="80" t="n">
        <v>0.0684001814882033</v>
      </c>
      <c r="N285" s="80" t="n">
        <v>0.513300362976407</v>
      </c>
      <c r="O285" s="80" t="n">
        <v>3.2285998185118</v>
      </c>
      <c r="P285" s="80" t="n">
        <v>0.409</v>
      </c>
      <c r="Q285" s="80" t="n">
        <v>1.3289001814882</v>
      </c>
      <c r="R285" s="80" t="n">
        <v>2.18619963702359</v>
      </c>
      <c r="S285" s="81" t="s">
        <v>199</v>
      </c>
      <c r="T285" s="81" t="s">
        <v>200</v>
      </c>
      <c r="U285" s="81" t="s">
        <v>355</v>
      </c>
      <c r="V285" s="82" t="n">
        <v>47118</v>
      </c>
      <c r="W285" s="81" t="s">
        <v>202</v>
      </c>
      <c r="X285" s="81" t="n">
        <v>0</v>
      </c>
      <c r="Y285" s="81" t="n">
        <v>0</v>
      </c>
      <c r="Z285" s="81" t="n">
        <v>0</v>
      </c>
      <c r="AA285" s="81" t="s">
        <v>203</v>
      </c>
      <c r="AB285" s="81" t="s">
        <v>44</v>
      </c>
      <c r="AC285" s="83" t="s">
        <v>831</v>
      </c>
    </row>
    <row r="286" customFormat="false" ht="15" hidden="false" customHeight="false" outlineLevel="0" collapsed="false">
      <c r="C286" s="69" t="n">
        <v>281</v>
      </c>
      <c r="D286" s="78" t="s">
        <v>838</v>
      </c>
      <c r="E286" s="78" t="s">
        <v>402</v>
      </c>
      <c r="F286" s="78" t="s">
        <v>839</v>
      </c>
      <c r="G286" s="79" t="n">
        <v>115</v>
      </c>
      <c r="H286" s="80" t="n">
        <v>42.45</v>
      </c>
      <c r="I286" s="80" t="n">
        <v>458</v>
      </c>
      <c r="J286" s="80" t="n">
        <v>458</v>
      </c>
      <c r="K286" s="80" t="n">
        <v>458</v>
      </c>
      <c r="L286" s="81" t="s">
        <v>198</v>
      </c>
      <c r="M286" s="80" t="n">
        <v>0.21289988221437</v>
      </c>
      <c r="N286" s="80" t="n">
        <v>0.51710011778563</v>
      </c>
      <c r="O286" s="80" t="n">
        <v>3.15220023557126</v>
      </c>
      <c r="P286" s="80" t="n">
        <v>0.389901060070671</v>
      </c>
      <c r="Q286" s="80" t="n">
        <v>1.62719905771496</v>
      </c>
      <c r="R286" s="80" t="n">
        <v>1.80159952885748</v>
      </c>
      <c r="S286" s="81" t="s">
        <v>210</v>
      </c>
      <c r="T286" s="81" t="s">
        <v>200</v>
      </c>
      <c r="U286" s="81" t="s">
        <v>355</v>
      </c>
      <c r="V286" s="82" t="n">
        <v>47118</v>
      </c>
      <c r="W286" s="81" t="s">
        <v>202</v>
      </c>
      <c r="X286" s="81" t="n">
        <v>0</v>
      </c>
      <c r="Y286" s="81" t="n">
        <v>0</v>
      </c>
      <c r="Z286" s="81" t="n">
        <v>0</v>
      </c>
      <c r="AA286" s="73" t="s">
        <v>211</v>
      </c>
      <c r="AB286" s="81" t="s">
        <v>47</v>
      </c>
      <c r="AC286" s="83" t="s">
        <v>831</v>
      </c>
    </row>
    <row r="287" customFormat="false" ht="15" hidden="false" customHeight="false" outlineLevel="0" collapsed="false">
      <c r="C287" s="76" t="n">
        <v>282</v>
      </c>
      <c r="D287" s="78" t="s">
        <v>840</v>
      </c>
      <c r="E287" s="78" t="s">
        <v>839</v>
      </c>
      <c r="F287" s="78" t="s">
        <v>841</v>
      </c>
      <c r="G287" s="79" t="n">
        <v>115</v>
      </c>
      <c r="H287" s="80" t="n">
        <v>6.45</v>
      </c>
      <c r="I287" s="80" t="n">
        <v>458</v>
      </c>
      <c r="J287" s="80" t="n">
        <v>458</v>
      </c>
      <c r="K287" s="80" t="n">
        <v>458</v>
      </c>
      <c r="L287" s="81" t="s">
        <v>198</v>
      </c>
      <c r="M287" s="80" t="n">
        <v>0.212899224806202</v>
      </c>
      <c r="N287" s="80" t="n">
        <v>0.517100775193799</v>
      </c>
      <c r="O287" s="80" t="n">
        <v>3.1522015503876</v>
      </c>
      <c r="P287" s="80" t="n">
        <v>0.389906976744186</v>
      </c>
      <c r="Q287" s="80" t="n">
        <v>1.62719379844961</v>
      </c>
      <c r="R287" s="80" t="n">
        <v>1.80159689922481</v>
      </c>
      <c r="S287" s="81" t="s">
        <v>210</v>
      </c>
      <c r="T287" s="81" t="s">
        <v>200</v>
      </c>
      <c r="U287" s="81" t="s">
        <v>355</v>
      </c>
      <c r="V287" s="82" t="n">
        <v>47118</v>
      </c>
      <c r="W287" s="81" t="s">
        <v>202</v>
      </c>
      <c r="X287" s="81" t="n">
        <v>0</v>
      </c>
      <c r="Y287" s="81" t="n">
        <v>0</v>
      </c>
      <c r="Z287" s="81" t="n">
        <v>0</v>
      </c>
      <c r="AA287" s="73" t="s">
        <v>211</v>
      </c>
      <c r="AB287" s="81" t="s">
        <v>47</v>
      </c>
      <c r="AC287" s="83" t="s">
        <v>831</v>
      </c>
    </row>
    <row r="288" customFormat="false" ht="15.75" hidden="false" customHeight="false" outlineLevel="0" collapsed="false">
      <c r="A288" s="52" t="e">
        <f aca="false">VLOOKUP(E288,'[1]Listas Desplegables'!$H$3:$J$7,2,FALSE())</f>
        <v>#N/A</v>
      </c>
      <c r="B288" s="52" t="e">
        <f aca="false">VLOOKUP(E288,'[1]Listas Desplegables'!$H$3:$J$7,3,FALSE())</f>
        <v>#N/A</v>
      </c>
      <c r="C288" s="84" t="s">
        <v>842</v>
      </c>
      <c r="D288" s="85"/>
      <c r="E288" s="85"/>
      <c r="F288" s="85"/>
      <c r="G288" s="85"/>
      <c r="H288" s="86"/>
      <c r="I288" s="86"/>
      <c r="J288" s="86"/>
      <c r="K288" s="86"/>
      <c r="L288" s="86"/>
      <c r="M288" s="86"/>
      <c r="N288" s="86"/>
      <c r="O288" s="86"/>
      <c r="P288" s="86"/>
      <c r="Q288" s="86"/>
      <c r="R288" s="86"/>
      <c r="S288" s="86"/>
      <c r="T288" s="86"/>
      <c r="U288" s="86"/>
      <c r="V288" s="87"/>
      <c r="W288" s="86"/>
      <c r="X288" s="86"/>
      <c r="Y288" s="86"/>
      <c r="Z288" s="86"/>
      <c r="AA288" s="86"/>
      <c r="AB288" s="86"/>
      <c r="AC288" s="88"/>
    </row>
  </sheetData>
  <autoFilter ref="C4:AC288"/>
  <mergeCells count="28">
    <mergeCell ref="C3:AC3"/>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 ref="AA4:AA5"/>
    <mergeCell ref="AB4:AB5"/>
    <mergeCell ref="AC4:AC5"/>
  </mergeCells>
  <dataValidations count="7">
    <dataValidation allowBlank="false" errorStyle="stop" operator="between" showDropDown="false" showErrorMessage="true" showInputMessage="true" sqref="G1:K3 M1:R3 G6:K1288 M6:R1288" type="decimal">
      <formula1>-100000000000000</formula1>
      <formula2>10000000000</formula2>
    </dataValidation>
    <dataValidation allowBlank="true" errorStyle="stop" operator="greaterThan" showDropDown="false" showErrorMessage="true" showInputMessage="true" sqref="V1:V3 V6:V1288" type="date">
      <formula1>1</formula1>
      <formula2>0</formula2>
    </dataValidation>
    <dataValidation allowBlank="true" errorStyle="stop" operator="between" showDropDown="false" showErrorMessage="true" showInputMessage="true" sqref="T6:T288" type="list">
      <formula1>TProyecto</formula1>
      <formula2>0</formula2>
    </dataValidation>
    <dataValidation allowBlank="true" errorStyle="stop" operator="between" showDropDown="false" showErrorMessage="true" showInputMessage="true" sqref="U6:U288" type="list">
      <formula1>Recurso</formula1>
      <formula2>0</formula2>
    </dataValidation>
    <dataValidation allowBlank="true" errorStyle="stop" operator="between" showDropDown="false" showErrorMessage="true" showInputMessage="true" sqref="F289:F1288" type="list">
      <formula1>'c:\users\aacosta\downloads\[circular_002_anexo.xlsx]listas desplegables'!#ref!</formula1>
      <formula2>0</formula2>
    </dataValidation>
    <dataValidation allowBlank="true" errorStyle="stop" operator="between" showDropDown="false" showErrorMessage="true" showInputMessage="true" sqref="S6:S288" type="list">
      <formula1>'Listas Desplegables'!$B$4:$B$6</formula1>
      <formula2>0</formula2>
    </dataValidation>
    <dataValidation allowBlank="true" errorStyle="stop" operator="between" showDropDown="false" showErrorMessage="true" showInputMessage="true" sqref="AB6:AB288" type="list">
      <formula1>'Listas Desplegables'!$B$90:$B$93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2:AJ57"/>
  <sheetViews>
    <sheetView showFormulas="false" showGridLines="false" showRowColHeaders="true" showZeros="true" rightToLeft="false" tabSelected="false" showOutlineSymbols="true" defaultGridColor="true" view="normal" topLeftCell="A12" colorId="64" zoomScale="100" zoomScaleNormal="100" zoomScalePageLayoutView="100" workbookViewId="0">
      <selection pane="topLeft" activeCell="D18" activeCellId="0" sqref="D18"/>
    </sheetView>
  </sheetViews>
  <sheetFormatPr defaultColWidth="11.57421875" defaultRowHeight="15" zeroHeight="false" outlineLevelRow="0" outlineLevelCol="0"/>
  <cols>
    <col collapsed="false" customWidth="true" hidden="false" outlineLevel="0" max="2" min="1" style="52" width="3"/>
    <col collapsed="false" customWidth="true" hidden="false" outlineLevel="0" max="3" min="3" style="53" width="6.7"/>
    <col collapsed="false" customWidth="true" hidden="false" outlineLevel="0" max="4" min="4" style="1" width="33"/>
    <col collapsed="false" customWidth="true" hidden="false" outlineLevel="0" max="5" min="5" style="1" width="14.57"/>
    <col collapsed="false" customWidth="true" hidden="false" outlineLevel="0" max="8" min="6" style="1" width="12.72"/>
    <col collapsed="false" customWidth="true" hidden="false" outlineLevel="0" max="11" min="11" style="1" width="11.43"/>
    <col collapsed="false" customWidth="true" hidden="false" outlineLevel="0" max="18" min="13" style="1" width="14.86"/>
    <col collapsed="false" customWidth="true" hidden="false" outlineLevel="0" max="19" min="19" style="1" width="11.43"/>
    <col collapsed="false" customWidth="false" hidden="false" outlineLevel="0" max="26" min="26" style="54" width="11.57"/>
    <col collapsed="false" customWidth="true" hidden="false" outlineLevel="0" max="34" min="31" style="1" width="16.57"/>
    <col collapsed="false" customWidth="true" hidden="false" outlineLevel="0" max="35" min="35" style="1" width="27.86"/>
    <col collapsed="false" customWidth="true" hidden="false" outlineLevel="0" max="36" min="36" style="1" width="33"/>
  </cols>
  <sheetData>
    <row r="2" customFormat="false" ht="15.75" hidden="false" customHeight="false" outlineLevel="0" collapsed="false"/>
    <row r="3" s="57" customFormat="true" ht="15.75" hidden="false" customHeight="false" outlineLevel="0" collapsed="false">
      <c r="A3" s="55"/>
      <c r="B3" s="55"/>
      <c r="C3" s="56" t="s">
        <v>843</v>
      </c>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row>
    <row r="4" s="61" customFormat="true" ht="12" hidden="false" customHeight="true" outlineLevel="0" collapsed="false">
      <c r="A4" s="58"/>
      <c r="B4" s="58"/>
      <c r="C4" s="59" t="s">
        <v>194</v>
      </c>
      <c r="D4" s="60" t="str">
        <f aca="false">'Manual de Uso'!C55</f>
        <v>Nombre</v>
      </c>
      <c r="E4" s="60" t="str">
        <f aca="false">'Manual de Uso'!C56</f>
        <v>Subestación</v>
      </c>
      <c r="F4" s="60" t="str">
        <f aca="false">'Manual de Uso'!C57</f>
        <v>Nivel de tensión HV [kV]</v>
      </c>
      <c r="G4" s="60" t="str">
        <f aca="false">'Manual de Uso'!C58</f>
        <v>Nivel de tensión MV [kV]</v>
      </c>
      <c r="H4" s="60" t="str">
        <f aca="false">'Manual de Uso'!C59</f>
        <v>Nivel de tensión LV [kV]</v>
      </c>
      <c r="I4" s="60" t="str">
        <f aca="false">'Manual de Uso'!C60</f>
        <v>Capacidad HV [MVA]</v>
      </c>
      <c r="J4" s="60" t="str">
        <f aca="false">'Manual de Uso'!C61</f>
        <v>Capacidad MV [MVA]</v>
      </c>
      <c r="K4" s="60" t="str">
        <f aca="false">'Manual de Uso'!C62</f>
        <v>Capacidad LV [MVA]</v>
      </c>
      <c r="L4" s="60" t="str">
        <f aca="false">'Manual de Uso'!C63</f>
        <v>Grupo de conexión</v>
      </c>
      <c r="M4" s="60" t="str">
        <f aca="false">'Manual de Uso'!C64</f>
        <v>Impedancia HV-MV Secuencia +[%]</v>
      </c>
      <c r="N4" s="60" t="str">
        <f aca="false">'Manual de Uso'!C65</f>
        <v>Impedancia HV-LV Secuencia +[%]</v>
      </c>
      <c r="O4" s="60" t="str">
        <f aca="false">'Manual de Uso'!C66</f>
        <v>Impedancia MV-LV Secuencia +[%]</v>
      </c>
      <c r="P4" s="60" t="str">
        <f aca="false">'Manual de Uso'!C67</f>
        <v>Impedancia HV-MV Secuencia 0[%]</v>
      </c>
      <c r="Q4" s="60" t="str">
        <f aca="false">'Manual de Uso'!C68</f>
        <v>Impedancia HV-LV Secuencia 0[%]</v>
      </c>
      <c r="R4" s="60" t="str">
        <f aca="false">'Manual de Uso'!C69</f>
        <v>Impedancia MV-LV Secuencia 0[%]</v>
      </c>
      <c r="S4" s="60" t="str">
        <f aca="false">'Manual de Uso'!C70</f>
        <v>Posición Neutral Tap</v>
      </c>
      <c r="T4" s="60" t="str">
        <f aca="false">'Manual de Uso'!C71</f>
        <v>Posición Máxima Tap</v>
      </c>
      <c r="U4" s="60" t="str">
        <f aca="false">'Manual de Uso'!C72</f>
        <v>Posición Mínima Tap</v>
      </c>
      <c r="V4" s="60" t="str">
        <f aca="false">'Manual de Uso'!C73</f>
        <v>Delta Tap [%]</v>
      </c>
      <c r="W4" s="89" t="str">
        <f aca="false">'Manual de Uso'!C74</f>
        <v>Sobrecarga en emergencia</v>
      </c>
      <c r="X4" s="89"/>
      <c r="Y4" s="60" t="str">
        <f aca="false">'Manual de Uso'!C75</f>
        <v>En Operación</v>
      </c>
      <c r="Z4" s="90" t="str">
        <f aca="false">'Manual de Uso'!C76</f>
        <v>FPO</v>
      </c>
      <c r="AA4" s="90" t="str">
        <f aca="false">'Manual de Uso'!C77</f>
        <v>Sistema</v>
      </c>
      <c r="AB4" s="60" t="str">
        <f aca="false">'Manual de Uso'!C78</f>
        <v>Pérdidas Cu HV-MV [kW]</v>
      </c>
      <c r="AC4" s="90" t="str">
        <f aca="false">'Manual de Uso'!C79</f>
        <v>Pérdidas Cu HV-LV [kW]</v>
      </c>
      <c r="AD4" s="90" t="str">
        <f aca="false">'Manual de Uso'!C80</f>
        <v>Pérdidas Cu MV-LV [kW]</v>
      </c>
      <c r="AE4" s="90" t="str">
        <f aca="false">'Manual de Uso'!C81</f>
        <v>Tiempo medio de reparación por evento [h]</v>
      </c>
      <c r="AF4" s="90" t="str">
        <f aca="false">'Manual de Uso'!C82</f>
        <v>Horas anuales de indisponibilidad [h]</v>
      </c>
      <c r="AG4" s="90" t="str">
        <f aca="false">'Manual de Uso'!C83</f>
        <v>Eventos anuales de indisponibilidad</v>
      </c>
      <c r="AH4" s="90" t="str">
        <f aca="false">'Manual de Uso'!C84</f>
        <v>Operador</v>
      </c>
      <c r="AI4" s="90" t="str">
        <f aca="false">'Manual de Uso'!C85</f>
        <v>Tipo activo Uso/Conexión</v>
      </c>
      <c r="AJ4" s="90" t="str">
        <f aca="false">'Manual de Uso'!C86</f>
        <v>Observaciones transportador</v>
      </c>
    </row>
    <row r="5" s="61" customFormat="true" ht="24" hidden="false" customHeight="true" outlineLevel="0" collapsed="false">
      <c r="A5" s="58"/>
      <c r="B5" s="58"/>
      <c r="C5" s="59"/>
      <c r="D5" s="60"/>
      <c r="E5" s="60"/>
      <c r="F5" s="60"/>
      <c r="G5" s="60"/>
      <c r="H5" s="60"/>
      <c r="I5" s="60"/>
      <c r="J5" s="60"/>
      <c r="K5" s="60"/>
      <c r="L5" s="60"/>
      <c r="M5" s="60"/>
      <c r="N5" s="60"/>
      <c r="O5" s="60"/>
      <c r="P5" s="60"/>
      <c r="Q5" s="60"/>
      <c r="R5" s="60"/>
      <c r="S5" s="60"/>
      <c r="T5" s="60"/>
      <c r="U5" s="60"/>
      <c r="V5" s="60"/>
      <c r="W5" s="91" t="s">
        <v>844</v>
      </c>
      <c r="X5" s="91" t="s">
        <v>845</v>
      </c>
      <c r="Y5" s="60"/>
      <c r="Z5" s="90"/>
      <c r="AA5" s="90"/>
      <c r="AB5" s="60"/>
      <c r="AC5" s="90"/>
      <c r="AD5" s="90"/>
      <c r="AE5" s="90"/>
      <c r="AF5" s="90"/>
      <c r="AG5" s="90"/>
      <c r="AH5" s="90"/>
      <c r="AI5" s="90"/>
      <c r="AJ5" s="90"/>
    </row>
    <row r="6" customFormat="false" ht="15.75" hidden="false" customHeight="false" outlineLevel="0" collapsed="false">
      <c r="A6" s="52" t="e">
        <f aca="false">VLOOKUP(E6,'[1]Listas Desplegables'!$H$3:$J$7,2,FALSE())</f>
        <v>#N/A</v>
      </c>
      <c r="B6" s="52" t="e">
        <f aca="false">VLOOKUP(E6,'[1]Listas Desplegables'!$H$3:$J$7,3,FALSE())</f>
        <v>#N/A</v>
      </c>
      <c r="C6" s="62" t="n">
        <v>1</v>
      </c>
      <c r="D6" s="63" t="s">
        <v>846</v>
      </c>
      <c r="E6" s="63" t="s">
        <v>847</v>
      </c>
      <c r="F6" s="64" t="n">
        <v>230</v>
      </c>
      <c r="G6" s="64" t="n">
        <v>115</v>
      </c>
      <c r="H6" s="65" t="n">
        <v>13.8</v>
      </c>
      <c r="I6" s="65" t="n">
        <v>150</v>
      </c>
      <c r="J6" s="65" t="n">
        <v>150</v>
      </c>
      <c r="K6" s="65" t="n">
        <v>25</v>
      </c>
      <c r="L6" s="66" t="s">
        <v>848</v>
      </c>
      <c r="M6" s="65" t="n">
        <v>16.56</v>
      </c>
      <c r="N6" s="65" t="n">
        <v>6.49</v>
      </c>
      <c r="O6" s="65" t="n">
        <v>3.16</v>
      </c>
      <c r="P6" s="65" t="n">
        <v>6.49</v>
      </c>
      <c r="Q6" s="65" t="n">
        <v>16.56</v>
      </c>
      <c r="R6" s="65" t="n">
        <v>3.16</v>
      </c>
      <c r="S6" s="65" t="n">
        <v>11</v>
      </c>
      <c r="T6" s="65" t="n">
        <v>27</v>
      </c>
      <c r="U6" s="65" t="n">
        <v>1</v>
      </c>
      <c r="V6" s="65" t="n">
        <v>0.96</v>
      </c>
      <c r="W6" s="65" t="n">
        <v>130</v>
      </c>
      <c r="X6" s="65" t="n">
        <v>30</v>
      </c>
      <c r="Y6" s="66" t="s">
        <v>201</v>
      </c>
      <c r="Z6" s="67"/>
      <c r="AA6" s="66" t="s">
        <v>199</v>
      </c>
      <c r="AB6" s="66" t="n">
        <v>359.622</v>
      </c>
      <c r="AC6" s="66" t="n">
        <v>34.905</v>
      </c>
      <c r="AD6" s="66" t="n">
        <v>42.096</v>
      </c>
      <c r="AE6" s="66" t="n">
        <v>0</v>
      </c>
      <c r="AF6" s="66" t="n">
        <v>0</v>
      </c>
      <c r="AG6" s="66" t="n">
        <v>0</v>
      </c>
      <c r="AH6" s="66" t="s">
        <v>211</v>
      </c>
      <c r="AI6" s="66" t="s">
        <v>44</v>
      </c>
      <c r="AJ6" s="68"/>
    </row>
    <row r="7" customFormat="false" ht="15.75" hidden="false" customHeight="false" outlineLevel="0" collapsed="false">
      <c r="A7" s="52" t="e">
        <f aca="false">VLOOKUP(E7,'[1]Listas Desplegables'!$H$3:$J$7,2,FALSE())</f>
        <v>#N/A</v>
      </c>
      <c r="B7" s="52" t="e">
        <f aca="false">VLOOKUP(E7,'[1]Listas Desplegables'!$H$3:$J$7,3,FALSE())</f>
        <v>#N/A</v>
      </c>
      <c r="C7" s="69" t="n">
        <v>2</v>
      </c>
      <c r="D7" s="70" t="s">
        <v>849</v>
      </c>
      <c r="E7" s="70" t="s">
        <v>850</v>
      </c>
      <c r="F7" s="71" t="n">
        <v>230</v>
      </c>
      <c r="G7" s="71" t="n">
        <v>115</v>
      </c>
      <c r="H7" s="72" t="n">
        <v>13.2</v>
      </c>
      <c r="I7" s="72" t="n">
        <v>150</v>
      </c>
      <c r="J7" s="72" t="n">
        <v>150</v>
      </c>
      <c r="K7" s="72" t="n">
        <v>25</v>
      </c>
      <c r="L7" s="73" t="s">
        <v>848</v>
      </c>
      <c r="M7" s="72" t="n">
        <v>16.33</v>
      </c>
      <c r="N7" s="72" t="n">
        <v>6.66</v>
      </c>
      <c r="O7" s="72" t="n">
        <v>3.08</v>
      </c>
      <c r="P7" s="72" t="n">
        <v>6.66</v>
      </c>
      <c r="Q7" s="72" t="n">
        <v>16.33</v>
      </c>
      <c r="R7" s="72" t="n">
        <v>3.08</v>
      </c>
      <c r="S7" s="72" t="n">
        <v>11</v>
      </c>
      <c r="T7" s="72" t="n">
        <v>27</v>
      </c>
      <c r="U7" s="72" t="n">
        <v>1</v>
      </c>
      <c r="V7" s="72" t="n">
        <v>0.96</v>
      </c>
      <c r="W7" s="72" t="n">
        <v>130</v>
      </c>
      <c r="X7" s="72" t="n">
        <v>0</v>
      </c>
      <c r="Y7" s="73" t="s">
        <v>201</v>
      </c>
      <c r="Z7" s="74"/>
      <c r="AA7" s="73" t="s">
        <v>199</v>
      </c>
      <c r="AB7" s="73" t="n">
        <v>352.5</v>
      </c>
      <c r="AC7" s="73" t="n">
        <v>34.905</v>
      </c>
      <c r="AD7" s="73" t="n">
        <v>36.192</v>
      </c>
      <c r="AE7" s="73" t="n">
        <v>0.1</v>
      </c>
      <c r="AF7" s="73" t="n">
        <v>0.1</v>
      </c>
      <c r="AG7" s="73" t="n">
        <v>1</v>
      </c>
      <c r="AH7" s="66" t="s">
        <v>211</v>
      </c>
      <c r="AI7" s="66" t="s">
        <v>44</v>
      </c>
      <c r="AJ7" s="75"/>
    </row>
    <row r="8" customFormat="false" ht="15.75" hidden="false" customHeight="false" outlineLevel="0" collapsed="false">
      <c r="A8" s="52" t="e">
        <f aca="false">VLOOKUP(E8,'[1]Listas Desplegables'!$H$3:$J$7,2,FALSE())</f>
        <v>#N/A</v>
      </c>
      <c r="B8" s="52" t="e">
        <f aca="false">VLOOKUP(E8,'[1]Listas Desplegables'!$H$3:$J$7,3,FALSE())</f>
        <v>#N/A</v>
      </c>
      <c r="C8" s="69" t="n">
        <v>3</v>
      </c>
      <c r="D8" s="70" t="s">
        <v>851</v>
      </c>
      <c r="E8" s="70" t="s">
        <v>852</v>
      </c>
      <c r="F8" s="71" t="n">
        <v>230</v>
      </c>
      <c r="G8" s="71" t="n">
        <v>115</v>
      </c>
      <c r="H8" s="72" t="n">
        <v>13.8</v>
      </c>
      <c r="I8" s="72" t="n">
        <v>150</v>
      </c>
      <c r="J8" s="72" t="n">
        <v>150</v>
      </c>
      <c r="K8" s="72" t="n">
        <v>25</v>
      </c>
      <c r="L8" s="73" t="s">
        <v>848</v>
      </c>
      <c r="M8" s="72" t="n">
        <v>16.73</v>
      </c>
      <c r="N8" s="72" t="n">
        <v>6.52001</v>
      </c>
      <c r="O8" s="72" t="n">
        <v>3.34</v>
      </c>
      <c r="P8" s="72" t="n">
        <v>6.52</v>
      </c>
      <c r="Q8" s="72" t="n">
        <v>16.73</v>
      </c>
      <c r="R8" s="72" t="n">
        <v>3.34</v>
      </c>
      <c r="S8" s="72" t="n">
        <v>11</v>
      </c>
      <c r="T8" s="72" t="n">
        <v>27</v>
      </c>
      <c r="U8" s="72" t="n">
        <v>1</v>
      </c>
      <c r="V8" s="72" t="n">
        <v>0.96</v>
      </c>
      <c r="W8" s="72" t="n">
        <v>130</v>
      </c>
      <c r="X8" s="72" t="n">
        <v>30</v>
      </c>
      <c r="Y8" s="73" t="s">
        <v>201</v>
      </c>
      <c r="Z8" s="74"/>
      <c r="AA8" s="73" t="s">
        <v>199</v>
      </c>
      <c r="AB8" s="73" t="n">
        <v>352.5</v>
      </c>
      <c r="AC8" s="73" t="n">
        <v>34.905</v>
      </c>
      <c r="AD8" s="73" t="n">
        <v>36.192</v>
      </c>
      <c r="AE8" s="73" t="n">
        <v>24.2666666666628</v>
      </c>
      <c r="AF8" s="73" t="n">
        <v>48.5333333333256</v>
      </c>
      <c r="AG8" s="73" t="n">
        <v>2</v>
      </c>
      <c r="AH8" s="66" t="s">
        <v>211</v>
      </c>
      <c r="AI8" s="66" t="s">
        <v>44</v>
      </c>
      <c r="AJ8" s="75"/>
    </row>
    <row r="9" customFormat="false" ht="15.75" hidden="false" customHeight="false" outlineLevel="0" collapsed="false">
      <c r="A9" s="52" t="e">
        <f aca="false">VLOOKUP(E9,'[1]Listas Desplegables'!$H$3:$J$7,2,FALSE())</f>
        <v>#N/A</v>
      </c>
      <c r="B9" s="52" t="e">
        <f aca="false">VLOOKUP(E9,'[1]Listas Desplegables'!$H$3:$J$7,3,FALSE())</f>
        <v>#N/A</v>
      </c>
      <c r="C9" s="69" t="n">
        <v>4</v>
      </c>
      <c r="D9" s="70" t="s">
        <v>853</v>
      </c>
      <c r="E9" s="70" t="s">
        <v>852</v>
      </c>
      <c r="F9" s="71" t="n">
        <v>230</v>
      </c>
      <c r="G9" s="71" t="n">
        <v>115</v>
      </c>
      <c r="H9" s="72" t="n">
        <v>13.8</v>
      </c>
      <c r="I9" s="72" t="n">
        <v>150</v>
      </c>
      <c r="J9" s="72" t="n">
        <v>150</v>
      </c>
      <c r="K9" s="72" t="n">
        <v>25</v>
      </c>
      <c r="L9" s="73" t="s">
        <v>848</v>
      </c>
      <c r="M9" s="72" t="n">
        <v>16.37</v>
      </c>
      <c r="N9" s="72" t="n">
        <v>6.59999</v>
      </c>
      <c r="O9" s="72" t="n">
        <v>3.46999</v>
      </c>
      <c r="P9" s="72" t="n">
        <v>6.5999</v>
      </c>
      <c r="Q9" s="72" t="n">
        <v>16.37</v>
      </c>
      <c r="R9" s="72" t="n">
        <v>3.4699</v>
      </c>
      <c r="S9" s="72" t="n">
        <v>11</v>
      </c>
      <c r="T9" s="72" t="n">
        <v>27</v>
      </c>
      <c r="U9" s="72" t="n">
        <v>1</v>
      </c>
      <c r="V9" s="72" t="n">
        <v>0.96</v>
      </c>
      <c r="W9" s="72" t="n">
        <v>130</v>
      </c>
      <c r="X9" s="72" t="n">
        <v>30</v>
      </c>
      <c r="Y9" s="73" t="s">
        <v>201</v>
      </c>
      <c r="Z9" s="74"/>
      <c r="AA9" s="73" t="s">
        <v>199</v>
      </c>
      <c r="AB9" s="73" t="n">
        <v>352.5</v>
      </c>
      <c r="AC9" s="73" t="n">
        <v>34.905</v>
      </c>
      <c r="AD9" s="73" t="n">
        <v>36.192</v>
      </c>
      <c r="AE9" s="73" t="n">
        <v>0.0416666667151731</v>
      </c>
      <c r="AF9" s="73" t="n">
        <v>0.0833333334303461</v>
      </c>
      <c r="AG9" s="73" t="n">
        <v>2</v>
      </c>
      <c r="AH9" s="66" t="s">
        <v>211</v>
      </c>
      <c r="AI9" s="66" t="s">
        <v>44</v>
      </c>
      <c r="AJ9" s="75"/>
    </row>
    <row r="10" customFormat="false" ht="15.75" hidden="false" customHeight="false" outlineLevel="0" collapsed="false">
      <c r="A10" s="52" t="e">
        <f aca="false">VLOOKUP(E10,'[1]Listas Desplegables'!$H$3:$J$7,2,FALSE())</f>
        <v>#N/A</v>
      </c>
      <c r="B10" s="52" t="e">
        <f aca="false">VLOOKUP(E10,'[1]Listas Desplegables'!$H$3:$J$7,3,FALSE())</f>
        <v>#N/A</v>
      </c>
      <c r="C10" s="69" t="n">
        <v>5</v>
      </c>
      <c r="D10" s="70" t="s">
        <v>854</v>
      </c>
      <c r="E10" s="70" t="s">
        <v>855</v>
      </c>
      <c r="F10" s="71" t="n">
        <v>230</v>
      </c>
      <c r="G10" s="71" t="n">
        <v>115</v>
      </c>
      <c r="H10" s="72" t="n">
        <v>13.8</v>
      </c>
      <c r="I10" s="72" t="n">
        <v>150</v>
      </c>
      <c r="J10" s="72" t="n">
        <v>150</v>
      </c>
      <c r="K10" s="72" t="n">
        <v>25</v>
      </c>
      <c r="L10" s="73" t="s">
        <v>856</v>
      </c>
      <c r="M10" s="72" t="n">
        <v>16.35</v>
      </c>
      <c r="N10" s="72" t="n">
        <v>6.65</v>
      </c>
      <c r="O10" s="72" t="n">
        <v>3.5</v>
      </c>
      <c r="P10" s="72" t="n">
        <v>6.65</v>
      </c>
      <c r="Q10" s="72" t="n">
        <v>16.35</v>
      </c>
      <c r="R10" s="72" t="n">
        <v>3.5</v>
      </c>
      <c r="S10" s="72" t="n">
        <v>11</v>
      </c>
      <c r="T10" s="72" t="n">
        <v>27</v>
      </c>
      <c r="U10" s="72" t="n">
        <v>1</v>
      </c>
      <c r="V10" s="72" t="n">
        <v>0.965</v>
      </c>
      <c r="W10" s="72" t="n">
        <v>130</v>
      </c>
      <c r="X10" s="72" t="n">
        <v>30</v>
      </c>
      <c r="Y10" s="73" t="s">
        <v>201</v>
      </c>
      <c r="Z10" s="74"/>
      <c r="AA10" s="73" t="s">
        <v>199</v>
      </c>
      <c r="AB10" s="73" t="n">
        <v>329.82</v>
      </c>
      <c r="AC10" s="73" t="n">
        <v>34.813926</v>
      </c>
      <c r="AD10" s="73" t="n">
        <v>35.86435</v>
      </c>
      <c r="AE10" s="73" t="n">
        <v>0.550000000046566</v>
      </c>
      <c r="AF10" s="73" t="n">
        <v>1.10000000009313</v>
      </c>
      <c r="AG10" s="73" t="n">
        <v>2</v>
      </c>
      <c r="AH10" s="66" t="s">
        <v>211</v>
      </c>
      <c r="AI10" s="66" t="s">
        <v>44</v>
      </c>
      <c r="AJ10" s="75"/>
    </row>
    <row r="11" customFormat="false" ht="15.75" hidden="false" customHeight="false" outlineLevel="0" collapsed="false">
      <c r="A11" s="52" t="e">
        <f aca="false">VLOOKUP(E11,'[1]Listas Desplegables'!$H$3:$J$7,2,FALSE())</f>
        <v>#N/A</v>
      </c>
      <c r="B11" s="52" t="e">
        <f aca="false">VLOOKUP(E11,'[1]Listas Desplegables'!$H$3:$J$7,3,FALSE())</f>
        <v>#N/A</v>
      </c>
      <c r="C11" s="69" t="n">
        <v>6</v>
      </c>
      <c r="D11" s="70" t="s">
        <v>857</v>
      </c>
      <c r="E11" s="70" t="s">
        <v>855</v>
      </c>
      <c r="F11" s="71" t="n">
        <v>230</v>
      </c>
      <c r="G11" s="71" t="n">
        <v>115</v>
      </c>
      <c r="H11" s="72" t="n">
        <v>13.8</v>
      </c>
      <c r="I11" s="72" t="n">
        <v>150</v>
      </c>
      <c r="J11" s="72" t="n">
        <v>150</v>
      </c>
      <c r="K11" s="72" t="n">
        <v>25</v>
      </c>
      <c r="L11" s="73" t="s">
        <v>856</v>
      </c>
      <c r="M11" s="72" t="n">
        <v>16.38</v>
      </c>
      <c r="N11" s="72" t="n">
        <v>6.63</v>
      </c>
      <c r="O11" s="72" t="n">
        <v>3.5</v>
      </c>
      <c r="P11" s="72" t="n">
        <v>6.63</v>
      </c>
      <c r="Q11" s="72" t="n">
        <v>16.38</v>
      </c>
      <c r="R11" s="72" t="n">
        <v>3.5</v>
      </c>
      <c r="S11" s="72" t="n">
        <v>11</v>
      </c>
      <c r="T11" s="72" t="n">
        <v>27</v>
      </c>
      <c r="U11" s="72" t="n">
        <v>1</v>
      </c>
      <c r="V11" s="72" t="n">
        <v>0.965</v>
      </c>
      <c r="W11" s="72" t="n">
        <v>130</v>
      </c>
      <c r="X11" s="72" t="n">
        <v>30</v>
      </c>
      <c r="Y11" s="73" t="s">
        <v>201</v>
      </c>
      <c r="Z11" s="74"/>
      <c r="AA11" s="73" t="s">
        <v>199</v>
      </c>
      <c r="AB11" s="73" t="n">
        <v>329.82</v>
      </c>
      <c r="AC11" s="73" t="n">
        <v>34.7839</v>
      </c>
      <c r="AD11" s="73" t="n">
        <v>35.8643</v>
      </c>
      <c r="AE11" s="73" t="n">
        <v>0</v>
      </c>
      <c r="AF11" s="73" t="n">
        <v>0</v>
      </c>
      <c r="AG11" s="73" t="n">
        <v>0</v>
      </c>
      <c r="AH11" s="66" t="s">
        <v>211</v>
      </c>
      <c r="AI11" s="66" t="s">
        <v>44</v>
      </c>
      <c r="AJ11" s="75"/>
    </row>
    <row r="12" customFormat="false" ht="15" hidden="false" customHeight="false" outlineLevel="0" collapsed="false">
      <c r="A12" s="52" t="e">
        <f aca="false">VLOOKUP(E12,'[1]Listas Desplegables'!$H$3:$J$7,2,FALSE())</f>
        <v>#N/A</v>
      </c>
      <c r="B12" s="52" t="e">
        <f aca="false">VLOOKUP(E12,'[1]Listas Desplegables'!$H$3:$J$7,3,FALSE())</f>
        <v>#N/A</v>
      </c>
      <c r="C12" s="69" t="n">
        <v>7</v>
      </c>
      <c r="D12" s="70" t="s">
        <v>858</v>
      </c>
      <c r="E12" s="70" t="s">
        <v>859</v>
      </c>
      <c r="F12" s="71" t="n">
        <v>220</v>
      </c>
      <c r="G12" s="71" t="n">
        <v>115</v>
      </c>
      <c r="H12" s="72" t="n">
        <v>13.8</v>
      </c>
      <c r="I12" s="72" t="n">
        <v>90</v>
      </c>
      <c r="J12" s="72" t="n">
        <v>90</v>
      </c>
      <c r="K12" s="72" t="n">
        <v>30</v>
      </c>
      <c r="L12" s="73" t="s">
        <v>860</v>
      </c>
      <c r="M12" s="72" t="n">
        <v>9.88</v>
      </c>
      <c r="N12" s="72" t="n">
        <v>9.37</v>
      </c>
      <c r="O12" s="72" t="n">
        <v>6.3</v>
      </c>
      <c r="P12" s="72" t="n">
        <v>9.37</v>
      </c>
      <c r="Q12" s="72" t="n">
        <v>9.88</v>
      </c>
      <c r="R12" s="72" t="n">
        <v>6.3</v>
      </c>
      <c r="S12" s="72" t="n">
        <v>9</v>
      </c>
      <c r="T12" s="72" t="n">
        <v>21</v>
      </c>
      <c r="U12" s="72" t="n">
        <v>1</v>
      </c>
      <c r="V12" s="72" t="n">
        <v>1.25</v>
      </c>
      <c r="W12" s="72" t="n">
        <v>130</v>
      </c>
      <c r="X12" s="72" t="n">
        <v>30</v>
      </c>
      <c r="Y12" s="73" t="s">
        <v>201</v>
      </c>
      <c r="Z12" s="74"/>
      <c r="AA12" s="73" t="s">
        <v>199</v>
      </c>
      <c r="AB12" s="73" t="n">
        <v>86</v>
      </c>
      <c r="AC12" s="73" t="n">
        <v>209.47</v>
      </c>
      <c r="AD12" s="73" t="n">
        <v>100.44</v>
      </c>
      <c r="AE12" s="73" t="n">
        <v>0</v>
      </c>
      <c r="AF12" s="73" t="n">
        <v>0</v>
      </c>
      <c r="AG12" s="73" t="n">
        <v>0</v>
      </c>
      <c r="AH12" s="66" t="s">
        <v>211</v>
      </c>
      <c r="AI12" s="66" t="s">
        <v>44</v>
      </c>
      <c r="AJ12" s="75"/>
    </row>
    <row r="13" customFormat="false" ht="15" hidden="false" customHeight="false" outlineLevel="0" collapsed="false">
      <c r="A13" s="52" t="e">
        <f aca="false">VLOOKUP(E13,'[1]Listas Desplegables'!$H$3:$J$7,2,FALSE())</f>
        <v>#N/A</v>
      </c>
      <c r="B13" s="52" t="e">
        <f aca="false">VLOOKUP(E13,'[1]Listas Desplegables'!$H$3:$J$7,3,FALSE())</f>
        <v>#N/A</v>
      </c>
      <c r="C13" s="69" t="n">
        <v>8</v>
      </c>
      <c r="D13" s="70" t="s">
        <v>861</v>
      </c>
      <c r="E13" s="70" t="s">
        <v>862</v>
      </c>
      <c r="F13" s="71" t="n">
        <v>115</v>
      </c>
      <c r="G13" s="71" t="n">
        <v>34.5</v>
      </c>
      <c r="H13" s="72" t="n">
        <v>13.8</v>
      </c>
      <c r="I13" s="72" t="n">
        <v>40</v>
      </c>
      <c r="J13" s="72" t="n">
        <v>40</v>
      </c>
      <c r="K13" s="72" t="n">
        <v>4.7</v>
      </c>
      <c r="L13" s="73" t="s">
        <v>856</v>
      </c>
      <c r="M13" s="72" t="n">
        <v>12.52</v>
      </c>
      <c r="N13" s="72" t="n">
        <v>2.48</v>
      </c>
      <c r="O13" s="72" t="n">
        <v>4.32</v>
      </c>
      <c r="P13" s="72" t="n">
        <v>2.48</v>
      </c>
      <c r="Q13" s="72" t="n">
        <v>12.52</v>
      </c>
      <c r="R13" s="72" t="n">
        <v>4.32</v>
      </c>
      <c r="S13" s="72" t="n">
        <v>0</v>
      </c>
      <c r="T13" s="72" t="n">
        <v>8</v>
      </c>
      <c r="U13" s="72" t="n">
        <v>-8</v>
      </c>
      <c r="V13" s="72" t="n">
        <v>1.25</v>
      </c>
      <c r="W13" s="72" t="n">
        <v>130</v>
      </c>
      <c r="X13" s="72" t="n">
        <v>30</v>
      </c>
      <c r="Y13" s="73" t="s">
        <v>201</v>
      </c>
      <c r="Z13" s="74"/>
      <c r="AA13" s="73" t="s">
        <v>210</v>
      </c>
      <c r="AB13" s="73" t="n">
        <v>97.3</v>
      </c>
      <c r="AC13" s="73" t="n">
        <v>16.89</v>
      </c>
      <c r="AD13" s="73" t="n">
        <v>37.34</v>
      </c>
      <c r="AE13" s="73" t="n">
        <v>0</v>
      </c>
      <c r="AF13" s="73" t="n">
        <v>0</v>
      </c>
      <c r="AG13" s="73" t="n">
        <v>0</v>
      </c>
      <c r="AH13" s="73" t="s">
        <v>211</v>
      </c>
      <c r="AI13" s="73" t="s">
        <v>47</v>
      </c>
      <c r="AJ13" s="75"/>
    </row>
    <row r="14" customFormat="false" ht="15" hidden="false" customHeight="false" outlineLevel="0" collapsed="false">
      <c r="A14" s="52" t="e">
        <f aca="false">VLOOKUP(E14,'[1]Listas Desplegables'!$H$3:$J$7,2,FALSE())</f>
        <v>#N/A</v>
      </c>
      <c r="B14" s="52" t="e">
        <f aca="false">VLOOKUP(E14,'[1]Listas Desplegables'!$H$3:$J$7,3,FALSE())</f>
        <v>#N/A</v>
      </c>
      <c r="C14" s="69" t="n">
        <v>9</v>
      </c>
      <c r="D14" s="70" t="s">
        <v>863</v>
      </c>
      <c r="E14" s="70" t="s">
        <v>864</v>
      </c>
      <c r="F14" s="71" t="n">
        <v>115</v>
      </c>
      <c r="G14" s="71" t="n">
        <v>34.5</v>
      </c>
      <c r="H14" s="72" t="n">
        <v>13.8</v>
      </c>
      <c r="I14" s="72" t="n">
        <v>40</v>
      </c>
      <c r="J14" s="72" t="n">
        <v>40</v>
      </c>
      <c r="K14" s="72" t="n">
        <v>4.7</v>
      </c>
      <c r="L14" s="73" t="s">
        <v>856</v>
      </c>
      <c r="M14" s="72" t="n">
        <v>12.39</v>
      </c>
      <c r="N14" s="72" t="n">
        <v>2.47</v>
      </c>
      <c r="O14" s="72" t="n">
        <v>4.31</v>
      </c>
      <c r="P14" s="72" t="n">
        <v>2.47</v>
      </c>
      <c r="Q14" s="72" t="n">
        <v>12.39</v>
      </c>
      <c r="R14" s="72" t="n">
        <v>4.31</v>
      </c>
      <c r="S14" s="72" t="n">
        <v>9</v>
      </c>
      <c r="T14" s="72" t="n">
        <v>17</v>
      </c>
      <c r="U14" s="72" t="n">
        <v>1</v>
      </c>
      <c r="V14" s="72" t="n">
        <v>1.25</v>
      </c>
      <c r="W14" s="72" t="n">
        <v>130</v>
      </c>
      <c r="X14" s="72" t="n">
        <v>30</v>
      </c>
      <c r="Y14" s="73" t="s">
        <v>201</v>
      </c>
      <c r="Z14" s="74"/>
      <c r="AA14" s="73" t="s">
        <v>210</v>
      </c>
      <c r="AB14" s="73" t="n">
        <v>97.34</v>
      </c>
      <c r="AC14" s="73" t="s">
        <v>865</v>
      </c>
      <c r="AD14" s="73" t="s">
        <v>865</v>
      </c>
      <c r="AE14" s="73" t="n">
        <v>0</v>
      </c>
      <c r="AF14" s="73" t="n">
        <v>0</v>
      </c>
      <c r="AG14" s="73" t="n">
        <v>0</v>
      </c>
      <c r="AH14" s="73" t="s">
        <v>211</v>
      </c>
      <c r="AI14" s="73" t="s">
        <v>47</v>
      </c>
      <c r="AJ14" s="75"/>
    </row>
    <row r="15" customFormat="false" ht="15" hidden="false" customHeight="false" outlineLevel="0" collapsed="false">
      <c r="A15" s="52" t="e">
        <f aca="false">VLOOKUP(E15,'[1]Listas Desplegables'!$H$3:$J$7,2,FALSE())</f>
        <v>#N/A</v>
      </c>
      <c r="B15" s="52" t="e">
        <f aca="false">VLOOKUP(E15,'[1]Listas Desplegables'!$H$3:$J$7,3,FALSE())</f>
        <v>#N/A</v>
      </c>
      <c r="C15" s="76" t="n">
        <v>10</v>
      </c>
      <c r="D15" s="70" t="s">
        <v>866</v>
      </c>
      <c r="E15" s="70" t="s">
        <v>862</v>
      </c>
      <c r="F15" s="71" t="n">
        <v>115</v>
      </c>
      <c r="G15" s="71" t="n">
        <v>34.5</v>
      </c>
      <c r="H15" s="72" t="n">
        <v>13.8</v>
      </c>
      <c r="I15" s="72" t="n">
        <v>40</v>
      </c>
      <c r="J15" s="72" t="n">
        <v>40</v>
      </c>
      <c r="K15" s="72" t="n">
        <v>13.3</v>
      </c>
      <c r="L15" s="73" t="s">
        <v>860</v>
      </c>
      <c r="M15" s="72" t="n">
        <v>8.37</v>
      </c>
      <c r="N15" s="72" t="n">
        <v>6.1799</v>
      </c>
      <c r="O15" s="72" t="n">
        <v>2.91</v>
      </c>
      <c r="P15" s="72" t="n">
        <v>6.1799</v>
      </c>
      <c r="Q15" s="72" t="n">
        <v>8.37</v>
      </c>
      <c r="R15" s="72" t="n">
        <v>2.91</v>
      </c>
      <c r="S15" s="72" t="n">
        <v>9</v>
      </c>
      <c r="T15" s="72" t="n">
        <v>17</v>
      </c>
      <c r="U15" s="72" t="n">
        <v>1</v>
      </c>
      <c r="V15" s="72" t="n">
        <v>1.25</v>
      </c>
      <c r="W15" s="72" t="n">
        <v>127</v>
      </c>
      <c r="X15" s="72" t="n">
        <v>30</v>
      </c>
      <c r="Y15" s="73" t="s">
        <v>201</v>
      </c>
      <c r="Z15" s="74"/>
      <c r="AA15" s="73" t="s">
        <v>210</v>
      </c>
      <c r="AB15" s="73" t="n">
        <v>97.3</v>
      </c>
      <c r="AC15" s="73" t="s">
        <v>865</v>
      </c>
      <c r="AD15" s="73" t="s">
        <v>865</v>
      </c>
      <c r="AE15" s="73" t="n">
        <v>0</v>
      </c>
      <c r="AF15" s="73" t="n">
        <v>0</v>
      </c>
      <c r="AG15" s="73" t="n">
        <v>0</v>
      </c>
      <c r="AH15" s="73" t="s">
        <v>211</v>
      </c>
      <c r="AI15" s="73" t="s">
        <v>47</v>
      </c>
      <c r="AJ15" s="75"/>
    </row>
    <row r="16" customFormat="false" ht="15" hidden="false" customHeight="false" outlineLevel="0" collapsed="false">
      <c r="A16" s="52" t="e">
        <f aca="false">VLOOKUP(E16,'[1]Listas Desplegables'!$H$3:$J$7,2,FALSE())</f>
        <v>#N/A</v>
      </c>
      <c r="B16" s="52" t="e">
        <f aca="false">VLOOKUP(E16,'[1]Listas Desplegables'!$H$3:$J$7,3,FALSE())</f>
        <v>#N/A</v>
      </c>
      <c r="C16" s="69" t="n">
        <v>11</v>
      </c>
      <c r="D16" s="70" t="s">
        <v>867</v>
      </c>
      <c r="E16" s="70" t="s">
        <v>868</v>
      </c>
      <c r="F16" s="71" t="n">
        <v>115</v>
      </c>
      <c r="G16" s="71" t="n">
        <v>34.5</v>
      </c>
      <c r="H16" s="72" t="n">
        <v>13.8</v>
      </c>
      <c r="I16" s="72" t="n">
        <v>20</v>
      </c>
      <c r="J16" s="72" t="n">
        <v>20</v>
      </c>
      <c r="K16" s="72" t="n">
        <v>6.7</v>
      </c>
      <c r="L16" s="73" t="s">
        <v>856</v>
      </c>
      <c r="M16" s="72" t="n">
        <v>13.09</v>
      </c>
      <c r="N16" s="72" t="n">
        <v>2.47998</v>
      </c>
      <c r="O16" s="72" t="n">
        <v>4.32001</v>
      </c>
      <c r="P16" s="72" t="n">
        <v>2.48</v>
      </c>
      <c r="Q16" s="72" t="n">
        <v>13.09</v>
      </c>
      <c r="R16" s="72" t="n">
        <v>4.32</v>
      </c>
      <c r="S16" s="72" t="n">
        <v>9</v>
      </c>
      <c r="T16" s="72" t="n">
        <v>17</v>
      </c>
      <c r="U16" s="72" t="n">
        <v>1</v>
      </c>
      <c r="V16" s="72" t="n">
        <v>1.25</v>
      </c>
      <c r="W16" s="72" t="n">
        <v>130</v>
      </c>
      <c r="X16" s="72" t="n">
        <v>30</v>
      </c>
      <c r="Y16" s="73" t="s">
        <v>201</v>
      </c>
      <c r="Z16" s="74"/>
      <c r="AA16" s="73" t="s">
        <v>210</v>
      </c>
      <c r="AB16" s="73" t="n">
        <v>78.06</v>
      </c>
      <c r="AC16" s="73" t="n">
        <v>16.72</v>
      </c>
      <c r="AD16" s="73" t="s">
        <v>865</v>
      </c>
      <c r="AE16" s="73" t="n">
        <v>0</v>
      </c>
      <c r="AF16" s="73" t="n">
        <v>0</v>
      </c>
      <c r="AG16" s="73" t="n">
        <v>0</v>
      </c>
      <c r="AH16" s="73" t="s">
        <v>211</v>
      </c>
      <c r="AI16" s="73" t="s">
        <v>47</v>
      </c>
      <c r="AJ16" s="75"/>
    </row>
    <row r="17" customFormat="false" ht="15" hidden="false" customHeight="false" outlineLevel="0" collapsed="false">
      <c r="A17" s="52" t="e">
        <f aca="false">VLOOKUP(E17,'[1]Listas Desplegables'!$H$3:$J$7,2,FALSE())</f>
        <v>#N/A</v>
      </c>
      <c r="B17" s="52" t="e">
        <f aca="false">VLOOKUP(E17,'[1]Listas Desplegables'!$H$3:$J$7,3,FALSE())</f>
        <v>#N/A</v>
      </c>
      <c r="C17" s="69" t="n">
        <v>12</v>
      </c>
      <c r="D17" s="70" t="s">
        <v>869</v>
      </c>
      <c r="E17" s="70" t="s">
        <v>870</v>
      </c>
      <c r="F17" s="71" t="n">
        <v>115</v>
      </c>
      <c r="G17" s="71" t="n">
        <v>34.5</v>
      </c>
      <c r="H17" s="72" t="n">
        <v>13.8</v>
      </c>
      <c r="I17" s="72" t="n">
        <v>40</v>
      </c>
      <c r="J17" s="72" t="n">
        <v>40</v>
      </c>
      <c r="K17" s="72" t="n">
        <v>13.3</v>
      </c>
      <c r="L17" s="73" t="s">
        <v>860</v>
      </c>
      <c r="M17" s="72" t="n">
        <v>8.36</v>
      </c>
      <c r="N17" s="72" t="n">
        <v>6.17999</v>
      </c>
      <c r="O17" s="72" t="n">
        <v>2.91001</v>
      </c>
      <c r="P17" s="72" t="n">
        <v>6.18</v>
      </c>
      <c r="Q17" s="72" t="n">
        <v>8.36</v>
      </c>
      <c r="R17" s="72" t="n">
        <v>2.91</v>
      </c>
      <c r="S17" s="72" t="n">
        <v>9</v>
      </c>
      <c r="T17" s="72" t="n">
        <v>17</v>
      </c>
      <c r="U17" s="72" t="n">
        <v>1</v>
      </c>
      <c r="V17" s="72" t="n">
        <v>1.25</v>
      </c>
      <c r="W17" s="72" t="n">
        <v>130</v>
      </c>
      <c r="X17" s="72" t="n">
        <v>30</v>
      </c>
      <c r="Y17" s="73" t="s">
        <v>201</v>
      </c>
      <c r="Z17" s="74"/>
      <c r="AA17" s="73" t="s">
        <v>210</v>
      </c>
      <c r="AB17" s="73" t="n">
        <v>78.06</v>
      </c>
      <c r="AC17" s="73" t="n">
        <v>16.72</v>
      </c>
      <c r="AD17" s="73" t="s">
        <v>865</v>
      </c>
      <c r="AE17" s="73" t="n">
        <v>0</v>
      </c>
      <c r="AF17" s="73" t="n">
        <v>0</v>
      </c>
      <c r="AG17" s="73" t="n">
        <v>0</v>
      </c>
      <c r="AH17" s="73" t="s">
        <v>211</v>
      </c>
      <c r="AI17" s="73" t="s">
        <v>47</v>
      </c>
      <c r="AJ17" s="75"/>
    </row>
    <row r="18" customFormat="false" ht="15" hidden="false" customHeight="false" outlineLevel="0" collapsed="false">
      <c r="A18" s="52" t="e">
        <f aca="false">VLOOKUP(E18,'[1]Listas Desplegables'!$H$3:$J$7,2,FALSE())</f>
        <v>#N/A</v>
      </c>
      <c r="B18" s="52" t="e">
        <f aca="false">VLOOKUP(E18,'[1]Listas Desplegables'!$H$3:$J$7,3,FALSE())</f>
        <v>#N/A</v>
      </c>
      <c r="C18" s="69" t="n">
        <v>13</v>
      </c>
      <c r="D18" s="70" t="s">
        <v>871</v>
      </c>
      <c r="E18" s="70" t="s">
        <v>872</v>
      </c>
      <c r="F18" s="71" t="n">
        <v>115</v>
      </c>
      <c r="G18" s="71" t="n">
        <v>34.5</v>
      </c>
      <c r="H18" s="72" t="n">
        <v>13.8</v>
      </c>
      <c r="I18" s="72" t="n">
        <v>40</v>
      </c>
      <c r="J18" s="72" t="n">
        <v>40</v>
      </c>
      <c r="K18" s="72" t="n">
        <v>13.3</v>
      </c>
      <c r="L18" s="73" t="s">
        <v>856</v>
      </c>
      <c r="M18" s="72" t="n">
        <v>8.43</v>
      </c>
      <c r="N18" s="72" t="n">
        <v>2.92999</v>
      </c>
      <c r="O18" s="72" t="n">
        <v>6.4799</v>
      </c>
      <c r="P18" s="72" t="n">
        <v>2.92999</v>
      </c>
      <c r="Q18" s="72" t="n">
        <v>8.43</v>
      </c>
      <c r="R18" s="72" t="n">
        <v>6.47999</v>
      </c>
      <c r="S18" s="72" t="n">
        <v>9</v>
      </c>
      <c r="T18" s="72" t="n">
        <v>17</v>
      </c>
      <c r="U18" s="72" t="n">
        <v>1</v>
      </c>
      <c r="V18" s="72" t="n">
        <v>1.25</v>
      </c>
      <c r="W18" s="72" t="n">
        <v>125</v>
      </c>
      <c r="X18" s="72" t="n">
        <v>30</v>
      </c>
      <c r="Y18" s="73" t="s">
        <v>201</v>
      </c>
      <c r="Z18" s="74"/>
      <c r="AA18" s="73" t="s">
        <v>210</v>
      </c>
      <c r="AB18" s="73" t="n">
        <v>97.34</v>
      </c>
      <c r="AC18" s="73" t="s">
        <v>865</v>
      </c>
      <c r="AD18" s="73" t="s">
        <v>865</v>
      </c>
      <c r="AE18" s="73" t="n">
        <v>0</v>
      </c>
      <c r="AF18" s="73" t="n">
        <v>0</v>
      </c>
      <c r="AG18" s="73" t="n">
        <v>0</v>
      </c>
      <c r="AH18" s="73" t="s">
        <v>211</v>
      </c>
      <c r="AI18" s="73" t="s">
        <v>47</v>
      </c>
      <c r="AJ18" s="75"/>
    </row>
    <row r="19" customFormat="false" ht="15" hidden="false" customHeight="false" outlineLevel="0" collapsed="false">
      <c r="A19" s="52" t="e">
        <f aca="false">VLOOKUP(E19,'[1]Listas Desplegables'!$H$3:$J$7,2,FALSE())</f>
        <v>#N/A</v>
      </c>
      <c r="B19" s="52" t="e">
        <f aca="false">VLOOKUP(E19,'[1]Listas Desplegables'!$H$3:$J$7,3,FALSE())</f>
        <v>#N/A</v>
      </c>
      <c r="C19" s="69" t="n">
        <v>14</v>
      </c>
      <c r="D19" s="70" t="s">
        <v>873</v>
      </c>
      <c r="E19" s="70" t="s">
        <v>874</v>
      </c>
      <c r="F19" s="71" t="n">
        <v>115</v>
      </c>
      <c r="G19" s="71" t="n">
        <v>34.5</v>
      </c>
      <c r="H19" s="72" t="n">
        <v>13.8</v>
      </c>
      <c r="I19" s="72" t="n">
        <v>40</v>
      </c>
      <c r="J19" s="72" t="n">
        <v>40</v>
      </c>
      <c r="K19" s="72" t="n">
        <v>13.3</v>
      </c>
      <c r="L19" s="73" t="s">
        <v>856</v>
      </c>
      <c r="M19" s="72" t="n">
        <v>11.49</v>
      </c>
      <c r="N19" s="72" t="n">
        <v>6.95001</v>
      </c>
      <c r="O19" s="72" t="n">
        <v>12.31001</v>
      </c>
      <c r="P19" s="72" t="n">
        <v>6.95</v>
      </c>
      <c r="Q19" s="72" t="n">
        <v>11.49</v>
      </c>
      <c r="R19" s="72" t="n">
        <v>12.31</v>
      </c>
      <c r="S19" s="72" t="n">
        <v>9</v>
      </c>
      <c r="T19" s="72" t="n">
        <v>17</v>
      </c>
      <c r="U19" s="72" t="n">
        <v>1</v>
      </c>
      <c r="V19" s="72" t="n">
        <v>1.25</v>
      </c>
      <c r="W19" s="72" t="n">
        <v>120</v>
      </c>
      <c r="X19" s="72" t="n">
        <v>30</v>
      </c>
      <c r="Y19" s="73" t="s">
        <v>201</v>
      </c>
      <c r="Z19" s="74"/>
      <c r="AA19" s="73" t="s">
        <v>210</v>
      </c>
      <c r="AB19" s="73" t="n">
        <v>97.3</v>
      </c>
      <c r="AC19" s="73" t="s">
        <v>865</v>
      </c>
      <c r="AD19" s="73" t="s">
        <v>865</v>
      </c>
      <c r="AE19" s="73" t="n">
        <v>0</v>
      </c>
      <c r="AF19" s="73" t="n">
        <v>0</v>
      </c>
      <c r="AG19" s="73" t="n">
        <v>0</v>
      </c>
      <c r="AH19" s="73" t="s">
        <v>211</v>
      </c>
      <c r="AI19" s="73" t="s">
        <v>47</v>
      </c>
      <c r="AJ19" s="75"/>
    </row>
    <row r="20" customFormat="false" ht="15" hidden="false" customHeight="false" outlineLevel="0" collapsed="false">
      <c r="A20" s="52" t="e">
        <f aca="false">VLOOKUP(E20,'[1]Listas Desplegables'!$H$3:$J$7,2,FALSE())</f>
        <v>#N/A</v>
      </c>
      <c r="B20" s="52" t="e">
        <f aca="false">VLOOKUP(E20,'[1]Listas Desplegables'!$H$3:$J$7,3,FALSE())</f>
        <v>#N/A</v>
      </c>
      <c r="C20" s="69" t="n">
        <v>15</v>
      </c>
      <c r="D20" s="70" t="s">
        <v>875</v>
      </c>
      <c r="E20" s="70" t="s">
        <v>876</v>
      </c>
      <c r="F20" s="71" t="n">
        <v>115</v>
      </c>
      <c r="G20" s="71" t="n">
        <v>34.5</v>
      </c>
      <c r="H20" s="72" t="n">
        <v>13.8</v>
      </c>
      <c r="I20" s="72" t="n">
        <v>40</v>
      </c>
      <c r="J20" s="72" t="n">
        <v>40</v>
      </c>
      <c r="K20" s="72" t="n">
        <v>13.3</v>
      </c>
      <c r="L20" s="73" t="s">
        <v>856</v>
      </c>
      <c r="M20" s="72" t="n">
        <v>8.741</v>
      </c>
      <c r="N20" s="72" t="n">
        <v>6.18</v>
      </c>
      <c r="O20" s="72" t="n">
        <v>2.91001</v>
      </c>
      <c r="P20" s="72" t="n">
        <v>6.18</v>
      </c>
      <c r="Q20" s="72" t="n">
        <v>8.741</v>
      </c>
      <c r="R20" s="72" t="n">
        <v>2.91</v>
      </c>
      <c r="S20" s="72" t="n">
        <v>9</v>
      </c>
      <c r="T20" s="72" t="n">
        <v>17</v>
      </c>
      <c r="U20" s="72" t="n">
        <v>1</v>
      </c>
      <c r="V20" s="72" t="n">
        <v>1.25</v>
      </c>
      <c r="W20" s="72" t="n">
        <v>130</v>
      </c>
      <c r="X20" s="72" t="n">
        <v>30</v>
      </c>
      <c r="Y20" s="73" t="s">
        <v>201</v>
      </c>
      <c r="Z20" s="74"/>
      <c r="AA20" s="73" t="s">
        <v>210</v>
      </c>
      <c r="AB20" s="73" t="n">
        <v>78.06</v>
      </c>
      <c r="AC20" s="73" t="n">
        <v>16.72</v>
      </c>
      <c r="AD20" s="73" t="s">
        <v>865</v>
      </c>
      <c r="AE20" s="73" t="n">
        <v>0</v>
      </c>
      <c r="AF20" s="73" t="n">
        <v>0</v>
      </c>
      <c r="AG20" s="73" t="n">
        <v>0</v>
      </c>
      <c r="AH20" s="73" t="s">
        <v>211</v>
      </c>
      <c r="AI20" s="73" t="s">
        <v>47</v>
      </c>
      <c r="AJ20" s="75"/>
    </row>
    <row r="21" customFormat="false" ht="15" hidden="false" customHeight="false" outlineLevel="0" collapsed="false">
      <c r="A21" s="52" t="e">
        <f aca="false">VLOOKUP(E21,'[1]Listas Desplegables'!$H$3:$J$7,2,FALSE())</f>
        <v>#N/A</v>
      </c>
      <c r="B21" s="52" t="e">
        <f aca="false">VLOOKUP(E21,'[1]Listas Desplegables'!$H$3:$J$7,3,FALSE())</f>
        <v>#N/A</v>
      </c>
      <c r="C21" s="69" t="n">
        <v>16</v>
      </c>
      <c r="D21" s="70" t="s">
        <v>877</v>
      </c>
      <c r="E21" s="70" t="s">
        <v>862</v>
      </c>
      <c r="F21" s="71" t="n">
        <v>115</v>
      </c>
      <c r="G21" s="71" t="n">
        <v>34.5</v>
      </c>
      <c r="H21" s="72" t="n">
        <v>13.8</v>
      </c>
      <c r="I21" s="72" t="n">
        <v>40</v>
      </c>
      <c r="J21" s="72" t="n">
        <v>40</v>
      </c>
      <c r="K21" s="72" t="n">
        <v>13.3</v>
      </c>
      <c r="L21" s="73" t="s">
        <v>856</v>
      </c>
      <c r="M21" s="72" t="n">
        <v>8.6</v>
      </c>
      <c r="N21" s="72" t="n">
        <v>2.93</v>
      </c>
      <c r="O21" s="72" t="n">
        <v>6.60002</v>
      </c>
      <c r="P21" s="72" t="n">
        <v>2.93</v>
      </c>
      <c r="Q21" s="72" t="n">
        <v>8.6</v>
      </c>
      <c r="R21" s="72" t="n">
        <v>6.6</v>
      </c>
      <c r="S21" s="72" t="n">
        <v>9</v>
      </c>
      <c r="T21" s="72" t="n">
        <v>17</v>
      </c>
      <c r="U21" s="72" t="n">
        <v>1</v>
      </c>
      <c r="V21" s="72" t="n">
        <v>1.25</v>
      </c>
      <c r="W21" s="72" t="n">
        <v>127</v>
      </c>
      <c r="X21" s="72" t="n">
        <v>30</v>
      </c>
      <c r="Y21" s="73" t="s">
        <v>201</v>
      </c>
      <c r="Z21" s="74"/>
      <c r="AA21" s="73" t="s">
        <v>210</v>
      </c>
      <c r="AB21" s="73" t="n">
        <v>98.74</v>
      </c>
      <c r="AC21" s="73" t="s">
        <v>865</v>
      </c>
      <c r="AD21" s="73" t="s">
        <v>865</v>
      </c>
      <c r="AE21" s="73" t="n">
        <v>0</v>
      </c>
      <c r="AF21" s="73" t="n">
        <v>0</v>
      </c>
      <c r="AG21" s="73" t="n">
        <v>0</v>
      </c>
      <c r="AH21" s="73" t="s">
        <v>211</v>
      </c>
      <c r="AI21" s="73" t="s">
        <v>47</v>
      </c>
      <c r="AJ21" s="75"/>
    </row>
    <row r="22" customFormat="false" ht="15" hidden="false" customHeight="false" outlineLevel="0" collapsed="false">
      <c r="A22" s="52" t="e">
        <f aca="false">VLOOKUP(E22,'[1]Listas Desplegables'!$H$3:$J$7,2,FALSE())</f>
        <v>#N/A</v>
      </c>
      <c r="B22" s="52" t="e">
        <f aca="false">VLOOKUP(E22,'[1]Listas Desplegables'!$H$3:$J$7,3,FALSE())</f>
        <v>#N/A</v>
      </c>
      <c r="C22" s="69" t="n">
        <v>17</v>
      </c>
      <c r="D22" s="70" t="s">
        <v>878</v>
      </c>
      <c r="E22" s="70" t="s">
        <v>402</v>
      </c>
      <c r="F22" s="71" t="n">
        <v>115</v>
      </c>
      <c r="G22" s="71" t="n">
        <v>34.5</v>
      </c>
      <c r="H22" s="72" t="n">
        <v>13.8</v>
      </c>
      <c r="I22" s="72" t="n">
        <v>40</v>
      </c>
      <c r="J22" s="72" t="n">
        <v>40</v>
      </c>
      <c r="K22" s="72" t="n">
        <v>13.8</v>
      </c>
      <c r="L22" s="73" t="s">
        <v>856</v>
      </c>
      <c r="M22" s="72" t="n">
        <v>8.48</v>
      </c>
      <c r="N22" s="72" t="n">
        <v>6.484</v>
      </c>
      <c r="O22" s="72" t="n">
        <v>2.926</v>
      </c>
      <c r="P22" s="72" t="n">
        <v>6.484</v>
      </c>
      <c r="Q22" s="72" t="n">
        <v>8.84</v>
      </c>
      <c r="R22" s="72" t="n">
        <v>2.926</v>
      </c>
      <c r="S22" s="72" t="n">
        <v>9</v>
      </c>
      <c r="T22" s="72" t="n">
        <v>17</v>
      </c>
      <c r="U22" s="72" t="n">
        <v>1</v>
      </c>
      <c r="V22" s="72" t="n">
        <v>1.25</v>
      </c>
      <c r="W22" s="72" t="n">
        <v>130</v>
      </c>
      <c r="X22" s="72" t="n">
        <v>30</v>
      </c>
      <c r="Y22" s="73" t="s">
        <v>201</v>
      </c>
      <c r="Z22" s="74"/>
      <c r="AA22" s="73" t="s">
        <v>210</v>
      </c>
      <c r="AB22" s="73" t="n">
        <v>96.882</v>
      </c>
      <c r="AC22" s="73" t="s">
        <v>865</v>
      </c>
      <c r="AD22" s="73" t="s">
        <v>865</v>
      </c>
      <c r="AE22" s="73" t="n">
        <v>0</v>
      </c>
      <c r="AF22" s="73" t="n">
        <v>0</v>
      </c>
      <c r="AG22" s="73" t="n">
        <v>0</v>
      </c>
      <c r="AH22" s="73" t="s">
        <v>211</v>
      </c>
      <c r="AI22" s="73" t="s">
        <v>47</v>
      </c>
      <c r="AJ22" s="75"/>
    </row>
    <row r="23" customFormat="false" ht="15" hidden="false" customHeight="false" outlineLevel="0" collapsed="false">
      <c r="A23" s="52" t="e">
        <f aca="false">VLOOKUP(E23,'[1]Listas Desplegables'!$H$3:$J$7,2,FALSE())</f>
        <v>#N/A</v>
      </c>
      <c r="B23" s="52" t="e">
        <f aca="false">VLOOKUP(E23,'[1]Listas Desplegables'!$H$3:$J$7,3,FALSE())</f>
        <v>#N/A</v>
      </c>
      <c r="C23" s="69" t="n">
        <v>18</v>
      </c>
      <c r="D23" s="70" t="s">
        <v>879</v>
      </c>
      <c r="E23" s="70" t="s">
        <v>870</v>
      </c>
      <c r="F23" s="71" t="n">
        <v>115</v>
      </c>
      <c r="G23" s="71" t="n">
        <v>34.5</v>
      </c>
      <c r="H23" s="72" t="n">
        <v>13.8</v>
      </c>
      <c r="I23" s="72" t="n">
        <v>40</v>
      </c>
      <c r="J23" s="72" t="n">
        <v>40</v>
      </c>
      <c r="K23" s="72" t="n">
        <v>13.3</v>
      </c>
      <c r="L23" s="73" t="s">
        <v>860</v>
      </c>
      <c r="M23" s="72" t="n">
        <v>8.37</v>
      </c>
      <c r="N23" s="72" t="n">
        <v>6.18</v>
      </c>
      <c r="O23" s="72" t="n">
        <v>2.91</v>
      </c>
      <c r="P23" s="72" t="n">
        <v>6.18</v>
      </c>
      <c r="Q23" s="72" t="n">
        <v>8.37</v>
      </c>
      <c r="R23" s="72" t="n">
        <v>2.91</v>
      </c>
      <c r="S23" s="72" t="n">
        <v>9</v>
      </c>
      <c r="T23" s="72" t="n">
        <v>1</v>
      </c>
      <c r="U23" s="72" t="n">
        <v>17</v>
      </c>
      <c r="V23" s="72" t="n">
        <v>1.25</v>
      </c>
      <c r="W23" s="72" t="n">
        <v>130</v>
      </c>
      <c r="X23" s="72" t="n">
        <v>30</v>
      </c>
      <c r="Y23" s="73" t="s">
        <v>201</v>
      </c>
      <c r="Z23" s="74"/>
      <c r="AA23" s="73" t="s">
        <v>210</v>
      </c>
      <c r="AB23" s="73" t="n">
        <v>97.3</v>
      </c>
      <c r="AC23" s="73" t="n">
        <v>16.89</v>
      </c>
      <c r="AD23" s="73" t="n">
        <v>37.34</v>
      </c>
      <c r="AE23" s="73" t="n">
        <v>0</v>
      </c>
      <c r="AF23" s="73" t="n">
        <v>0</v>
      </c>
      <c r="AG23" s="73" t="n">
        <v>0</v>
      </c>
      <c r="AH23" s="73" t="s">
        <v>211</v>
      </c>
      <c r="AI23" s="73" t="s">
        <v>47</v>
      </c>
      <c r="AJ23" s="75"/>
    </row>
    <row r="24" customFormat="false" ht="15" hidden="false" customHeight="false" outlineLevel="0" collapsed="false">
      <c r="A24" s="52" t="e">
        <f aca="false">VLOOKUP(E24,'[1]Listas Desplegables'!$H$3:$J$7,2,FALSE())</f>
        <v>#N/A</v>
      </c>
      <c r="B24" s="52" t="e">
        <f aca="false">VLOOKUP(E24,'[1]Listas Desplegables'!$H$3:$J$7,3,FALSE())</f>
        <v>#N/A</v>
      </c>
      <c r="C24" s="76" t="n">
        <v>19</v>
      </c>
      <c r="D24" s="70" t="s">
        <v>880</v>
      </c>
      <c r="E24" s="70" t="s">
        <v>874</v>
      </c>
      <c r="F24" s="71" t="n">
        <v>115</v>
      </c>
      <c r="G24" s="71" t="n">
        <v>34.5</v>
      </c>
      <c r="H24" s="72" t="n">
        <v>13.8</v>
      </c>
      <c r="I24" s="72" t="n">
        <v>40</v>
      </c>
      <c r="J24" s="72" t="n">
        <v>40</v>
      </c>
      <c r="K24" s="72" t="n">
        <v>4.7</v>
      </c>
      <c r="L24" s="73" t="s">
        <v>856</v>
      </c>
      <c r="M24" s="72" t="n">
        <v>12.77</v>
      </c>
      <c r="N24" s="72" t="n">
        <v>2.45</v>
      </c>
      <c r="O24" s="72" t="n">
        <v>4.34</v>
      </c>
      <c r="P24" s="72" t="n">
        <v>2.45</v>
      </c>
      <c r="Q24" s="72" t="n">
        <v>12.77</v>
      </c>
      <c r="R24" s="72" t="n">
        <v>4.34</v>
      </c>
      <c r="S24" s="72" t="n">
        <v>0</v>
      </c>
      <c r="T24" s="72" t="n">
        <v>8</v>
      </c>
      <c r="U24" s="72" t="n">
        <v>-8</v>
      </c>
      <c r="V24" s="72" t="n">
        <v>1.25</v>
      </c>
      <c r="W24" s="72" t="n">
        <v>120</v>
      </c>
      <c r="X24" s="72" t="n">
        <v>30</v>
      </c>
      <c r="Y24" s="73" t="s">
        <v>201</v>
      </c>
      <c r="Z24" s="74"/>
      <c r="AA24" s="73" t="s">
        <v>210</v>
      </c>
      <c r="AB24" s="73" t="n">
        <v>97.3</v>
      </c>
      <c r="AC24" s="73" t="n">
        <v>16.89</v>
      </c>
      <c r="AD24" s="73" t="n">
        <v>37.34</v>
      </c>
      <c r="AE24" s="73" t="n">
        <v>0</v>
      </c>
      <c r="AF24" s="73" t="n">
        <v>0</v>
      </c>
      <c r="AG24" s="73" t="n">
        <v>0</v>
      </c>
      <c r="AH24" s="73" t="s">
        <v>211</v>
      </c>
      <c r="AI24" s="73" t="s">
        <v>47</v>
      </c>
      <c r="AJ24" s="75"/>
    </row>
    <row r="25" customFormat="false" ht="15" hidden="false" customHeight="false" outlineLevel="0" collapsed="false">
      <c r="A25" s="52" t="e">
        <f aca="false">VLOOKUP(E25,'[1]Listas Desplegables'!$H$3:$J$7,2,FALSE())</f>
        <v>#N/A</v>
      </c>
      <c r="B25" s="52" t="e">
        <f aca="false">VLOOKUP(E25,'[1]Listas Desplegables'!$H$3:$J$7,3,FALSE())</f>
        <v>#N/A</v>
      </c>
      <c r="C25" s="77" t="n">
        <v>20</v>
      </c>
      <c r="D25" s="78" t="s">
        <v>881</v>
      </c>
      <c r="E25" s="78" t="s">
        <v>841</v>
      </c>
      <c r="F25" s="79" t="n">
        <v>115</v>
      </c>
      <c r="G25" s="71" t="n">
        <v>34.5</v>
      </c>
      <c r="H25" s="72" t="n">
        <v>13.8</v>
      </c>
      <c r="I25" s="72" t="n">
        <v>40</v>
      </c>
      <c r="J25" s="72" t="n">
        <v>40</v>
      </c>
      <c r="K25" s="72" t="n">
        <v>13.3</v>
      </c>
      <c r="L25" s="73" t="s">
        <v>856</v>
      </c>
      <c r="M25" s="72" t="n">
        <v>8.46</v>
      </c>
      <c r="N25" s="72" t="n">
        <v>2.926</v>
      </c>
      <c r="O25" s="72" t="n">
        <v>6.484</v>
      </c>
      <c r="P25" s="72" t="n">
        <v>2.926</v>
      </c>
      <c r="Q25" s="72" t="n">
        <v>8.84</v>
      </c>
      <c r="R25" s="72" t="n">
        <v>6.484</v>
      </c>
      <c r="S25" s="72" t="n">
        <v>9</v>
      </c>
      <c r="T25" s="72" t="n">
        <v>17</v>
      </c>
      <c r="U25" s="72" t="n">
        <v>1</v>
      </c>
      <c r="V25" s="72" t="n">
        <v>1.25</v>
      </c>
      <c r="W25" s="72" t="n">
        <v>130</v>
      </c>
      <c r="X25" s="72" t="n">
        <v>30</v>
      </c>
      <c r="Y25" s="73" t="s">
        <v>201</v>
      </c>
      <c r="Z25" s="74"/>
      <c r="AA25" s="73" t="s">
        <v>210</v>
      </c>
      <c r="AB25" s="73" t="n">
        <v>97.341</v>
      </c>
      <c r="AC25" s="73" t="n">
        <v>16.89</v>
      </c>
      <c r="AD25" s="73" t="n">
        <v>37.34</v>
      </c>
      <c r="AE25" s="73" t="n">
        <v>0</v>
      </c>
      <c r="AF25" s="73" t="n">
        <v>0</v>
      </c>
      <c r="AG25" s="73" t="n">
        <v>0</v>
      </c>
      <c r="AH25" s="73" t="s">
        <v>211</v>
      </c>
      <c r="AI25" s="73" t="s">
        <v>47</v>
      </c>
      <c r="AJ25" s="75"/>
    </row>
    <row r="26" customFormat="false" ht="15" hidden="false" customHeight="false" outlineLevel="0" collapsed="false">
      <c r="A26" s="52" t="e">
        <f aca="false">VLOOKUP(E26,'[1]Listas Desplegables'!$H$3:$J$7,2,FALSE())</f>
        <v>#N/A</v>
      </c>
      <c r="B26" s="52" t="e">
        <f aca="false">VLOOKUP(E26,'[1]Listas Desplegables'!$H$3:$J$7,3,FALSE())</f>
        <v>#N/A</v>
      </c>
      <c r="C26" s="76" t="n">
        <v>21</v>
      </c>
      <c r="D26" s="78" t="s">
        <v>882</v>
      </c>
      <c r="E26" s="78" t="s">
        <v>883</v>
      </c>
      <c r="F26" s="79" t="n">
        <v>115</v>
      </c>
      <c r="G26" s="71" t="n">
        <v>34.5</v>
      </c>
      <c r="H26" s="72" t="n">
        <v>13.8</v>
      </c>
      <c r="I26" s="72" t="n">
        <v>40</v>
      </c>
      <c r="J26" s="72" t="n">
        <v>40</v>
      </c>
      <c r="K26" s="72" t="n">
        <v>13.3</v>
      </c>
      <c r="L26" s="73" t="s">
        <v>856</v>
      </c>
      <c r="M26" s="72" t="n">
        <v>8.46</v>
      </c>
      <c r="N26" s="72" t="n">
        <v>8.3</v>
      </c>
      <c r="O26" s="72" t="n">
        <v>6.59999</v>
      </c>
      <c r="P26" s="72" t="n">
        <v>8.3</v>
      </c>
      <c r="Q26" s="72" t="n">
        <v>8.46</v>
      </c>
      <c r="R26" s="72" t="n">
        <v>6.6</v>
      </c>
      <c r="S26" s="72" t="n">
        <v>9</v>
      </c>
      <c r="T26" s="72" t="n">
        <v>17</v>
      </c>
      <c r="U26" s="72" t="n">
        <v>1</v>
      </c>
      <c r="V26" s="72" t="n">
        <v>1.25</v>
      </c>
      <c r="W26" s="72" t="n">
        <v>130</v>
      </c>
      <c r="X26" s="72" t="n">
        <v>30</v>
      </c>
      <c r="Y26" s="73" t="s">
        <v>201</v>
      </c>
      <c r="Z26" s="74"/>
      <c r="AA26" s="73" t="s">
        <v>210</v>
      </c>
      <c r="AB26" s="73" t="n">
        <v>96.66</v>
      </c>
      <c r="AC26" s="73" t="s">
        <v>865</v>
      </c>
      <c r="AD26" s="73" t="s">
        <v>865</v>
      </c>
      <c r="AE26" s="73" t="n">
        <v>0</v>
      </c>
      <c r="AF26" s="73" t="n">
        <v>0</v>
      </c>
      <c r="AG26" s="73" t="n">
        <v>0</v>
      </c>
      <c r="AH26" s="73" t="s">
        <v>211</v>
      </c>
      <c r="AI26" s="73" t="s">
        <v>47</v>
      </c>
      <c r="AJ26" s="75"/>
    </row>
    <row r="27" customFormat="false" ht="15" hidden="false" customHeight="false" outlineLevel="0" collapsed="false">
      <c r="A27" s="52" t="e">
        <f aca="false">VLOOKUP(E27,'[1]Listas Desplegables'!$H$3:$J$7,2,FALSE())</f>
        <v>#N/A</v>
      </c>
      <c r="B27" s="52" t="e">
        <f aca="false">VLOOKUP(E27,'[1]Listas Desplegables'!$H$3:$J$7,3,FALSE())</f>
        <v>#N/A</v>
      </c>
      <c r="C27" s="69" t="n">
        <v>22</v>
      </c>
      <c r="D27" s="78" t="s">
        <v>884</v>
      </c>
      <c r="E27" s="78" t="s">
        <v>874</v>
      </c>
      <c r="F27" s="79" t="n">
        <v>115</v>
      </c>
      <c r="G27" s="71" t="n">
        <v>34.5</v>
      </c>
      <c r="H27" s="72" t="n">
        <v>13.8</v>
      </c>
      <c r="I27" s="72" t="n">
        <v>40</v>
      </c>
      <c r="J27" s="72" t="n">
        <v>40</v>
      </c>
      <c r="K27" s="72" t="n">
        <v>13.3</v>
      </c>
      <c r="L27" s="73" t="s">
        <v>856</v>
      </c>
      <c r="M27" s="72" t="n">
        <v>8.47</v>
      </c>
      <c r="N27" s="72" t="n">
        <v>2.926</v>
      </c>
      <c r="O27" s="72" t="n">
        <v>6.4838</v>
      </c>
      <c r="P27" s="72" t="n">
        <v>2.926</v>
      </c>
      <c r="Q27" s="72" t="n">
        <v>8.84</v>
      </c>
      <c r="R27" s="72" t="n">
        <v>6.484</v>
      </c>
      <c r="S27" s="72" t="n">
        <v>9</v>
      </c>
      <c r="T27" s="72" t="n">
        <v>17</v>
      </c>
      <c r="U27" s="72" t="n">
        <v>1</v>
      </c>
      <c r="V27" s="72" t="n">
        <v>1.25</v>
      </c>
      <c r="W27" s="72" t="n">
        <v>130</v>
      </c>
      <c r="X27" s="72" t="n">
        <v>30</v>
      </c>
      <c r="Y27" s="73" t="s">
        <v>201</v>
      </c>
      <c r="Z27" s="74"/>
      <c r="AA27" s="73" t="s">
        <v>210</v>
      </c>
      <c r="AB27" s="73" t="n">
        <v>97.3</v>
      </c>
      <c r="AC27" s="73" t="n">
        <v>16.89</v>
      </c>
      <c r="AD27" s="73" t="n">
        <v>37.34</v>
      </c>
      <c r="AE27" s="73" t="n">
        <v>0</v>
      </c>
      <c r="AF27" s="73" t="n">
        <v>0</v>
      </c>
      <c r="AG27" s="73" t="n">
        <v>0</v>
      </c>
      <c r="AH27" s="73" t="s">
        <v>211</v>
      </c>
      <c r="AI27" s="73" t="s">
        <v>47</v>
      </c>
      <c r="AJ27" s="75"/>
    </row>
    <row r="28" customFormat="false" ht="15" hidden="false" customHeight="false" outlineLevel="0" collapsed="false">
      <c r="A28" s="52" t="e">
        <f aca="false">VLOOKUP(E28,'[1]Listas Desplegables'!$H$3:$J$7,2,FALSE())</f>
        <v>#N/A</v>
      </c>
      <c r="B28" s="52" t="e">
        <f aca="false">VLOOKUP(E28,'[1]Listas Desplegables'!$H$3:$J$7,3,FALSE())</f>
        <v>#N/A</v>
      </c>
      <c r="C28" s="69" t="n">
        <v>23</v>
      </c>
      <c r="D28" s="78" t="s">
        <v>885</v>
      </c>
      <c r="E28" s="78" t="s">
        <v>886</v>
      </c>
      <c r="F28" s="79" t="n">
        <v>115</v>
      </c>
      <c r="G28" s="71" t="n">
        <v>34.5</v>
      </c>
      <c r="H28" s="72" t="n">
        <v>13.2</v>
      </c>
      <c r="I28" s="72" t="n">
        <v>25</v>
      </c>
      <c r="J28" s="72" t="n">
        <v>25</v>
      </c>
      <c r="K28" s="72" t="n">
        <v>8.3</v>
      </c>
      <c r="L28" s="73" t="s">
        <v>856</v>
      </c>
      <c r="M28" s="72" t="n">
        <v>9.74</v>
      </c>
      <c r="N28" s="72" t="n">
        <v>5.52</v>
      </c>
      <c r="O28" s="72" t="n">
        <v>1.67</v>
      </c>
      <c r="P28" s="72" t="n">
        <v>4.3749</v>
      </c>
      <c r="Q28" s="72" t="n">
        <v>8.05</v>
      </c>
      <c r="R28" s="72" t="n">
        <v>1.5747</v>
      </c>
      <c r="S28" s="72" t="n">
        <v>10</v>
      </c>
      <c r="T28" s="72" t="n">
        <v>19</v>
      </c>
      <c r="U28" s="72" t="n">
        <v>1</v>
      </c>
      <c r="V28" s="72" t="n">
        <v>1.25</v>
      </c>
      <c r="W28" s="72" t="n">
        <v>120</v>
      </c>
      <c r="X28" s="72" t="n">
        <v>120</v>
      </c>
      <c r="Y28" s="73" t="s">
        <v>201</v>
      </c>
      <c r="Z28" s="74"/>
      <c r="AA28" s="73" t="s">
        <v>210</v>
      </c>
      <c r="AB28" s="73" t="n">
        <v>105.842</v>
      </c>
      <c r="AC28" s="73" t="n">
        <v>16.96</v>
      </c>
      <c r="AD28" s="73" t="n">
        <v>15.2</v>
      </c>
      <c r="AE28" s="73" t="n">
        <v>0</v>
      </c>
      <c r="AF28" s="73" t="n">
        <v>0</v>
      </c>
      <c r="AG28" s="73" t="n">
        <v>0</v>
      </c>
      <c r="AH28" s="73" t="s">
        <v>211</v>
      </c>
      <c r="AI28" s="73" t="s">
        <v>47</v>
      </c>
      <c r="AJ28" s="75"/>
    </row>
    <row r="29" customFormat="false" ht="15" hidden="false" customHeight="false" outlineLevel="0" collapsed="false">
      <c r="A29" s="52" t="e">
        <f aca="false">VLOOKUP(E29,'[1]Listas Desplegables'!$H$3:$J$7,2,FALSE())</f>
        <v>#N/A</v>
      </c>
      <c r="B29" s="52" t="e">
        <f aca="false">VLOOKUP(E29,'[1]Listas Desplegables'!$H$3:$J$7,3,FALSE())</f>
        <v>#N/A</v>
      </c>
      <c r="C29" s="69" t="n">
        <v>24</v>
      </c>
      <c r="D29" s="78" t="s">
        <v>887</v>
      </c>
      <c r="E29" s="78" t="s">
        <v>888</v>
      </c>
      <c r="F29" s="79" t="n">
        <v>115</v>
      </c>
      <c r="G29" s="71" t="n">
        <v>34.5</v>
      </c>
      <c r="H29" s="72" t="n">
        <v>13.8</v>
      </c>
      <c r="I29" s="72" t="n">
        <v>40</v>
      </c>
      <c r="J29" s="72" t="n">
        <v>40</v>
      </c>
      <c r="K29" s="72" t="n">
        <v>13.3</v>
      </c>
      <c r="L29" s="73" t="s">
        <v>856</v>
      </c>
      <c r="M29" s="72" t="n">
        <v>8.4</v>
      </c>
      <c r="N29" s="72" t="n">
        <v>8.3</v>
      </c>
      <c r="O29" s="72" t="n">
        <v>6.6</v>
      </c>
      <c r="P29" s="72" t="n">
        <v>8.685357</v>
      </c>
      <c r="Q29" s="72" t="n">
        <v>8.79</v>
      </c>
      <c r="R29" s="72" t="n">
        <v>6.90643</v>
      </c>
      <c r="S29" s="72" t="n">
        <v>9</v>
      </c>
      <c r="T29" s="72" t="n">
        <v>17</v>
      </c>
      <c r="U29" s="72" t="n">
        <v>1</v>
      </c>
      <c r="V29" s="72" t="n">
        <v>1.25</v>
      </c>
      <c r="W29" s="72" t="n">
        <v>130</v>
      </c>
      <c r="X29" s="72" t="n">
        <v>0</v>
      </c>
      <c r="Y29" s="73" t="s">
        <v>201</v>
      </c>
      <c r="Z29" s="74"/>
      <c r="AA29" s="73" t="s">
        <v>210</v>
      </c>
      <c r="AB29" s="73" t="n">
        <v>97.3</v>
      </c>
      <c r="AC29" s="73" t="s">
        <v>865</v>
      </c>
      <c r="AD29" s="73" t="s">
        <v>865</v>
      </c>
      <c r="AE29" s="73" t="n">
        <v>0</v>
      </c>
      <c r="AF29" s="73" t="n">
        <v>0</v>
      </c>
      <c r="AG29" s="73" t="n">
        <v>0</v>
      </c>
      <c r="AH29" s="73" t="s">
        <v>211</v>
      </c>
      <c r="AI29" s="73" t="s">
        <v>47</v>
      </c>
      <c r="AJ29" s="75"/>
    </row>
    <row r="30" customFormat="false" ht="15" hidden="false" customHeight="false" outlineLevel="0" collapsed="false">
      <c r="A30" s="52" t="e">
        <f aca="false">VLOOKUP(E30,'[1]Listas Desplegables'!$H$3:$J$7,2,FALSE())</f>
        <v>#N/A</v>
      </c>
      <c r="B30" s="52" t="e">
        <f aca="false">VLOOKUP(E30,'[1]Listas Desplegables'!$H$3:$J$7,3,FALSE())</f>
        <v>#N/A</v>
      </c>
      <c r="C30" s="69" t="n">
        <v>25</v>
      </c>
      <c r="D30" s="78" t="s">
        <v>889</v>
      </c>
      <c r="E30" s="78" t="s">
        <v>890</v>
      </c>
      <c r="F30" s="79" t="n">
        <v>115</v>
      </c>
      <c r="G30" s="71" t="n">
        <v>34.5</v>
      </c>
      <c r="H30" s="72" t="n">
        <v>13.8</v>
      </c>
      <c r="I30" s="72" t="n">
        <v>40</v>
      </c>
      <c r="J30" s="72" t="n">
        <v>40</v>
      </c>
      <c r="K30" s="72" t="n">
        <v>4.7</v>
      </c>
      <c r="L30" s="73" t="s">
        <v>856</v>
      </c>
      <c r="M30" s="72" t="n">
        <v>11.33</v>
      </c>
      <c r="N30" s="72" t="n">
        <v>10.79</v>
      </c>
      <c r="O30" s="72" t="n">
        <v>8.6</v>
      </c>
      <c r="P30" s="72" t="n">
        <v>10.79</v>
      </c>
      <c r="Q30" s="72" t="n">
        <v>11.33</v>
      </c>
      <c r="R30" s="72" t="n">
        <v>8.6</v>
      </c>
      <c r="S30" s="72" t="n">
        <v>9</v>
      </c>
      <c r="T30" s="72" t="n">
        <v>17</v>
      </c>
      <c r="U30" s="72" t="n">
        <v>1</v>
      </c>
      <c r="V30" s="72" t="n">
        <v>1.25</v>
      </c>
      <c r="W30" s="72" t="n">
        <v>130</v>
      </c>
      <c r="X30" s="72" t="n">
        <v>30</v>
      </c>
      <c r="Y30" s="73" t="s">
        <v>201</v>
      </c>
      <c r="Z30" s="74"/>
      <c r="AA30" s="73" t="s">
        <v>210</v>
      </c>
      <c r="AB30" s="73" t="n">
        <v>96.13</v>
      </c>
      <c r="AC30" s="73" t="s">
        <v>865</v>
      </c>
      <c r="AD30" s="73" t="s">
        <v>865</v>
      </c>
      <c r="AE30" s="73" t="n">
        <v>0</v>
      </c>
      <c r="AF30" s="73" t="n">
        <v>0</v>
      </c>
      <c r="AG30" s="73" t="n">
        <v>0</v>
      </c>
      <c r="AH30" s="73" t="s">
        <v>211</v>
      </c>
      <c r="AI30" s="73" t="s">
        <v>47</v>
      </c>
      <c r="AJ30" s="75"/>
    </row>
    <row r="31" customFormat="false" ht="15" hidden="false" customHeight="false" outlineLevel="0" collapsed="false">
      <c r="A31" s="52" t="e">
        <f aca="false">VLOOKUP(E31,'[1]Listas Desplegables'!$H$3:$J$7,2,FALSE())</f>
        <v>#N/A</v>
      </c>
      <c r="B31" s="52" t="e">
        <f aca="false">VLOOKUP(E31,'[1]Listas Desplegables'!$H$3:$J$7,3,FALSE())</f>
        <v>#N/A</v>
      </c>
      <c r="C31" s="69" t="n">
        <v>26</v>
      </c>
      <c r="D31" s="78" t="s">
        <v>891</v>
      </c>
      <c r="E31" s="78" t="s">
        <v>883</v>
      </c>
      <c r="F31" s="79" t="n">
        <v>115</v>
      </c>
      <c r="G31" s="71" t="n">
        <v>34.5</v>
      </c>
      <c r="H31" s="72" t="n">
        <v>13.8</v>
      </c>
      <c r="I31" s="72" t="n">
        <v>40</v>
      </c>
      <c r="J31" s="72" t="n">
        <v>40</v>
      </c>
      <c r="K31" s="72" t="n">
        <v>13.3</v>
      </c>
      <c r="L31" s="73" t="s">
        <v>856</v>
      </c>
      <c r="M31" s="72" t="n">
        <v>8.67</v>
      </c>
      <c r="N31" s="72" t="n">
        <v>8.3</v>
      </c>
      <c r="O31" s="72" t="n">
        <v>6.59999</v>
      </c>
      <c r="P31" s="72" t="n">
        <v>8.3</v>
      </c>
      <c r="Q31" s="72" t="n">
        <v>8.67</v>
      </c>
      <c r="R31" s="72" t="n">
        <v>6.6</v>
      </c>
      <c r="S31" s="72" t="n">
        <v>9</v>
      </c>
      <c r="T31" s="72" t="n">
        <v>17</v>
      </c>
      <c r="U31" s="72" t="n">
        <v>1</v>
      </c>
      <c r="V31" s="72" t="n">
        <v>1.25</v>
      </c>
      <c r="W31" s="72" t="n">
        <v>130</v>
      </c>
      <c r="X31" s="72" t="n">
        <v>30</v>
      </c>
      <c r="Y31" s="73" t="s">
        <v>201</v>
      </c>
      <c r="Z31" s="74"/>
      <c r="AA31" s="73" t="s">
        <v>210</v>
      </c>
      <c r="AB31" s="73" t="n">
        <v>96.66</v>
      </c>
      <c r="AC31" s="73" t="s">
        <v>865</v>
      </c>
      <c r="AD31" s="73" t="s">
        <v>865</v>
      </c>
      <c r="AE31" s="73" t="n">
        <v>0</v>
      </c>
      <c r="AF31" s="73" t="n">
        <v>0</v>
      </c>
      <c r="AG31" s="73" t="n">
        <v>0</v>
      </c>
      <c r="AH31" s="73" t="s">
        <v>211</v>
      </c>
      <c r="AI31" s="73" t="s">
        <v>47</v>
      </c>
      <c r="AJ31" s="75"/>
    </row>
    <row r="32" customFormat="false" ht="15" hidden="false" customHeight="false" outlineLevel="0" collapsed="false">
      <c r="A32" s="52" t="e">
        <f aca="false">VLOOKUP(E32,'[1]Listas Desplegables'!$H$3:$J$7,2,FALSE())</f>
        <v>#N/A</v>
      </c>
      <c r="B32" s="52" t="e">
        <f aca="false">VLOOKUP(E32,'[1]Listas Desplegables'!$H$3:$J$7,3,FALSE())</f>
        <v>#N/A</v>
      </c>
      <c r="C32" s="69" t="n">
        <v>27</v>
      </c>
      <c r="D32" s="78" t="s">
        <v>892</v>
      </c>
      <c r="E32" s="78" t="s">
        <v>890</v>
      </c>
      <c r="F32" s="79" t="n">
        <v>115</v>
      </c>
      <c r="G32" s="71" t="n">
        <v>34.5</v>
      </c>
      <c r="H32" s="72" t="n">
        <v>13.8</v>
      </c>
      <c r="I32" s="72" t="n">
        <v>40</v>
      </c>
      <c r="J32" s="72" t="n">
        <v>40</v>
      </c>
      <c r="K32" s="72" t="n">
        <v>13.3</v>
      </c>
      <c r="L32" s="73" t="s">
        <v>893</v>
      </c>
      <c r="M32" s="72" t="n">
        <v>11.36</v>
      </c>
      <c r="N32" s="72" t="n">
        <v>10.79</v>
      </c>
      <c r="O32" s="72" t="n">
        <v>8.60002</v>
      </c>
      <c r="P32" s="72" t="n">
        <v>10.79</v>
      </c>
      <c r="Q32" s="72" t="n">
        <v>11.36</v>
      </c>
      <c r="R32" s="72" t="n">
        <v>8.6</v>
      </c>
      <c r="S32" s="72" t="n">
        <v>9</v>
      </c>
      <c r="T32" s="72" t="n">
        <v>17</v>
      </c>
      <c r="U32" s="72" t="n">
        <v>1</v>
      </c>
      <c r="V32" s="72" t="n">
        <v>1.25</v>
      </c>
      <c r="W32" s="72" t="n">
        <v>130</v>
      </c>
      <c r="X32" s="72" t="n">
        <v>30</v>
      </c>
      <c r="Y32" s="73" t="s">
        <v>201</v>
      </c>
      <c r="Z32" s="74"/>
      <c r="AA32" s="73" t="s">
        <v>210</v>
      </c>
      <c r="AB32" s="73" t="n">
        <v>97.3</v>
      </c>
      <c r="AC32" s="73" t="s">
        <v>865</v>
      </c>
      <c r="AD32" s="73" t="s">
        <v>865</v>
      </c>
      <c r="AE32" s="73" t="n">
        <v>0</v>
      </c>
      <c r="AF32" s="73" t="n">
        <v>0</v>
      </c>
      <c r="AG32" s="73" t="n">
        <v>0</v>
      </c>
      <c r="AH32" s="73" t="s">
        <v>211</v>
      </c>
      <c r="AI32" s="73" t="s">
        <v>47</v>
      </c>
      <c r="AJ32" s="75"/>
    </row>
    <row r="33" customFormat="false" ht="15" hidden="false" customHeight="false" outlineLevel="0" collapsed="false">
      <c r="A33" s="52" t="e">
        <f aca="false">VLOOKUP(E33,'[1]Listas Desplegables'!$H$3:$J$7,2,FALSE())</f>
        <v>#N/A</v>
      </c>
      <c r="B33" s="52" t="e">
        <f aca="false">VLOOKUP(E33,'[1]Listas Desplegables'!$H$3:$J$7,3,FALSE())</f>
        <v>#N/A</v>
      </c>
      <c r="C33" s="69" t="n">
        <v>28</v>
      </c>
      <c r="D33" s="78" t="s">
        <v>894</v>
      </c>
      <c r="E33" s="78" t="s">
        <v>883</v>
      </c>
      <c r="F33" s="79" t="n">
        <v>115</v>
      </c>
      <c r="G33" s="71" t="n">
        <v>34.5</v>
      </c>
      <c r="H33" s="72" t="n">
        <v>13.8</v>
      </c>
      <c r="I33" s="72" t="n">
        <v>40</v>
      </c>
      <c r="J33" s="72" t="n">
        <v>40</v>
      </c>
      <c r="K33" s="72" t="n">
        <v>13.3</v>
      </c>
      <c r="L33" s="73" t="s">
        <v>860</v>
      </c>
      <c r="M33" s="72" t="n">
        <v>8.4</v>
      </c>
      <c r="N33" s="72" t="n">
        <v>8.3</v>
      </c>
      <c r="O33" s="72" t="n">
        <v>6.2</v>
      </c>
      <c r="P33" s="72" t="n">
        <v>8.3</v>
      </c>
      <c r="Q33" s="72" t="n">
        <v>8.4</v>
      </c>
      <c r="R33" s="72" t="n">
        <v>6.2</v>
      </c>
      <c r="S33" s="72" t="n">
        <v>9</v>
      </c>
      <c r="T33" s="72" t="n">
        <v>17</v>
      </c>
      <c r="U33" s="72" t="n">
        <v>1</v>
      </c>
      <c r="V33" s="72" t="n">
        <v>1.25</v>
      </c>
      <c r="W33" s="72" t="n">
        <v>130</v>
      </c>
      <c r="X33" s="72" t="n">
        <v>30</v>
      </c>
      <c r="Y33" s="73" t="s">
        <v>201</v>
      </c>
      <c r="Z33" s="74"/>
      <c r="AA33" s="73" t="s">
        <v>210</v>
      </c>
      <c r="AB33" s="73" t="n">
        <v>96.66</v>
      </c>
      <c r="AC33" s="73" t="s">
        <v>865</v>
      </c>
      <c r="AD33" s="73" t="s">
        <v>865</v>
      </c>
      <c r="AE33" s="73" t="n">
        <v>0</v>
      </c>
      <c r="AF33" s="73" t="n">
        <v>0</v>
      </c>
      <c r="AG33" s="73" t="n">
        <v>0</v>
      </c>
      <c r="AH33" s="73" t="s">
        <v>211</v>
      </c>
      <c r="AI33" s="73" t="s">
        <v>47</v>
      </c>
      <c r="AJ33" s="75"/>
    </row>
    <row r="34" customFormat="false" ht="15" hidden="false" customHeight="false" outlineLevel="0" collapsed="false">
      <c r="A34" s="52" t="e">
        <f aca="false">VLOOKUP(E34,'[1]Listas Desplegables'!$H$3:$J$7,2,FALSE())</f>
        <v>#N/A</v>
      </c>
      <c r="B34" s="52" t="e">
        <f aca="false">VLOOKUP(E34,'[1]Listas Desplegables'!$H$3:$J$7,3,FALSE())</f>
        <v>#N/A</v>
      </c>
      <c r="C34" s="69" t="n">
        <v>29</v>
      </c>
      <c r="D34" s="78" t="s">
        <v>895</v>
      </c>
      <c r="E34" s="78" t="s">
        <v>841</v>
      </c>
      <c r="F34" s="79" t="n">
        <v>115</v>
      </c>
      <c r="G34" s="71" t="n">
        <v>34.5</v>
      </c>
      <c r="H34" s="72" t="n">
        <v>13.8</v>
      </c>
      <c r="I34" s="72" t="n">
        <v>40</v>
      </c>
      <c r="J34" s="72" t="n">
        <v>40</v>
      </c>
      <c r="K34" s="72" t="n">
        <v>13.3</v>
      </c>
      <c r="L34" s="73" t="s">
        <v>856</v>
      </c>
      <c r="M34" s="72" t="n">
        <v>8.68</v>
      </c>
      <c r="N34" s="72" t="n">
        <v>8.31001</v>
      </c>
      <c r="O34" s="72" t="n">
        <v>6.59999</v>
      </c>
      <c r="P34" s="72" t="n">
        <v>8.31</v>
      </c>
      <c r="Q34" s="72" t="n">
        <v>8.68</v>
      </c>
      <c r="R34" s="72" t="n">
        <v>6.6</v>
      </c>
      <c r="S34" s="72" t="n">
        <v>9</v>
      </c>
      <c r="T34" s="72" t="n">
        <v>17</v>
      </c>
      <c r="U34" s="72" t="n">
        <v>1</v>
      </c>
      <c r="V34" s="72" t="n">
        <v>1.25</v>
      </c>
      <c r="W34" s="72" t="n">
        <v>130</v>
      </c>
      <c r="X34" s="72" t="n">
        <v>30</v>
      </c>
      <c r="Y34" s="73" t="s">
        <v>201</v>
      </c>
      <c r="Z34" s="74"/>
      <c r="AA34" s="73" t="s">
        <v>210</v>
      </c>
      <c r="AB34" s="73" t="n">
        <v>96.66</v>
      </c>
      <c r="AC34" s="73" t="s">
        <v>865</v>
      </c>
      <c r="AD34" s="73" t="s">
        <v>865</v>
      </c>
      <c r="AE34" s="73" t="n">
        <v>0</v>
      </c>
      <c r="AF34" s="73" t="n">
        <v>0</v>
      </c>
      <c r="AG34" s="73" t="n">
        <v>0</v>
      </c>
      <c r="AH34" s="73" t="s">
        <v>211</v>
      </c>
      <c r="AI34" s="73" t="s">
        <v>47</v>
      </c>
      <c r="AJ34" s="75"/>
    </row>
    <row r="35" customFormat="false" ht="15" hidden="false" customHeight="false" outlineLevel="0" collapsed="false">
      <c r="A35" s="52" t="e">
        <f aca="false">VLOOKUP(E35,'[1]Listas Desplegables'!$H$3:$J$7,2,FALSE())</f>
        <v>#N/A</v>
      </c>
      <c r="B35" s="52" t="e">
        <f aca="false">VLOOKUP(E35,'[1]Listas Desplegables'!$H$3:$J$7,3,FALSE())</f>
        <v>#N/A</v>
      </c>
      <c r="C35" s="76" t="n">
        <v>30</v>
      </c>
      <c r="D35" s="78" t="s">
        <v>896</v>
      </c>
      <c r="E35" s="78" t="s">
        <v>548</v>
      </c>
      <c r="F35" s="79" t="n">
        <v>115</v>
      </c>
      <c r="G35" s="71" t="n">
        <v>34.5</v>
      </c>
      <c r="H35" s="72" t="n">
        <v>13.8</v>
      </c>
      <c r="I35" s="72" t="n">
        <v>50</v>
      </c>
      <c r="J35" s="72" t="n">
        <v>50</v>
      </c>
      <c r="K35" s="72" t="n">
        <v>16.7</v>
      </c>
      <c r="L35" s="73" t="s">
        <v>897</v>
      </c>
      <c r="M35" s="72" t="n">
        <v>10.3</v>
      </c>
      <c r="N35" s="72" t="n">
        <v>3</v>
      </c>
      <c r="O35" s="72" t="n">
        <v>7.9</v>
      </c>
      <c r="P35" s="72" t="n">
        <v>0</v>
      </c>
      <c r="Q35" s="72" t="n">
        <v>0</v>
      </c>
      <c r="R35" s="72" t="n">
        <v>0</v>
      </c>
      <c r="S35" s="72" t="n">
        <v>0</v>
      </c>
      <c r="T35" s="72" t="n">
        <v>9</v>
      </c>
      <c r="U35" s="72" t="n">
        <v>-9</v>
      </c>
      <c r="V35" s="72" t="n">
        <v>1.25</v>
      </c>
      <c r="W35" s="72" t="n">
        <v>100</v>
      </c>
      <c r="X35" s="72" t="n">
        <v>30</v>
      </c>
      <c r="Y35" s="73" t="s">
        <v>201</v>
      </c>
      <c r="Z35" s="74"/>
      <c r="AA35" s="73" t="s">
        <v>210</v>
      </c>
      <c r="AB35" s="73" t="n">
        <v>0</v>
      </c>
      <c r="AC35" s="73" t="n">
        <v>0</v>
      </c>
      <c r="AD35" s="73" t="n">
        <v>0</v>
      </c>
      <c r="AE35" s="73" t="n">
        <v>0</v>
      </c>
      <c r="AF35" s="73" t="n">
        <v>0</v>
      </c>
      <c r="AG35" s="73" t="n">
        <v>0</v>
      </c>
      <c r="AH35" s="73" t="s">
        <v>211</v>
      </c>
      <c r="AI35" s="73" t="s">
        <v>53</v>
      </c>
      <c r="AJ35" s="75"/>
    </row>
    <row r="36" customFormat="false" ht="15" hidden="false" customHeight="false" outlineLevel="0" collapsed="false">
      <c r="A36" s="52" t="e">
        <f aca="false">VLOOKUP(E36,'[1]Listas Desplegables'!$H$3:$J$7,2,FALSE())</f>
        <v>#N/A</v>
      </c>
      <c r="B36" s="52" t="e">
        <f aca="false">VLOOKUP(E36,'[1]Listas Desplegables'!$H$3:$J$7,3,FALSE())</f>
        <v>#N/A</v>
      </c>
      <c r="C36" s="69" t="n">
        <v>31</v>
      </c>
      <c r="D36" s="78" t="s">
        <v>898</v>
      </c>
      <c r="E36" s="78" t="s">
        <v>899</v>
      </c>
      <c r="F36" s="79" t="n">
        <v>115</v>
      </c>
      <c r="G36" s="71" t="n">
        <v>34.5</v>
      </c>
      <c r="H36" s="72" t="n">
        <v>13.8</v>
      </c>
      <c r="I36" s="72" t="n">
        <v>15</v>
      </c>
      <c r="J36" s="72" t="n">
        <v>15</v>
      </c>
      <c r="K36" s="72" t="n">
        <v>3</v>
      </c>
      <c r="L36" s="73" t="s">
        <v>900</v>
      </c>
      <c r="M36" s="72" t="n">
        <v>9.3</v>
      </c>
      <c r="N36" s="72" t="n">
        <v>8.93</v>
      </c>
      <c r="O36" s="72" t="n">
        <v>3</v>
      </c>
      <c r="P36" s="72" t="n">
        <v>8.93</v>
      </c>
      <c r="Q36" s="72" t="n">
        <v>0</v>
      </c>
      <c r="R36" s="72" t="n">
        <v>0</v>
      </c>
      <c r="S36" s="72" t="n">
        <v>17</v>
      </c>
      <c r="T36" s="72" t="n">
        <v>33</v>
      </c>
      <c r="U36" s="72" t="n">
        <v>1</v>
      </c>
      <c r="V36" s="72" t="n">
        <v>0.625</v>
      </c>
      <c r="W36" s="72" t="n">
        <v>120</v>
      </c>
      <c r="X36" s="72" t="n">
        <v>30</v>
      </c>
      <c r="Y36" s="73" t="s">
        <v>201</v>
      </c>
      <c r="Z36" s="74"/>
      <c r="AA36" s="73" t="s">
        <v>210</v>
      </c>
      <c r="AB36" s="73" t="n">
        <v>0</v>
      </c>
      <c r="AC36" s="73" t="s">
        <v>865</v>
      </c>
      <c r="AD36" s="73" t="n">
        <v>0</v>
      </c>
      <c r="AE36" s="73" t="n">
        <v>0</v>
      </c>
      <c r="AF36" s="73" t="n">
        <v>0</v>
      </c>
      <c r="AG36" s="73" t="n">
        <v>0</v>
      </c>
      <c r="AH36" s="73" t="s">
        <v>211</v>
      </c>
      <c r="AI36" s="73" t="s">
        <v>47</v>
      </c>
      <c r="AJ36" s="75"/>
    </row>
    <row r="37" customFormat="false" ht="15" hidden="false" customHeight="false" outlineLevel="0" collapsed="false">
      <c r="A37" s="52" t="e">
        <f aca="false">VLOOKUP(E37,'[1]Listas Desplegables'!$H$3:$J$7,2,FALSE())</f>
        <v>#N/A</v>
      </c>
      <c r="B37" s="52" t="e">
        <f aca="false">VLOOKUP(E37,'[1]Listas Desplegables'!$H$3:$J$7,3,FALSE())</f>
        <v>#N/A</v>
      </c>
      <c r="C37" s="69" t="n">
        <v>32</v>
      </c>
      <c r="D37" s="78" t="s">
        <v>901</v>
      </c>
      <c r="E37" s="78" t="s">
        <v>888</v>
      </c>
      <c r="F37" s="79" t="n">
        <v>115</v>
      </c>
      <c r="G37" s="71" t="n">
        <v>34.5</v>
      </c>
      <c r="H37" s="72" t="n">
        <v>13.8</v>
      </c>
      <c r="I37" s="72" t="n">
        <v>40</v>
      </c>
      <c r="J37" s="72" t="n">
        <v>40</v>
      </c>
      <c r="K37" s="72" t="n">
        <v>13.3</v>
      </c>
      <c r="L37" s="73" t="s">
        <v>856</v>
      </c>
      <c r="M37" s="72" t="n">
        <v>8.42</v>
      </c>
      <c r="N37" s="72" t="n">
        <v>8.3</v>
      </c>
      <c r="O37" s="72" t="n">
        <v>6.6</v>
      </c>
      <c r="P37" s="72" t="n">
        <v>8.694299</v>
      </c>
      <c r="Q37" s="72" t="n">
        <v>8.82</v>
      </c>
      <c r="R37" s="72" t="n">
        <v>6.91354</v>
      </c>
      <c r="S37" s="72" t="n">
        <v>9</v>
      </c>
      <c r="T37" s="72" t="n">
        <v>17</v>
      </c>
      <c r="U37" s="72" t="n">
        <v>1</v>
      </c>
      <c r="V37" s="72" t="n">
        <v>1.25</v>
      </c>
      <c r="W37" s="72" t="n">
        <v>130</v>
      </c>
      <c r="X37" s="72" t="n">
        <v>0</v>
      </c>
      <c r="Y37" s="73" t="s">
        <v>201</v>
      </c>
      <c r="Z37" s="74"/>
      <c r="AA37" s="73" t="s">
        <v>210</v>
      </c>
      <c r="AB37" s="73" t="n">
        <v>98.743</v>
      </c>
      <c r="AC37" s="73" t="s">
        <v>865</v>
      </c>
      <c r="AD37" s="73" t="s">
        <v>865</v>
      </c>
      <c r="AE37" s="73" t="n">
        <v>0</v>
      </c>
      <c r="AF37" s="73" t="n">
        <v>0</v>
      </c>
      <c r="AG37" s="73" t="n">
        <v>0</v>
      </c>
      <c r="AH37" s="73" t="s">
        <v>211</v>
      </c>
      <c r="AI37" s="73" t="s">
        <v>47</v>
      </c>
      <c r="AJ37" s="75"/>
    </row>
    <row r="38" customFormat="false" ht="15" hidden="false" customHeight="false" outlineLevel="0" collapsed="false">
      <c r="A38" s="52" t="e">
        <f aca="false">VLOOKUP(E38,'[1]Listas Desplegables'!$H$3:$J$7,2,FALSE())</f>
        <v>#N/A</v>
      </c>
      <c r="B38" s="52" t="e">
        <f aca="false">VLOOKUP(E38,'[1]Listas Desplegables'!$H$3:$J$7,3,FALSE())</f>
        <v>#N/A</v>
      </c>
      <c r="C38" s="69" t="n">
        <v>33</v>
      </c>
      <c r="D38" s="78" t="s">
        <v>902</v>
      </c>
      <c r="E38" s="78" t="s">
        <v>886</v>
      </c>
      <c r="F38" s="79" t="n">
        <v>115</v>
      </c>
      <c r="G38" s="71" t="n">
        <v>34.5</v>
      </c>
      <c r="H38" s="72" t="n">
        <v>13.2</v>
      </c>
      <c r="I38" s="72" t="n">
        <v>25</v>
      </c>
      <c r="J38" s="72" t="n">
        <v>25</v>
      </c>
      <c r="K38" s="72" t="n">
        <v>8.3</v>
      </c>
      <c r="L38" s="73" t="s">
        <v>856</v>
      </c>
      <c r="M38" s="72" t="n">
        <v>9.77</v>
      </c>
      <c r="N38" s="72" t="n">
        <v>5.52</v>
      </c>
      <c r="O38" s="72" t="n">
        <v>1.67</v>
      </c>
      <c r="P38" s="72" t="n">
        <v>4.3749</v>
      </c>
      <c r="Q38" s="72" t="n">
        <v>8.05</v>
      </c>
      <c r="R38" s="72" t="n">
        <v>1.59</v>
      </c>
      <c r="S38" s="72" t="n">
        <v>10</v>
      </c>
      <c r="T38" s="72" t="n">
        <v>19</v>
      </c>
      <c r="U38" s="72" t="n">
        <v>1</v>
      </c>
      <c r="V38" s="72" t="n">
        <v>1.25</v>
      </c>
      <c r="W38" s="72" t="n">
        <v>120</v>
      </c>
      <c r="X38" s="72" t="n">
        <v>120</v>
      </c>
      <c r="Y38" s="73" t="s">
        <v>201</v>
      </c>
      <c r="Z38" s="74"/>
      <c r="AA38" s="73" t="s">
        <v>210</v>
      </c>
      <c r="AB38" s="73" t="n">
        <v>106.638</v>
      </c>
      <c r="AC38" s="73" t="n">
        <v>16.96</v>
      </c>
      <c r="AD38" s="73" t="n">
        <v>15.2</v>
      </c>
      <c r="AE38" s="73" t="n">
        <v>0</v>
      </c>
      <c r="AF38" s="73" t="n">
        <v>0</v>
      </c>
      <c r="AG38" s="73" t="n">
        <v>0</v>
      </c>
      <c r="AH38" s="73" t="s">
        <v>211</v>
      </c>
      <c r="AI38" s="73" t="s">
        <v>47</v>
      </c>
      <c r="AJ38" s="75"/>
    </row>
    <row r="39" customFormat="false" ht="15" hidden="false" customHeight="false" outlineLevel="0" collapsed="false">
      <c r="A39" s="52" t="e">
        <f aca="false">VLOOKUP(E39,'[1]Listas Desplegables'!$H$3:$J$7,2,FALSE())</f>
        <v>#N/A</v>
      </c>
      <c r="B39" s="52" t="e">
        <f aca="false">VLOOKUP(E39,'[1]Listas Desplegables'!$H$3:$J$7,3,FALSE())</f>
        <v>#N/A</v>
      </c>
      <c r="C39" s="69" t="n">
        <v>34</v>
      </c>
      <c r="D39" s="78" t="s">
        <v>903</v>
      </c>
      <c r="E39" s="78" t="s">
        <v>904</v>
      </c>
      <c r="F39" s="79" t="n">
        <v>115</v>
      </c>
      <c r="G39" s="71" t="n">
        <v>34.5</v>
      </c>
      <c r="H39" s="72" t="n">
        <v>13.8</v>
      </c>
      <c r="I39" s="72" t="n">
        <v>40</v>
      </c>
      <c r="J39" s="72" t="n">
        <v>40</v>
      </c>
      <c r="K39" s="72" t="n">
        <v>13.3</v>
      </c>
      <c r="L39" s="73" t="s">
        <v>856</v>
      </c>
      <c r="M39" s="72" t="n">
        <v>8.51</v>
      </c>
      <c r="N39" s="72" t="n">
        <v>8.29999</v>
      </c>
      <c r="O39" s="72" t="n">
        <v>6.60002</v>
      </c>
      <c r="P39" s="72" t="n">
        <v>8.3</v>
      </c>
      <c r="Q39" s="72" t="n">
        <v>8.84</v>
      </c>
      <c r="R39" s="72" t="n">
        <v>6.6</v>
      </c>
      <c r="S39" s="72" t="n">
        <v>9</v>
      </c>
      <c r="T39" s="72" t="n">
        <v>17</v>
      </c>
      <c r="U39" s="72" t="n">
        <v>1</v>
      </c>
      <c r="V39" s="72" t="n">
        <v>1.25</v>
      </c>
      <c r="W39" s="72" t="n">
        <v>120</v>
      </c>
      <c r="X39" s="72" t="n">
        <v>30</v>
      </c>
      <c r="Y39" s="73" t="s">
        <v>201</v>
      </c>
      <c r="Z39" s="74"/>
      <c r="AA39" s="73" t="s">
        <v>210</v>
      </c>
      <c r="AB39" s="73" t="n">
        <v>96.86</v>
      </c>
      <c r="AC39" s="73" t="s">
        <v>865</v>
      </c>
      <c r="AD39" s="73" t="s">
        <v>865</v>
      </c>
      <c r="AE39" s="73" t="n">
        <v>0</v>
      </c>
      <c r="AF39" s="73" t="n">
        <v>0</v>
      </c>
      <c r="AG39" s="73" t="n">
        <v>0</v>
      </c>
      <c r="AH39" s="73" t="s">
        <v>211</v>
      </c>
      <c r="AI39" s="73" t="s">
        <v>47</v>
      </c>
      <c r="AJ39" s="75"/>
    </row>
    <row r="40" customFormat="false" ht="15" hidden="false" customHeight="false" outlineLevel="0" collapsed="false">
      <c r="A40" s="52" t="e">
        <f aca="false">VLOOKUP(E40,'[1]Listas Desplegables'!$H$3:$J$7,2,FALSE())</f>
        <v>#N/A</v>
      </c>
      <c r="B40" s="52" t="e">
        <f aca="false">VLOOKUP(E40,'[1]Listas Desplegables'!$H$3:$J$7,3,FALSE())</f>
        <v>#N/A</v>
      </c>
      <c r="C40" s="69" t="n">
        <v>35</v>
      </c>
      <c r="D40" s="78" t="s">
        <v>905</v>
      </c>
      <c r="E40" s="78" t="s">
        <v>906</v>
      </c>
      <c r="F40" s="79" t="n">
        <v>115</v>
      </c>
      <c r="G40" s="71" t="n">
        <v>34.5</v>
      </c>
      <c r="H40" s="72" t="n">
        <v>13.8</v>
      </c>
      <c r="I40" s="72" t="n">
        <v>40</v>
      </c>
      <c r="J40" s="72" t="n">
        <v>40</v>
      </c>
      <c r="K40" s="72" t="n">
        <v>13.3</v>
      </c>
      <c r="L40" s="73" t="s">
        <v>860</v>
      </c>
      <c r="M40" s="72" t="n">
        <v>8.7</v>
      </c>
      <c r="N40" s="72" t="n">
        <v>6.42001</v>
      </c>
      <c r="O40" s="72" t="n">
        <v>2.92001</v>
      </c>
      <c r="P40" s="72" t="n">
        <v>6.42001</v>
      </c>
      <c r="Q40" s="72" t="n">
        <v>8.7</v>
      </c>
      <c r="R40" s="72" t="n">
        <v>2.92001</v>
      </c>
      <c r="S40" s="72" t="n">
        <v>9</v>
      </c>
      <c r="T40" s="72" t="n">
        <v>17</v>
      </c>
      <c r="U40" s="72" t="n">
        <v>1</v>
      </c>
      <c r="V40" s="72" t="n">
        <v>1.25</v>
      </c>
      <c r="W40" s="72" t="n">
        <v>130</v>
      </c>
      <c r="X40" s="72" t="n">
        <v>30</v>
      </c>
      <c r="Y40" s="73" t="s">
        <v>201</v>
      </c>
      <c r="Z40" s="74"/>
      <c r="AA40" s="73" t="s">
        <v>210</v>
      </c>
      <c r="AB40" s="73" t="n">
        <v>97.3</v>
      </c>
      <c r="AC40" s="73" t="s">
        <v>865</v>
      </c>
      <c r="AD40" s="73" t="s">
        <v>865</v>
      </c>
      <c r="AE40" s="73" t="n">
        <v>0</v>
      </c>
      <c r="AF40" s="73" t="n">
        <v>0</v>
      </c>
      <c r="AG40" s="73" t="n">
        <v>0</v>
      </c>
      <c r="AH40" s="73" t="s">
        <v>211</v>
      </c>
      <c r="AI40" s="73" t="s">
        <v>47</v>
      </c>
      <c r="AJ40" s="75"/>
    </row>
    <row r="41" customFormat="false" ht="15" hidden="false" customHeight="false" outlineLevel="0" collapsed="false">
      <c r="A41" s="52" t="e">
        <f aca="false">VLOOKUP(E41,'[1]Listas Desplegables'!$H$3:$J$7,2,FALSE())</f>
        <v>#N/A</v>
      </c>
      <c r="B41" s="52" t="e">
        <f aca="false">VLOOKUP(E41,'[1]Listas Desplegables'!$H$3:$J$7,3,FALSE())</f>
        <v>#N/A</v>
      </c>
      <c r="C41" s="69" t="n">
        <v>36</v>
      </c>
      <c r="D41" s="78" t="s">
        <v>907</v>
      </c>
      <c r="E41" s="78" t="s">
        <v>904</v>
      </c>
      <c r="F41" s="79" t="n">
        <v>115</v>
      </c>
      <c r="G41" s="71" t="n">
        <v>34.5</v>
      </c>
      <c r="H41" s="72" t="n">
        <v>13.8</v>
      </c>
      <c r="I41" s="72" t="n">
        <v>40</v>
      </c>
      <c r="J41" s="72" t="n">
        <v>40</v>
      </c>
      <c r="K41" s="72" t="n">
        <v>13.3</v>
      </c>
      <c r="L41" s="73" t="s">
        <v>856</v>
      </c>
      <c r="M41" s="72" t="n">
        <v>10.75</v>
      </c>
      <c r="N41" s="72" t="n">
        <v>6.17999</v>
      </c>
      <c r="O41" s="72" t="n">
        <v>2.91001</v>
      </c>
      <c r="P41" s="72" t="n">
        <v>6.1799</v>
      </c>
      <c r="Q41" s="72" t="n">
        <v>9.7</v>
      </c>
      <c r="R41" s="72" t="n">
        <v>2.91</v>
      </c>
      <c r="S41" s="72" t="n">
        <v>7</v>
      </c>
      <c r="T41" s="72" t="n">
        <v>15</v>
      </c>
      <c r="U41" s="72" t="n">
        <v>1</v>
      </c>
      <c r="V41" s="72" t="n">
        <v>1.25</v>
      </c>
      <c r="W41" s="72" t="n">
        <v>120</v>
      </c>
      <c r="X41" s="72" t="n">
        <v>30</v>
      </c>
      <c r="Y41" s="73" t="s">
        <v>201</v>
      </c>
      <c r="Z41" s="74"/>
      <c r="AA41" s="73" t="s">
        <v>210</v>
      </c>
      <c r="AB41" s="73" t="n">
        <v>96.86</v>
      </c>
      <c r="AC41" s="73" t="s">
        <v>865</v>
      </c>
      <c r="AD41" s="73" t="s">
        <v>865</v>
      </c>
      <c r="AE41" s="73" t="n">
        <v>0</v>
      </c>
      <c r="AF41" s="73" t="n">
        <v>0</v>
      </c>
      <c r="AG41" s="73" t="n">
        <v>0</v>
      </c>
      <c r="AH41" s="73" t="s">
        <v>211</v>
      </c>
      <c r="AI41" s="73" t="s">
        <v>47</v>
      </c>
      <c r="AJ41" s="75"/>
    </row>
    <row r="42" customFormat="false" ht="15" hidden="false" customHeight="false" outlineLevel="0" collapsed="false">
      <c r="A42" s="52" t="e">
        <f aca="false">VLOOKUP(E42,'[1]Listas Desplegables'!$H$3:$J$7,2,FALSE())</f>
        <v>#N/A</v>
      </c>
      <c r="B42" s="52" t="e">
        <f aca="false">VLOOKUP(E42,'[1]Listas Desplegables'!$H$3:$J$7,3,FALSE())</f>
        <v>#N/A</v>
      </c>
      <c r="C42" s="69" t="n">
        <v>37</v>
      </c>
      <c r="D42" s="78" t="s">
        <v>908</v>
      </c>
      <c r="E42" s="78" t="s">
        <v>909</v>
      </c>
      <c r="F42" s="79" t="n">
        <v>115</v>
      </c>
      <c r="G42" s="71" t="n">
        <v>34.5</v>
      </c>
      <c r="H42" s="72" t="n">
        <v>13.8</v>
      </c>
      <c r="I42" s="72" t="n">
        <v>20</v>
      </c>
      <c r="J42" s="72" t="n">
        <v>20</v>
      </c>
      <c r="K42" s="72" t="n">
        <v>6.7</v>
      </c>
      <c r="L42" s="73" t="s">
        <v>856</v>
      </c>
      <c r="M42" s="72" t="n">
        <v>12.67</v>
      </c>
      <c r="N42" s="72" t="n">
        <v>6.67</v>
      </c>
      <c r="O42" s="72" t="n">
        <v>1.87</v>
      </c>
      <c r="P42" s="72" t="n">
        <v>6.67</v>
      </c>
      <c r="Q42" s="72" t="n">
        <v>12.67</v>
      </c>
      <c r="R42" s="72" t="n">
        <v>1.87</v>
      </c>
      <c r="S42" s="72" t="n">
        <v>9</v>
      </c>
      <c r="T42" s="72" t="n">
        <v>17</v>
      </c>
      <c r="U42" s="72" t="n">
        <v>1</v>
      </c>
      <c r="V42" s="72" t="n">
        <v>1.25</v>
      </c>
      <c r="W42" s="72" t="n">
        <v>130</v>
      </c>
      <c r="X42" s="72" t="n">
        <v>30</v>
      </c>
      <c r="Y42" s="73" t="s">
        <v>201</v>
      </c>
      <c r="Z42" s="74"/>
      <c r="AA42" s="73" t="s">
        <v>210</v>
      </c>
      <c r="AB42" s="73" t="n">
        <v>97.34</v>
      </c>
      <c r="AC42" s="73" t="s">
        <v>865</v>
      </c>
      <c r="AD42" s="73" t="s">
        <v>865</v>
      </c>
      <c r="AE42" s="73" t="n">
        <v>0</v>
      </c>
      <c r="AF42" s="73" t="n">
        <v>0</v>
      </c>
      <c r="AG42" s="73" t="n">
        <v>0</v>
      </c>
      <c r="AH42" s="73" t="s">
        <v>211</v>
      </c>
      <c r="AI42" s="73" t="s">
        <v>47</v>
      </c>
      <c r="AJ42" s="75"/>
    </row>
    <row r="43" customFormat="false" ht="15" hidden="false" customHeight="false" outlineLevel="0" collapsed="false">
      <c r="A43" s="52" t="e">
        <f aca="false">VLOOKUP(E43,'[1]Listas Desplegables'!$H$3:$J$7,2,FALSE())</f>
        <v>#N/A</v>
      </c>
      <c r="B43" s="52" t="e">
        <f aca="false">VLOOKUP(E43,'[1]Listas Desplegables'!$H$3:$J$7,3,FALSE())</f>
        <v>#N/A</v>
      </c>
      <c r="C43" s="69" t="n">
        <v>38</v>
      </c>
      <c r="D43" s="78" t="s">
        <v>910</v>
      </c>
      <c r="E43" s="78" t="s">
        <v>911</v>
      </c>
      <c r="F43" s="79" t="n">
        <v>115</v>
      </c>
      <c r="G43" s="71" t="n">
        <v>34.5</v>
      </c>
      <c r="H43" s="72" t="n">
        <v>13.8</v>
      </c>
      <c r="I43" s="72" t="n">
        <v>40</v>
      </c>
      <c r="J43" s="72" t="n">
        <v>40</v>
      </c>
      <c r="K43" s="72" t="n">
        <v>13.3</v>
      </c>
      <c r="L43" s="73" t="s">
        <v>856</v>
      </c>
      <c r="M43" s="72" t="n">
        <v>8.68</v>
      </c>
      <c r="N43" s="72" t="n">
        <v>8.56999</v>
      </c>
      <c r="O43" s="72" t="n">
        <v>6.60002</v>
      </c>
      <c r="P43" s="72" t="n">
        <v>8.57</v>
      </c>
      <c r="Q43" s="72" t="n">
        <v>8.68</v>
      </c>
      <c r="R43" s="72" t="n">
        <v>6.6</v>
      </c>
      <c r="S43" s="72" t="n">
        <v>9</v>
      </c>
      <c r="T43" s="72" t="n">
        <v>17</v>
      </c>
      <c r="U43" s="72" t="n">
        <v>1</v>
      </c>
      <c r="V43" s="72" t="n">
        <v>1.25</v>
      </c>
      <c r="W43" s="72" t="n">
        <v>120</v>
      </c>
      <c r="X43" s="72" t="n">
        <v>30</v>
      </c>
      <c r="Y43" s="73" t="s">
        <v>201</v>
      </c>
      <c r="Z43" s="74"/>
      <c r="AA43" s="73" t="s">
        <v>210</v>
      </c>
      <c r="AB43" s="73" t="n">
        <v>98.74</v>
      </c>
      <c r="AC43" s="73" t="s">
        <v>865</v>
      </c>
      <c r="AD43" s="73" t="s">
        <v>865</v>
      </c>
      <c r="AE43" s="73" t="n">
        <v>0</v>
      </c>
      <c r="AF43" s="73" t="n">
        <v>0</v>
      </c>
      <c r="AG43" s="73" t="n">
        <v>0</v>
      </c>
      <c r="AH43" s="73" t="s">
        <v>211</v>
      </c>
      <c r="AI43" s="73" t="s">
        <v>47</v>
      </c>
      <c r="AJ43" s="75"/>
    </row>
    <row r="44" customFormat="false" ht="15.75" hidden="false" customHeight="false" outlineLevel="0" collapsed="false">
      <c r="A44" s="52" t="e">
        <f aca="false">VLOOKUP(E44,'[1]Listas Desplegables'!$H$3:$J$7,2,FALSE())</f>
        <v>#N/A</v>
      </c>
      <c r="B44" s="52" t="e">
        <f aca="false">VLOOKUP(E44,'[1]Listas Desplegables'!$H$3:$J$7,3,FALSE())</f>
        <v>#N/A</v>
      </c>
      <c r="C44" s="76" t="n">
        <v>39</v>
      </c>
      <c r="D44" s="78" t="s">
        <v>912</v>
      </c>
      <c r="E44" s="78" t="s">
        <v>913</v>
      </c>
      <c r="F44" s="79" t="n">
        <v>115</v>
      </c>
      <c r="G44" s="71" t="n">
        <v>34.5</v>
      </c>
      <c r="H44" s="72" t="n">
        <v>13.8</v>
      </c>
      <c r="I44" s="72" t="n">
        <v>40</v>
      </c>
      <c r="J44" s="72" t="n">
        <v>40</v>
      </c>
      <c r="K44" s="72" t="n">
        <v>13.3</v>
      </c>
      <c r="L44" s="73" t="s">
        <v>860</v>
      </c>
      <c r="M44" s="72" t="n">
        <v>11.01</v>
      </c>
      <c r="N44" s="72" t="n">
        <v>12.99999</v>
      </c>
      <c r="O44" s="72" t="n">
        <v>6</v>
      </c>
      <c r="P44" s="72" t="n">
        <v>13</v>
      </c>
      <c r="Q44" s="72" t="n">
        <v>10.54</v>
      </c>
      <c r="R44" s="72" t="n">
        <v>6</v>
      </c>
      <c r="S44" s="72" t="n">
        <v>9</v>
      </c>
      <c r="T44" s="72" t="n">
        <v>17</v>
      </c>
      <c r="U44" s="72" t="n">
        <v>1</v>
      </c>
      <c r="V44" s="72" t="n">
        <v>1.25</v>
      </c>
      <c r="W44" s="72" t="n">
        <v>130</v>
      </c>
      <c r="X44" s="72" t="n">
        <v>30</v>
      </c>
      <c r="Y44" s="73" t="s">
        <v>201</v>
      </c>
      <c r="Z44" s="74"/>
      <c r="AA44" s="73" t="s">
        <v>210</v>
      </c>
      <c r="AB44" s="73" t="n">
        <v>145.43</v>
      </c>
      <c r="AC44" s="73" t="s">
        <v>865</v>
      </c>
      <c r="AD44" s="73" t="s">
        <v>865</v>
      </c>
      <c r="AE44" s="73" t="n">
        <v>0</v>
      </c>
      <c r="AF44" s="73" t="n">
        <v>0</v>
      </c>
      <c r="AG44" s="73" t="n">
        <v>0</v>
      </c>
      <c r="AH44" s="73" t="s">
        <v>211</v>
      </c>
      <c r="AI44" s="73" t="s">
        <v>47</v>
      </c>
      <c r="AJ44" s="75"/>
    </row>
    <row r="45" customFormat="false" ht="15.75" hidden="false" customHeight="false" outlineLevel="0" collapsed="false">
      <c r="A45" s="52" t="e">
        <f aca="false">VLOOKUP(E45,'[1]Listas Desplegables'!$H$3:$J$7,2,FALSE())</f>
        <v>#N/A</v>
      </c>
      <c r="B45" s="52" t="e">
        <f aca="false">VLOOKUP(E45,'[1]Listas Desplegables'!$H$3:$J$7,3,FALSE())</f>
        <v>#N/A</v>
      </c>
      <c r="C45" s="77" t="n">
        <v>40</v>
      </c>
      <c r="D45" s="78" t="s">
        <v>914</v>
      </c>
      <c r="E45" s="78" t="s">
        <v>862</v>
      </c>
      <c r="F45" s="79" t="n">
        <v>220</v>
      </c>
      <c r="G45" s="71" t="n">
        <v>115</v>
      </c>
      <c r="H45" s="72" t="n">
        <v>13.8</v>
      </c>
      <c r="I45" s="72" t="n">
        <v>90</v>
      </c>
      <c r="J45" s="72" t="n">
        <v>90</v>
      </c>
      <c r="K45" s="72" t="n">
        <v>30</v>
      </c>
      <c r="L45" s="73" t="s">
        <v>860</v>
      </c>
      <c r="M45" s="72" t="n">
        <v>9</v>
      </c>
      <c r="N45" s="72" t="n">
        <v>9.6</v>
      </c>
      <c r="O45" s="72" t="n">
        <v>6.4</v>
      </c>
      <c r="P45" s="72" t="n">
        <v>9.6</v>
      </c>
      <c r="Q45" s="72" t="n">
        <v>9</v>
      </c>
      <c r="R45" s="72" t="n">
        <v>6.4</v>
      </c>
      <c r="S45" s="72" t="n">
        <v>0</v>
      </c>
      <c r="T45" s="72" t="n">
        <v>8</v>
      </c>
      <c r="U45" s="72" t="n">
        <v>-12</v>
      </c>
      <c r="V45" s="72" t="n">
        <v>1.25</v>
      </c>
      <c r="W45" s="72" t="n">
        <v>130</v>
      </c>
      <c r="X45" s="72" t="n">
        <v>30</v>
      </c>
      <c r="Y45" s="73" t="s">
        <v>201</v>
      </c>
      <c r="Z45" s="74"/>
      <c r="AA45" s="73" t="s">
        <v>199</v>
      </c>
      <c r="AB45" s="73" t="n">
        <v>152.8</v>
      </c>
      <c r="AC45" s="73" t="n">
        <v>72.7</v>
      </c>
      <c r="AD45" s="73" t="n">
        <v>81.4</v>
      </c>
      <c r="AE45" s="73" t="n">
        <v>0</v>
      </c>
      <c r="AF45" s="73" t="n">
        <v>0</v>
      </c>
      <c r="AG45" s="73" t="n">
        <v>0</v>
      </c>
      <c r="AH45" s="66" t="s">
        <v>211</v>
      </c>
      <c r="AI45" s="66" t="s">
        <v>44</v>
      </c>
      <c r="AJ45" s="75"/>
    </row>
    <row r="46" customFormat="false" ht="15.75" hidden="false" customHeight="false" outlineLevel="0" collapsed="false">
      <c r="A46" s="52" t="e">
        <f aca="false">VLOOKUP(E46,'[1]Listas Desplegables'!$H$3:$J$7,2,FALSE())</f>
        <v>#N/A</v>
      </c>
      <c r="B46" s="52" t="e">
        <f aca="false">VLOOKUP(E46,'[1]Listas Desplegables'!$H$3:$J$7,3,FALSE())</f>
        <v>#N/A</v>
      </c>
      <c r="C46" s="76" t="n">
        <v>41</v>
      </c>
      <c r="D46" s="78" t="s">
        <v>915</v>
      </c>
      <c r="E46" s="78" t="s">
        <v>859</v>
      </c>
      <c r="F46" s="79" t="n">
        <v>220</v>
      </c>
      <c r="G46" s="71" t="n">
        <v>115</v>
      </c>
      <c r="H46" s="72" t="n">
        <v>13.8</v>
      </c>
      <c r="I46" s="72" t="n">
        <v>90</v>
      </c>
      <c r="J46" s="72" t="n">
        <v>90</v>
      </c>
      <c r="K46" s="72" t="n">
        <v>30</v>
      </c>
      <c r="L46" s="73" t="s">
        <v>856</v>
      </c>
      <c r="M46" s="72" t="n">
        <v>9.45</v>
      </c>
      <c r="N46" s="72" t="n">
        <v>9.83</v>
      </c>
      <c r="O46" s="72" t="n">
        <v>6.31</v>
      </c>
      <c r="P46" s="72" t="n">
        <v>9.83</v>
      </c>
      <c r="Q46" s="72" t="n">
        <v>9.45</v>
      </c>
      <c r="R46" s="72" t="n">
        <v>6.31</v>
      </c>
      <c r="S46" s="72" t="n">
        <v>9</v>
      </c>
      <c r="T46" s="72" t="n">
        <v>21</v>
      </c>
      <c r="U46" s="72" t="n">
        <v>1</v>
      </c>
      <c r="V46" s="72" t="n">
        <v>1.25</v>
      </c>
      <c r="W46" s="72" t="n">
        <v>130</v>
      </c>
      <c r="X46" s="72" t="n">
        <v>30</v>
      </c>
      <c r="Y46" s="73" t="s">
        <v>201</v>
      </c>
      <c r="Z46" s="74"/>
      <c r="AA46" s="73" t="s">
        <v>199</v>
      </c>
      <c r="AB46" s="73" t="n">
        <v>152.8</v>
      </c>
      <c r="AC46" s="73" t="n">
        <v>72.7</v>
      </c>
      <c r="AD46" s="73" t="n">
        <v>81.4</v>
      </c>
      <c r="AE46" s="73" t="n">
        <v>0</v>
      </c>
      <c r="AF46" s="73" t="n">
        <v>0</v>
      </c>
      <c r="AG46" s="73" t="n">
        <v>0</v>
      </c>
      <c r="AH46" s="66" t="s">
        <v>211</v>
      </c>
      <c r="AI46" s="66" t="s">
        <v>44</v>
      </c>
      <c r="AJ46" s="75"/>
    </row>
    <row r="47" customFormat="false" ht="15.75" hidden="false" customHeight="false" outlineLevel="0" collapsed="false">
      <c r="A47" s="52" t="e">
        <f aca="false">VLOOKUP(E47,'[1]Listas Desplegables'!$H$3:$J$7,2,FALSE())</f>
        <v>#N/A</v>
      </c>
      <c r="B47" s="52" t="e">
        <f aca="false">VLOOKUP(E47,'[1]Listas Desplegables'!$H$3:$J$7,3,FALSE())</f>
        <v>#N/A</v>
      </c>
      <c r="C47" s="69" t="n">
        <v>42</v>
      </c>
      <c r="D47" s="78" t="s">
        <v>916</v>
      </c>
      <c r="E47" s="78" t="s">
        <v>862</v>
      </c>
      <c r="F47" s="79" t="n">
        <v>220</v>
      </c>
      <c r="G47" s="71" t="n">
        <v>115</v>
      </c>
      <c r="H47" s="72" t="n">
        <v>13.8</v>
      </c>
      <c r="I47" s="72" t="n">
        <v>90</v>
      </c>
      <c r="J47" s="72" t="n">
        <v>90</v>
      </c>
      <c r="K47" s="72" t="n">
        <v>30</v>
      </c>
      <c r="L47" s="73" t="s">
        <v>856</v>
      </c>
      <c r="M47" s="72" t="n">
        <v>9.4</v>
      </c>
      <c r="N47" s="72" t="n">
        <v>9.78</v>
      </c>
      <c r="O47" s="72" t="n">
        <v>6.26</v>
      </c>
      <c r="P47" s="72" t="n">
        <v>9.78</v>
      </c>
      <c r="Q47" s="72" t="n">
        <v>9.4</v>
      </c>
      <c r="R47" s="72" t="n">
        <v>6.26</v>
      </c>
      <c r="S47" s="72" t="n">
        <v>9</v>
      </c>
      <c r="T47" s="72" t="n">
        <v>21</v>
      </c>
      <c r="U47" s="72" t="n">
        <v>1</v>
      </c>
      <c r="V47" s="72" t="n">
        <v>1.25</v>
      </c>
      <c r="W47" s="72" t="n">
        <v>130</v>
      </c>
      <c r="X47" s="72" t="n">
        <v>30</v>
      </c>
      <c r="Y47" s="73" t="s">
        <v>201</v>
      </c>
      <c r="Z47" s="74"/>
      <c r="AA47" s="73" t="s">
        <v>199</v>
      </c>
      <c r="AB47" s="73" t="n">
        <v>153.8</v>
      </c>
      <c r="AC47" s="73" t="n">
        <v>73.3</v>
      </c>
      <c r="AD47" s="73" t="n">
        <v>82.2</v>
      </c>
      <c r="AE47" s="73" t="n">
        <v>0</v>
      </c>
      <c r="AF47" s="73" t="n">
        <v>0</v>
      </c>
      <c r="AG47" s="73" t="n">
        <v>0</v>
      </c>
      <c r="AH47" s="66" t="s">
        <v>211</v>
      </c>
      <c r="AI47" s="66" t="s">
        <v>44</v>
      </c>
      <c r="AJ47" s="75"/>
    </row>
    <row r="48" customFormat="false" ht="15.75" hidden="false" customHeight="false" outlineLevel="0" collapsed="false">
      <c r="A48" s="52" t="e">
        <f aca="false">VLOOKUP(E48,'[1]Listas Desplegables'!$H$3:$J$7,2,FALSE())</f>
        <v>#N/A</v>
      </c>
      <c r="B48" s="52" t="e">
        <f aca="false">VLOOKUP(E48,'[1]Listas Desplegables'!$H$3:$J$7,3,FALSE())</f>
        <v>#N/A</v>
      </c>
      <c r="C48" s="69" t="n">
        <v>43</v>
      </c>
      <c r="D48" s="78" t="s">
        <v>917</v>
      </c>
      <c r="E48" s="78" t="s">
        <v>829</v>
      </c>
      <c r="F48" s="79" t="n">
        <v>230</v>
      </c>
      <c r="G48" s="71" t="n">
        <v>115</v>
      </c>
      <c r="H48" s="72" t="n">
        <v>13.8</v>
      </c>
      <c r="I48" s="72" t="n">
        <v>150</v>
      </c>
      <c r="J48" s="72" t="n">
        <v>150</v>
      </c>
      <c r="K48" s="72" t="n">
        <v>25</v>
      </c>
      <c r="L48" s="73" t="s">
        <v>918</v>
      </c>
      <c r="M48" s="72" t="n">
        <v>15</v>
      </c>
      <c r="N48" s="72" t="n">
        <v>6.5</v>
      </c>
      <c r="O48" s="72" t="n">
        <v>3.2</v>
      </c>
      <c r="P48" s="72" t="n">
        <v>0</v>
      </c>
      <c r="Q48" s="72" t="n">
        <v>0</v>
      </c>
      <c r="R48" s="72" t="n">
        <v>0</v>
      </c>
      <c r="S48" s="72" t="n">
        <v>9</v>
      </c>
      <c r="T48" s="72" t="n">
        <v>21</v>
      </c>
      <c r="U48" s="72" t="n">
        <v>1</v>
      </c>
      <c r="V48" s="72" t="n">
        <v>1.25</v>
      </c>
      <c r="W48" s="72" t="n">
        <v>140</v>
      </c>
      <c r="X48" s="72" t="n">
        <v>30</v>
      </c>
      <c r="Y48" s="73" t="s">
        <v>355</v>
      </c>
      <c r="Z48" s="74" t="n">
        <v>47118</v>
      </c>
      <c r="AA48" s="73" t="s">
        <v>199</v>
      </c>
      <c r="AB48" s="73" t="n">
        <v>0</v>
      </c>
      <c r="AC48" s="73" t="n">
        <v>0</v>
      </c>
      <c r="AD48" s="73" t="n">
        <v>0</v>
      </c>
      <c r="AE48" s="73" t="n">
        <v>0</v>
      </c>
      <c r="AF48" s="73" t="n">
        <v>0</v>
      </c>
      <c r="AG48" s="73" t="n">
        <v>0</v>
      </c>
      <c r="AH48" s="66" t="s">
        <v>211</v>
      </c>
      <c r="AI48" s="66" t="s">
        <v>44</v>
      </c>
      <c r="AJ48" s="75"/>
    </row>
    <row r="49" customFormat="false" ht="15.75" hidden="false" customHeight="false" outlineLevel="0" collapsed="false">
      <c r="A49" s="52" t="e">
        <f aca="false">VLOOKUP(E49,'[1]Listas Desplegables'!$H$3:$J$7,2,FALSE())</f>
        <v>#N/A</v>
      </c>
      <c r="B49" s="52" t="e">
        <f aca="false">VLOOKUP(E49,'[1]Listas Desplegables'!$H$3:$J$7,3,FALSE())</f>
        <v>#N/A</v>
      </c>
      <c r="C49" s="69" t="n">
        <v>44</v>
      </c>
      <c r="D49" s="78" t="s">
        <v>919</v>
      </c>
      <c r="E49" s="78" t="s">
        <v>829</v>
      </c>
      <c r="F49" s="79" t="n">
        <v>230</v>
      </c>
      <c r="G49" s="71" t="n">
        <v>115</v>
      </c>
      <c r="H49" s="72" t="n">
        <v>13.8</v>
      </c>
      <c r="I49" s="72" t="n">
        <v>150</v>
      </c>
      <c r="J49" s="72" t="n">
        <v>150</v>
      </c>
      <c r="K49" s="72" t="n">
        <v>25</v>
      </c>
      <c r="L49" s="73" t="s">
        <v>918</v>
      </c>
      <c r="M49" s="72" t="n">
        <v>15</v>
      </c>
      <c r="N49" s="72" t="n">
        <v>6.5</v>
      </c>
      <c r="O49" s="72" t="n">
        <v>3.2</v>
      </c>
      <c r="P49" s="72" t="n">
        <v>0</v>
      </c>
      <c r="Q49" s="72" t="n">
        <v>0</v>
      </c>
      <c r="R49" s="72" t="n">
        <v>0</v>
      </c>
      <c r="S49" s="72" t="n">
        <v>9</v>
      </c>
      <c r="T49" s="72" t="n">
        <v>21</v>
      </c>
      <c r="U49" s="72" t="n">
        <v>1</v>
      </c>
      <c r="V49" s="72" t="n">
        <v>1.25</v>
      </c>
      <c r="W49" s="72" t="n">
        <v>100</v>
      </c>
      <c r="X49" s="72" t="n">
        <v>30</v>
      </c>
      <c r="Y49" s="73" t="s">
        <v>355</v>
      </c>
      <c r="Z49" s="74" t="n">
        <v>47118</v>
      </c>
      <c r="AA49" s="73" t="s">
        <v>199</v>
      </c>
      <c r="AB49" s="73" t="n">
        <v>0</v>
      </c>
      <c r="AC49" s="73" t="n">
        <v>0</v>
      </c>
      <c r="AD49" s="73" t="n">
        <v>0</v>
      </c>
      <c r="AE49" s="73" t="n">
        <v>0</v>
      </c>
      <c r="AF49" s="73" t="n">
        <v>0</v>
      </c>
      <c r="AG49" s="73" t="n">
        <v>0</v>
      </c>
      <c r="AH49" s="66" t="s">
        <v>211</v>
      </c>
      <c r="AI49" s="66" t="s">
        <v>44</v>
      </c>
      <c r="AJ49" s="75"/>
    </row>
    <row r="50" customFormat="false" ht="15" hidden="false" customHeight="false" outlineLevel="0" collapsed="false">
      <c r="A50" s="52" t="e">
        <f aca="false">VLOOKUP(E50,'[1]Listas Desplegables'!$H$3:$J$7,2,FALSE())</f>
        <v>#N/A</v>
      </c>
      <c r="B50" s="52" t="e">
        <f aca="false">VLOOKUP(E50,'[1]Listas Desplegables'!$H$3:$J$7,3,FALSE())</f>
        <v>#N/A</v>
      </c>
      <c r="C50" s="69" t="n">
        <v>45</v>
      </c>
      <c r="D50" s="78" t="s">
        <v>846</v>
      </c>
      <c r="E50" s="78" t="s">
        <v>847</v>
      </c>
      <c r="F50" s="79" t="n">
        <v>230</v>
      </c>
      <c r="G50" s="71" t="n">
        <v>115</v>
      </c>
      <c r="H50" s="72" t="n">
        <v>13.8</v>
      </c>
      <c r="I50" s="72" t="n">
        <v>150</v>
      </c>
      <c r="J50" s="72" t="n">
        <v>150</v>
      </c>
      <c r="K50" s="72" t="n">
        <v>25</v>
      </c>
      <c r="L50" s="73" t="s">
        <v>848</v>
      </c>
      <c r="M50" s="72" t="n">
        <v>16.56</v>
      </c>
      <c r="N50" s="72" t="n">
        <v>6.49</v>
      </c>
      <c r="O50" s="72" t="n">
        <v>3.16</v>
      </c>
      <c r="P50" s="72" t="n">
        <v>6.49</v>
      </c>
      <c r="Q50" s="72" t="n">
        <v>16.56</v>
      </c>
      <c r="R50" s="72" t="n">
        <v>3.16</v>
      </c>
      <c r="S50" s="72" t="n">
        <v>11</v>
      </c>
      <c r="T50" s="72" t="n">
        <v>27</v>
      </c>
      <c r="U50" s="72" t="n">
        <v>1</v>
      </c>
      <c r="V50" s="72" t="n">
        <v>0.96</v>
      </c>
      <c r="W50" s="72" t="n">
        <v>130</v>
      </c>
      <c r="X50" s="72" t="n">
        <v>30</v>
      </c>
      <c r="Y50" s="73" t="s">
        <v>201</v>
      </c>
      <c r="Z50" s="74"/>
      <c r="AA50" s="73" t="s">
        <v>199</v>
      </c>
      <c r="AB50" s="73" t="n">
        <v>359.622</v>
      </c>
      <c r="AC50" s="73" t="n">
        <v>34.905</v>
      </c>
      <c r="AD50" s="73" t="n">
        <v>42.096</v>
      </c>
      <c r="AE50" s="73" t="n">
        <v>0</v>
      </c>
      <c r="AF50" s="73" t="n">
        <v>0</v>
      </c>
      <c r="AG50" s="73" t="n">
        <v>0</v>
      </c>
      <c r="AH50" s="66" t="s">
        <v>211</v>
      </c>
      <c r="AI50" s="66" t="s">
        <v>44</v>
      </c>
      <c r="AJ50" s="75"/>
    </row>
    <row r="51" customFormat="false" ht="15" hidden="false" customHeight="false" outlineLevel="0" collapsed="false">
      <c r="A51" s="52" t="e">
        <f aca="false">VLOOKUP(E51,'[1]Listas Desplegables'!$H$3:$J$7,2,FALSE())</f>
        <v>#N/A</v>
      </c>
      <c r="B51" s="52" t="e">
        <f aca="false">VLOOKUP(E51,'[1]Listas Desplegables'!$H$3:$J$7,3,FALSE())</f>
        <v>#N/A</v>
      </c>
      <c r="C51" s="69" t="n">
        <v>46</v>
      </c>
      <c r="D51" s="78"/>
      <c r="E51" s="78"/>
      <c r="F51" s="79"/>
      <c r="G51" s="71"/>
      <c r="H51" s="72"/>
      <c r="I51" s="72"/>
      <c r="J51" s="72"/>
      <c r="K51" s="72"/>
      <c r="L51" s="73"/>
      <c r="M51" s="72"/>
      <c r="N51" s="72"/>
      <c r="O51" s="72"/>
      <c r="P51" s="72"/>
      <c r="Q51" s="72"/>
      <c r="R51" s="72"/>
      <c r="S51" s="72"/>
      <c r="T51" s="72"/>
      <c r="U51" s="72"/>
      <c r="V51" s="72"/>
      <c r="W51" s="72"/>
      <c r="X51" s="72"/>
      <c r="Y51" s="73"/>
      <c r="Z51" s="74"/>
      <c r="AA51" s="73"/>
      <c r="AB51" s="73"/>
      <c r="AC51" s="73"/>
      <c r="AD51" s="73"/>
      <c r="AE51" s="73"/>
      <c r="AF51" s="73"/>
      <c r="AG51" s="73"/>
      <c r="AH51" s="73" t="s">
        <v>211</v>
      </c>
      <c r="AI51" s="73" t="s">
        <v>47</v>
      </c>
      <c r="AJ51" s="75"/>
    </row>
    <row r="52" customFormat="false" ht="15" hidden="false" customHeight="false" outlineLevel="0" collapsed="false">
      <c r="A52" s="52" t="e">
        <f aca="false">VLOOKUP(E52,'[1]Listas Desplegables'!$H$3:$J$7,2,FALSE())</f>
        <v>#N/A</v>
      </c>
      <c r="B52" s="52" t="e">
        <f aca="false">VLOOKUP(E52,'[1]Listas Desplegables'!$H$3:$J$7,3,FALSE())</f>
        <v>#N/A</v>
      </c>
      <c r="C52" s="69" t="n">
        <v>47</v>
      </c>
      <c r="D52" s="78"/>
      <c r="E52" s="78"/>
      <c r="F52" s="79"/>
      <c r="G52" s="71"/>
      <c r="H52" s="72"/>
      <c r="I52" s="72"/>
      <c r="J52" s="72"/>
      <c r="K52" s="72"/>
      <c r="L52" s="73"/>
      <c r="M52" s="72"/>
      <c r="N52" s="72"/>
      <c r="O52" s="72"/>
      <c r="P52" s="72"/>
      <c r="Q52" s="72"/>
      <c r="R52" s="72"/>
      <c r="S52" s="72"/>
      <c r="T52" s="72"/>
      <c r="U52" s="72"/>
      <c r="V52" s="72"/>
      <c r="W52" s="72"/>
      <c r="X52" s="72"/>
      <c r="Y52" s="73"/>
      <c r="Z52" s="74"/>
      <c r="AA52" s="73"/>
      <c r="AB52" s="73"/>
      <c r="AC52" s="73"/>
      <c r="AD52" s="73"/>
      <c r="AE52" s="73"/>
      <c r="AF52" s="73"/>
      <c r="AG52" s="73"/>
      <c r="AH52" s="73" t="s">
        <v>211</v>
      </c>
      <c r="AI52" s="73" t="s">
        <v>47</v>
      </c>
      <c r="AJ52" s="75"/>
    </row>
    <row r="53" customFormat="false" ht="15" hidden="false" customHeight="false" outlineLevel="0" collapsed="false">
      <c r="A53" s="52" t="e">
        <f aca="false">VLOOKUP(E53,'[1]Listas Desplegables'!$H$3:$J$7,2,FALSE())</f>
        <v>#N/A</v>
      </c>
      <c r="B53" s="52" t="e">
        <f aca="false">VLOOKUP(E53,'[1]Listas Desplegables'!$H$3:$J$7,3,FALSE())</f>
        <v>#N/A</v>
      </c>
      <c r="C53" s="69" t="n">
        <v>48</v>
      </c>
      <c r="D53" s="78"/>
      <c r="E53" s="78"/>
      <c r="F53" s="79"/>
      <c r="G53" s="71"/>
      <c r="H53" s="72"/>
      <c r="I53" s="72"/>
      <c r="J53" s="72"/>
      <c r="K53" s="72"/>
      <c r="L53" s="73"/>
      <c r="M53" s="72"/>
      <c r="N53" s="72"/>
      <c r="O53" s="72"/>
      <c r="P53" s="72"/>
      <c r="Q53" s="72"/>
      <c r="R53" s="72"/>
      <c r="S53" s="72"/>
      <c r="T53" s="72"/>
      <c r="U53" s="72"/>
      <c r="V53" s="72"/>
      <c r="W53" s="72"/>
      <c r="X53" s="72"/>
      <c r="Y53" s="73"/>
      <c r="Z53" s="74"/>
      <c r="AA53" s="73"/>
      <c r="AB53" s="73"/>
      <c r="AC53" s="73"/>
      <c r="AD53" s="73"/>
      <c r="AE53" s="73"/>
      <c r="AF53" s="73"/>
      <c r="AG53" s="73"/>
      <c r="AH53" s="73" t="s">
        <v>211</v>
      </c>
      <c r="AI53" s="73" t="s">
        <v>47</v>
      </c>
      <c r="AJ53" s="75"/>
    </row>
    <row r="54" customFormat="false" ht="15" hidden="false" customHeight="false" outlineLevel="0" collapsed="false">
      <c r="A54" s="52" t="e">
        <f aca="false">VLOOKUP(E54,'[1]Listas Desplegables'!$H$3:$J$7,2,FALSE())</f>
        <v>#N/A</v>
      </c>
      <c r="B54" s="52" t="e">
        <f aca="false">VLOOKUP(E54,'[1]Listas Desplegables'!$H$3:$J$7,3,FALSE())</f>
        <v>#N/A</v>
      </c>
      <c r="C54" s="69" t="n">
        <v>49</v>
      </c>
      <c r="D54" s="78"/>
      <c r="E54" s="78"/>
      <c r="F54" s="79"/>
      <c r="G54" s="71"/>
      <c r="H54" s="72"/>
      <c r="I54" s="72"/>
      <c r="J54" s="72"/>
      <c r="K54" s="72"/>
      <c r="L54" s="73"/>
      <c r="M54" s="72"/>
      <c r="N54" s="72"/>
      <c r="O54" s="72"/>
      <c r="P54" s="72"/>
      <c r="Q54" s="72"/>
      <c r="R54" s="72"/>
      <c r="S54" s="72"/>
      <c r="T54" s="72"/>
      <c r="U54" s="72"/>
      <c r="V54" s="72"/>
      <c r="W54" s="72"/>
      <c r="X54" s="72"/>
      <c r="Y54" s="73"/>
      <c r="Z54" s="74"/>
      <c r="AA54" s="73"/>
      <c r="AB54" s="73"/>
      <c r="AC54" s="73"/>
      <c r="AD54" s="73"/>
      <c r="AE54" s="73"/>
      <c r="AF54" s="73"/>
      <c r="AG54" s="73"/>
      <c r="AH54" s="73" t="s">
        <v>211</v>
      </c>
      <c r="AI54" s="73" t="s">
        <v>47</v>
      </c>
      <c r="AJ54" s="75"/>
    </row>
    <row r="55" customFormat="false" ht="15" hidden="false" customHeight="false" outlineLevel="0" collapsed="false">
      <c r="A55" s="52" t="e">
        <f aca="false">VLOOKUP(E55,'[1]Listas Desplegables'!$H$3:$J$7,2,FALSE())</f>
        <v>#N/A</v>
      </c>
      <c r="B55" s="52" t="e">
        <f aca="false">VLOOKUP(E55,'[1]Listas Desplegables'!$H$3:$J$7,3,FALSE())</f>
        <v>#N/A</v>
      </c>
      <c r="C55" s="76" t="n">
        <v>50</v>
      </c>
      <c r="D55" s="78"/>
      <c r="E55" s="78"/>
      <c r="F55" s="79"/>
      <c r="G55" s="71"/>
      <c r="H55" s="72"/>
      <c r="I55" s="72"/>
      <c r="J55" s="72"/>
      <c r="K55" s="72"/>
      <c r="L55" s="73"/>
      <c r="M55" s="72"/>
      <c r="N55" s="72"/>
      <c r="O55" s="72"/>
      <c r="P55" s="72"/>
      <c r="Q55" s="72"/>
      <c r="R55" s="72"/>
      <c r="S55" s="72"/>
      <c r="T55" s="72"/>
      <c r="U55" s="72"/>
      <c r="V55" s="72"/>
      <c r="W55" s="72"/>
      <c r="X55" s="72"/>
      <c r="Y55" s="73"/>
      <c r="Z55" s="74"/>
      <c r="AA55" s="73"/>
      <c r="AB55" s="73"/>
      <c r="AC55" s="73"/>
      <c r="AD55" s="73"/>
      <c r="AE55" s="73"/>
      <c r="AF55" s="73"/>
      <c r="AG55" s="73"/>
      <c r="AH55" s="73" t="s">
        <v>211</v>
      </c>
      <c r="AI55" s="73" t="s">
        <v>47</v>
      </c>
      <c r="AJ55" s="75"/>
    </row>
    <row r="56" customFormat="false" ht="15" hidden="false" customHeight="false" outlineLevel="0" collapsed="false">
      <c r="A56" s="52" t="e">
        <f aca="false">VLOOKUP(E56,'[1]Listas Desplegables'!$H$3:$J$7,2,FALSE())</f>
        <v>#N/A</v>
      </c>
      <c r="B56" s="52" t="e">
        <f aca="false">VLOOKUP(E56,'[1]Listas Desplegables'!$H$3:$J$7,3,FALSE())</f>
        <v>#N/A</v>
      </c>
      <c r="C56" s="69" t="n">
        <v>51</v>
      </c>
      <c r="D56" s="78"/>
      <c r="E56" s="78"/>
      <c r="F56" s="79"/>
      <c r="G56" s="71"/>
      <c r="H56" s="72"/>
      <c r="I56" s="72"/>
      <c r="J56" s="72"/>
      <c r="K56" s="72"/>
      <c r="L56" s="73"/>
      <c r="M56" s="72"/>
      <c r="N56" s="72"/>
      <c r="O56" s="72"/>
      <c r="P56" s="72"/>
      <c r="Q56" s="72"/>
      <c r="R56" s="72"/>
      <c r="S56" s="72"/>
      <c r="T56" s="72"/>
      <c r="U56" s="72"/>
      <c r="V56" s="72"/>
      <c r="W56" s="72"/>
      <c r="X56" s="72"/>
      <c r="Y56" s="73"/>
      <c r="Z56" s="74"/>
      <c r="AA56" s="73"/>
      <c r="AB56" s="73"/>
      <c r="AC56" s="73"/>
      <c r="AD56" s="73"/>
      <c r="AE56" s="73"/>
      <c r="AF56" s="73"/>
      <c r="AG56" s="73"/>
      <c r="AH56" s="73" t="s">
        <v>211</v>
      </c>
      <c r="AI56" s="73" t="s">
        <v>47</v>
      </c>
      <c r="AJ56" s="75"/>
    </row>
    <row r="57" customFormat="false" ht="15.75" hidden="false" customHeight="false" outlineLevel="0" collapsed="false">
      <c r="A57" s="52" t="e">
        <f aca="false">VLOOKUP(E57,'[1]Listas Desplegables'!$H$3:$J$7,2,FALSE())</f>
        <v>#N/A</v>
      </c>
      <c r="B57" s="52" t="e">
        <f aca="false">VLOOKUP(E57,'[1]Listas Desplegables'!$H$3:$J$7,3,FALSE())</f>
        <v>#N/A</v>
      </c>
      <c r="C57" s="84" t="s">
        <v>842</v>
      </c>
      <c r="D57" s="85"/>
      <c r="E57" s="85"/>
      <c r="F57" s="85"/>
      <c r="G57" s="85"/>
      <c r="H57" s="86"/>
      <c r="I57" s="86"/>
      <c r="J57" s="86"/>
      <c r="K57" s="86"/>
      <c r="L57" s="86"/>
      <c r="M57" s="86"/>
      <c r="N57" s="86"/>
      <c r="O57" s="86"/>
      <c r="P57" s="86"/>
      <c r="Q57" s="86"/>
      <c r="R57" s="86"/>
      <c r="S57" s="86"/>
      <c r="T57" s="86"/>
      <c r="U57" s="86"/>
      <c r="V57" s="86"/>
      <c r="W57" s="86"/>
      <c r="X57" s="86"/>
      <c r="Y57" s="86"/>
      <c r="Z57" s="87"/>
      <c r="AA57" s="86"/>
      <c r="AB57" s="86"/>
      <c r="AC57" s="86"/>
      <c r="AD57" s="86"/>
      <c r="AE57" s="86"/>
      <c r="AF57" s="86"/>
      <c r="AG57" s="86"/>
      <c r="AH57" s="73" t="s">
        <v>211</v>
      </c>
      <c r="AI57" s="73" t="s">
        <v>47</v>
      </c>
      <c r="AJ57" s="88"/>
    </row>
  </sheetData>
  <autoFilter ref="A5:AJ57"/>
  <mergeCells count="34">
    <mergeCell ref="C3:AJ3"/>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X4"/>
    <mergeCell ref="Y4:Y5"/>
    <mergeCell ref="Z4:Z5"/>
    <mergeCell ref="AA4:AA5"/>
    <mergeCell ref="AB4:AB5"/>
    <mergeCell ref="AC4:AC5"/>
    <mergeCell ref="AD4:AD5"/>
    <mergeCell ref="AE4:AE5"/>
    <mergeCell ref="AF4:AF5"/>
    <mergeCell ref="AG4:AG5"/>
    <mergeCell ref="AH4:AH5"/>
    <mergeCell ref="AI4:AI5"/>
    <mergeCell ref="AJ4:AJ5"/>
  </mergeCells>
  <dataValidations count="6">
    <dataValidation allowBlank="true" errorStyle="stop" operator="between" showDropDown="false" showErrorMessage="true" showInputMessage="true" sqref="F6:K1057 M6:X1057" type="decimal">
      <formula1>-1000000</formula1>
      <formula2>10000000</formula2>
    </dataValidation>
    <dataValidation allowBlank="true" errorStyle="stop" operator="greaterThan" showDropDown="false" showErrorMessage="true" showInputMessage="true" sqref="Z6:Z1057" type="date">
      <formula1>1</formula1>
      <formula2>0</formula2>
    </dataValidation>
    <dataValidation allowBlank="true" errorStyle="stop" operator="between" showDropDown="false" showErrorMessage="true" showInputMessage="true" sqref="AJ6:AJ1057" type="decimal">
      <formula1>-10000000</formula1>
      <formula2>100000000000</formula2>
    </dataValidation>
    <dataValidation allowBlank="true" errorStyle="stop" operator="between" showDropDown="false" showErrorMessage="true" showInputMessage="true" sqref="Y6:Y1057" type="list">
      <formula1>'Listas Desplegables'!$B$16:$B$17</formula1>
      <formula2>0</formula2>
    </dataValidation>
    <dataValidation allowBlank="true" errorStyle="stop" operator="between" showDropDown="false" showErrorMessage="true" showInputMessage="true" sqref="AA6:AA1057" type="list">
      <formula1>'Listas Desplegables'!$B$19:$B$21</formula1>
      <formula2>0</formula2>
    </dataValidation>
    <dataValidation allowBlank="true" errorStyle="stop" operator="between" showDropDown="false" showErrorMessage="true" showInputMessage="true" sqref="AI6:AI57" type="list">
      <formula1>'Listas Desplegables'!$B$90:$B$93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2:AA112"/>
  <sheetViews>
    <sheetView showFormulas="false" showGridLines="false" showRowColHeaders="true" showZeros="true" rightToLeft="false" tabSelected="false" showOutlineSymbols="true" defaultGridColor="true" view="normal" topLeftCell="C1" colorId="64" zoomScale="100" zoomScaleNormal="100" zoomScalePageLayoutView="100" workbookViewId="0">
      <pane xSplit="0" ySplit="4" topLeftCell="A58" activePane="bottomLeft" state="frozen"/>
      <selection pane="topLeft" activeCell="C1" activeCellId="0" sqref="C1"/>
      <selection pane="bottomLeft" activeCell="D61" activeCellId="0" sqref="D61"/>
    </sheetView>
  </sheetViews>
  <sheetFormatPr defaultColWidth="11.57421875" defaultRowHeight="15" zeroHeight="false" outlineLevelRow="0" outlineLevelCol="0"/>
  <cols>
    <col collapsed="false" customWidth="true" hidden="false" outlineLevel="0" max="2" min="1" style="52" width="3"/>
    <col collapsed="false" customWidth="true" hidden="false" outlineLevel="0" max="3" min="3" style="53" width="6.7"/>
    <col collapsed="false" customWidth="true" hidden="false" outlineLevel="0" max="4" min="4" style="1" width="33"/>
    <col collapsed="false" customWidth="true" hidden="false" outlineLevel="0" max="5" min="5" style="1" width="14.57"/>
    <col collapsed="false" customWidth="true" hidden="false" outlineLevel="0" max="7" min="6" style="1" width="12.72"/>
    <col collapsed="false" customWidth="true" hidden="false" outlineLevel="0" max="11" min="10" style="1" width="14.86"/>
    <col collapsed="false" customWidth="true" hidden="false" outlineLevel="0" max="12" min="12" style="1" width="11.43"/>
    <col collapsed="false" customWidth="false" hidden="false" outlineLevel="0" max="19" min="19" style="54" width="11.57"/>
    <col collapsed="false" customWidth="true" hidden="false" outlineLevel="0" max="26" min="22" style="1" width="16.57"/>
    <col collapsed="false" customWidth="true" hidden="false" outlineLevel="0" max="27" min="27" style="1" width="36"/>
  </cols>
  <sheetData>
    <row r="2" customFormat="false" ht="15.75" hidden="false" customHeight="false" outlineLevel="0" collapsed="false"/>
    <row r="3" s="57" customFormat="true" ht="15.75" hidden="false" customHeight="false" outlineLevel="0" collapsed="false">
      <c r="A3" s="55"/>
      <c r="B3" s="55"/>
      <c r="C3" s="56" t="s">
        <v>920</v>
      </c>
      <c r="D3" s="56"/>
      <c r="E3" s="56"/>
      <c r="F3" s="56"/>
      <c r="G3" s="56"/>
      <c r="H3" s="56"/>
      <c r="I3" s="56"/>
      <c r="J3" s="56"/>
      <c r="K3" s="56"/>
      <c r="L3" s="56"/>
      <c r="M3" s="56"/>
      <c r="N3" s="56"/>
      <c r="O3" s="56"/>
      <c r="P3" s="56"/>
      <c r="Q3" s="56"/>
      <c r="R3" s="56"/>
      <c r="S3" s="56"/>
      <c r="T3" s="56"/>
      <c r="U3" s="56"/>
      <c r="V3" s="56"/>
      <c r="W3" s="56"/>
      <c r="X3" s="56"/>
      <c r="Y3" s="56"/>
      <c r="Z3" s="56"/>
      <c r="AA3" s="56"/>
    </row>
    <row r="4" s="61" customFormat="true" ht="23.35" hidden="false" customHeight="true" outlineLevel="0" collapsed="false">
      <c r="A4" s="58"/>
      <c r="B4" s="58"/>
      <c r="C4" s="59" t="s">
        <v>194</v>
      </c>
      <c r="D4" s="60" t="str">
        <f aca="false">'Manual de Uso'!C87</f>
        <v>Nombre</v>
      </c>
      <c r="E4" s="60" t="str">
        <f aca="false">'Manual de Uso'!C88</f>
        <v>Subestación</v>
      </c>
      <c r="F4" s="60" t="str">
        <f aca="false">'Manual de Uso'!C89</f>
        <v>Nivel de tensión HV [kV]</v>
      </c>
      <c r="G4" s="60" t="str">
        <f aca="false">'Manual de Uso'!C90</f>
        <v>Nivel de tensión LV [kV]</v>
      </c>
      <c r="H4" s="60" t="str">
        <f aca="false">'Manual de Uso'!C91</f>
        <v>Capacidad [MVA]</v>
      </c>
      <c r="I4" s="60" t="str">
        <f aca="false">'Manual de Uso'!C92</f>
        <v>Grupo de conexión</v>
      </c>
      <c r="J4" s="60" t="str">
        <f aca="false">'Manual de Uso'!C93</f>
        <v>Impedancia Secuencia +[%]</v>
      </c>
      <c r="K4" s="60" t="str">
        <f aca="false">'Manual de Uso'!C94</f>
        <v>Impedancia Secuencia 0[%]</v>
      </c>
      <c r="L4" s="60" t="str">
        <f aca="false">'Manual de Uso'!C95</f>
        <v>Posición Neutral Tap</v>
      </c>
      <c r="M4" s="60" t="str">
        <f aca="false">'Manual de Uso'!C96</f>
        <v>Posición Máxima Tap</v>
      </c>
      <c r="N4" s="60" t="str">
        <f aca="false">'Manual de Uso'!C97</f>
        <v>Posición Mínima Tap</v>
      </c>
      <c r="O4" s="60" t="str">
        <f aca="false">'Manual de Uso'!C98</f>
        <v>Delta Tap [%]</v>
      </c>
      <c r="P4" s="89" t="str">
        <f aca="false">'Manual de Uso'!C99</f>
        <v>Sobrecarga en emergencia</v>
      </c>
      <c r="Q4" s="89"/>
      <c r="R4" s="60" t="str">
        <f aca="false">'Manual de Uso'!C100</f>
        <v>En Operación</v>
      </c>
      <c r="S4" s="90" t="str">
        <f aca="false">'Manual de Uso'!C101</f>
        <v>FPO</v>
      </c>
      <c r="T4" s="90" t="str">
        <f aca="false">'Manual de Uso'!C102</f>
        <v>Sistema</v>
      </c>
      <c r="U4" s="60" t="str">
        <f aca="false">'Manual de Uso'!C103</f>
        <v>Pérdidas Cu [kW]</v>
      </c>
      <c r="V4" s="60" t="str">
        <f aca="false">'Manual de Uso'!C104</f>
        <v>Tiempo medio de reparación por evento [h]</v>
      </c>
      <c r="W4" s="60" t="str">
        <f aca="false">'Manual de Uso'!C105</f>
        <v>Horas anuales de indisponibilidad [h]</v>
      </c>
      <c r="X4" s="60" t="str">
        <f aca="false">'Manual de Uso'!C106</f>
        <v>Eventos anuales de indisponibilidad</v>
      </c>
      <c r="Y4" s="60" t="str">
        <f aca="false">'Manual de Uso'!C107</f>
        <v>Operador</v>
      </c>
      <c r="Z4" s="60" t="str">
        <f aca="false">'Manual de Uso'!C108</f>
        <v>Tipo activo Uso/Conexión</v>
      </c>
      <c r="AA4" s="60" t="str">
        <f aca="false">'Manual de Uso'!C109</f>
        <v>Observaciones transportador</v>
      </c>
    </row>
    <row r="5" s="61" customFormat="true" ht="12" hidden="false" customHeight="true" outlineLevel="0" collapsed="false">
      <c r="A5" s="58"/>
      <c r="B5" s="58"/>
      <c r="C5" s="59"/>
      <c r="D5" s="60"/>
      <c r="E5" s="60"/>
      <c r="F5" s="60"/>
      <c r="G5" s="60"/>
      <c r="H5" s="60"/>
      <c r="I5" s="60"/>
      <c r="J5" s="60"/>
      <c r="K5" s="60"/>
      <c r="L5" s="60"/>
      <c r="M5" s="60"/>
      <c r="N5" s="60"/>
      <c r="O5" s="60"/>
      <c r="P5" s="91" t="s">
        <v>844</v>
      </c>
      <c r="Q5" s="91" t="s">
        <v>845</v>
      </c>
      <c r="R5" s="60"/>
      <c r="S5" s="90"/>
      <c r="T5" s="90"/>
      <c r="U5" s="60"/>
      <c r="V5" s="60"/>
      <c r="W5" s="60"/>
      <c r="X5" s="60"/>
      <c r="Y5" s="60"/>
      <c r="Z5" s="60"/>
      <c r="AA5" s="60"/>
    </row>
    <row r="6" customFormat="false" ht="15.75" hidden="false" customHeight="false" outlineLevel="0" collapsed="false">
      <c r="A6" s="52" t="e">
        <f aca="false">VLOOKUP(E6,'[1]Listas Desplegables'!$H$3:$J$7,2,FALSE())</f>
        <v>#N/A</v>
      </c>
      <c r="B6" s="52" t="e">
        <f aca="false">VLOOKUP(E6,'[1]Listas Desplegables'!$H$3:$J$7,3,FALSE())</f>
        <v>#N/A</v>
      </c>
      <c r="C6" s="62" t="n">
        <v>1</v>
      </c>
      <c r="D6" s="63" t="s">
        <v>921</v>
      </c>
      <c r="E6" s="63" t="s">
        <v>922</v>
      </c>
      <c r="F6" s="64" t="n">
        <v>34.5</v>
      </c>
      <c r="G6" s="65" t="n">
        <v>13.8</v>
      </c>
      <c r="H6" s="65" t="n">
        <v>12.5</v>
      </c>
      <c r="I6" s="66" t="s">
        <v>923</v>
      </c>
      <c r="J6" s="65" t="n">
        <v>9.1</v>
      </c>
      <c r="K6" s="65" t="n">
        <v>9.1</v>
      </c>
      <c r="L6" s="65" t="n">
        <v>3</v>
      </c>
      <c r="M6" s="65" t="n">
        <v>5</v>
      </c>
      <c r="N6" s="65" t="n">
        <v>1</v>
      </c>
      <c r="O6" s="65" t="n">
        <v>2.5</v>
      </c>
      <c r="P6" s="65" t="n">
        <v>100</v>
      </c>
      <c r="Q6" s="65" t="n">
        <v>30</v>
      </c>
      <c r="R6" s="66" t="s">
        <v>201</v>
      </c>
      <c r="S6" s="67"/>
      <c r="T6" s="66" t="s">
        <v>233</v>
      </c>
      <c r="U6" s="66" t="n">
        <v>117.6652</v>
      </c>
      <c r="V6" s="66"/>
      <c r="W6" s="66"/>
      <c r="X6" s="66"/>
      <c r="Y6" s="66" t="s">
        <v>211</v>
      </c>
      <c r="Z6" s="66" t="s">
        <v>47</v>
      </c>
      <c r="AA6" s="68"/>
    </row>
    <row r="7" customFormat="false" ht="15.75" hidden="false" customHeight="false" outlineLevel="0" collapsed="false">
      <c r="A7" s="52" t="e">
        <f aca="false">VLOOKUP(E7,'[1]Listas Desplegables'!$H$3:$J$7,2,FALSE())</f>
        <v>#N/A</v>
      </c>
      <c r="B7" s="52" t="e">
        <f aca="false">VLOOKUP(E7,'[1]Listas Desplegables'!$H$3:$J$7,3,FALSE())</f>
        <v>#N/A</v>
      </c>
      <c r="C7" s="69" t="n">
        <v>2</v>
      </c>
      <c r="D7" s="70" t="s">
        <v>924</v>
      </c>
      <c r="E7" s="70" t="s">
        <v>782</v>
      </c>
      <c r="F7" s="71" t="n">
        <v>34.5</v>
      </c>
      <c r="G7" s="72" t="n">
        <v>13.8</v>
      </c>
      <c r="H7" s="72" t="n">
        <v>6</v>
      </c>
      <c r="I7" s="73" t="s">
        <v>923</v>
      </c>
      <c r="J7" s="72" t="n">
        <v>6.8</v>
      </c>
      <c r="K7" s="72" t="n">
        <v>6.8</v>
      </c>
      <c r="L7" s="72" t="n">
        <v>3</v>
      </c>
      <c r="M7" s="72" t="n">
        <v>5</v>
      </c>
      <c r="N7" s="72" t="n">
        <v>1</v>
      </c>
      <c r="O7" s="72" t="n">
        <v>2.5</v>
      </c>
      <c r="P7" s="72" t="n">
        <v>100</v>
      </c>
      <c r="Q7" s="72" t="n">
        <v>30</v>
      </c>
      <c r="R7" s="73" t="s">
        <v>201</v>
      </c>
      <c r="S7" s="74"/>
      <c r="T7" s="73" t="s">
        <v>233</v>
      </c>
      <c r="U7" s="73" t="n">
        <v>117.6652</v>
      </c>
      <c r="V7" s="73"/>
      <c r="W7" s="73"/>
      <c r="X7" s="73"/>
      <c r="Y7" s="66" t="s">
        <v>211</v>
      </c>
      <c r="Z7" s="66" t="s">
        <v>47</v>
      </c>
      <c r="AA7" s="75"/>
    </row>
    <row r="8" customFormat="false" ht="15.75" hidden="false" customHeight="false" outlineLevel="0" collapsed="false">
      <c r="A8" s="52" t="e">
        <f aca="false">VLOOKUP(E8,'[1]Listas Desplegables'!$H$3:$J$7,2,FALSE())</f>
        <v>#N/A</v>
      </c>
      <c r="B8" s="52" t="e">
        <f aca="false">VLOOKUP(E8,'[1]Listas Desplegables'!$H$3:$J$7,3,FALSE())</f>
        <v>#N/A</v>
      </c>
      <c r="C8" s="69" t="n">
        <v>3</v>
      </c>
      <c r="D8" s="70" t="s">
        <v>925</v>
      </c>
      <c r="E8" s="70" t="s">
        <v>926</v>
      </c>
      <c r="F8" s="71" t="n">
        <v>13.8</v>
      </c>
      <c r="G8" s="72" t="n">
        <v>6.3</v>
      </c>
      <c r="H8" s="72" t="n">
        <v>1.5</v>
      </c>
      <c r="I8" s="73" t="s">
        <v>927</v>
      </c>
      <c r="J8" s="72" t="n">
        <v>4.8</v>
      </c>
      <c r="K8" s="72" t="n">
        <v>4.8</v>
      </c>
      <c r="L8" s="72" t="n">
        <v>3</v>
      </c>
      <c r="M8" s="72" t="n">
        <v>5</v>
      </c>
      <c r="N8" s="72" t="n">
        <v>1</v>
      </c>
      <c r="O8" s="72" t="n">
        <v>2.5</v>
      </c>
      <c r="P8" s="72" t="n">
        <v>120</v>
      </c>
      <c r="Q8" s="72" t="n">
        <v>30</v>
      </c>
      <c r="R8" s="73" t="s">
        <v>201</v>
      </c>
      <c r="S8" s="74"/>
      <c r="T8" s="73" t="s">
        <v>233</v>
      </c>
      <c r="U8" s="73" t="n">
        <v>15.77</v>
      </c>
      <c r="V8" s="73"/>
      <c r="W8" s="73"/>
      <c r="X8" s="73"/>
      <c r="Y8" s="66" t="s">
        <v>211</v>
      </c>
      <c r="Z8" s="66" t="s">
        <v>47</v>
      </c>
      <c r="AA8" s="75"/>
    </row>
    <row r="9" customFormat="false" ht="15.75" hidden="false" customHeight="false" outlineLevel="0" collapsed="false">
      <c r="A9" s="52" t="e">
        <f aca="false">VLOOKUP(E9,'[1]Listas Desplegables'!$H$3:$J$7,2,FALSE())</f>
        <v>#N/A</v>
      </c>
      <c r="B9" s="52" t="e">
        <f aca="false">VLOOKUP(E9,'[1]Listas Desplegables'!$H$3:$J$7,3,FALSE())</f>
        <v>#N/A</v>
      </c>
      <c r="C9" s="69" t="n">
        <v>4</v>
      </c>
      <c r="D9" s="70" t="s">
        <v>928</v>
      </c>
      <c r="E9" s="70" t="s">
        <v>807</v>
      </c>
      <c r="F9" s="71" t="n">
        <v>34.5</v>
      </c>
      <c r="G9" s="72" t="n">
        <v>13.8</v>
      </c>
      <c r="H9" s="72" t="n">
        <v>6</v>
      </c>
      <c r="I9" s="73" t="s">
        <v>923</v>
      </c>
      <c r="J9" s="72" t="n">
        <v>7.3</v>
      </c>
      <c r="K9" s="72" t="n">
        <v>7.3</v>
      </c>
      <c r="L9" s="72" t="n">
        <v>3</v>
      </c>
      <c r="M9" s="72" t="n">
        <v>5</v>
      </c>
      <c r="N9" s="72" t="n">
        <v>1</v>
      </c>
      <c r="O9" s="72" t="n">
        <v>2.5</v>
      </c>
      <c r="P9" s="72" t="n">
        <v>129</v>
      </c>
      <c r="Q9" s="72" t="n">
        <v>30</v>
      </c>
      <c r="R9" s="73" t="s">
        <v>201</v>
      </c>
      <c r="S9" s="74"/>
      <c r="T9" s="73" t="s">
        <v>233</v>
      </c>
      <c r="U9" s="73" t="n">
        <v>25.0332</v>
      </c>
      <c r="V9" s="73"/>
      <c r="W9" s="73"/>
      <c r="X9" s="73"/>
      <c r="Y9" s="66" t="s">
        <v>211</v>
      </c>
      <c r="Z9" s="66" t="s">
        <v>47</v>
      </c>
      <c r="AA9" s="75"/>
    </row>
    <row r="10" customFormat="false" ht="15.75" hidden="false" customHeight="false" outlineLevel="0" collapsed="false">
      <c r="A10" s="52" t="e">
        <f aca="false">VLOOKUP(E10,'[1]Listas Desplegables'!$H$3:$J$7,2,FALSE())</f>
        <v>#N/A</v>
      </c>
      <c r="B10" s="52" t="e">
        <f aca="false">VLOOKUP(E10,'[1]Listas Desplegables'!$H$3:$J$7,3,FALSE())</f>
        <v>#N/A</v>
      </c>
      <c r="C10" s="69" t="n">
        <v>5</v>
      </c>
      <c r="D10" s="70" t="s">
        <v>929</v>
      </c>
      <c r="E10" s="70" t="s">
        <v>650</v>
      </c>
      <c r="F10" s="71" t="n">
        <v>34.5</v>
      </c>
      <c r="G10" s="72" t="n">
        <v>13.8</v>
      </c>
      <c r="H10" s="72" t="n">
        <v>25</v>
      </c>
      <c r="I10" s="73" t="s">
        <v>923</v>
      </c>
      <c r="J10" s="72" t="n">
        <v>8.9</v>
      </c>
      <c r="K10" s="72" t="n">
        <v>8.9</v>
      </c>
      <c r="L10" s="72" t="n">
        <v>3</v>
      </c>
      <c r="M10" s="72" t="n">
        <v>5</v>
      </c>
      <c r="N10" s="72" t="n">
        <v>1</v>
      </c>
      <c r="O10" s="72" t="n">
        <v>2.5</v>
      </c>
      <c r="P10" s="72" t="n">
        <v>103</v>
      </c>
      <c r="Q10" s="72" t="n">
        <v>30</v>
      </c>
      <c r="R10" s="73" t="s">
        <v>201</v>
      </c>
      <c r="S10" s="74"/>
      <c r="T10" s="73" t="s">
        <v>233</v>
      </c>
      <c r="U10" s="73" t="n">
        <v>233.4552</v>
      </c>
      <c r="V10" s="73"/>
      <c r="W10" s="73"/>
      <c r="X10" s="73"/>
      <c r="Y10" s="66" t="s">
        <v>211</v>
      </c>
      <c r="Z10" s="66" t="s">
        <v>47</v>
      </c>
      <c r="AA10" s="75"/>
    </row>
    <row r="11" customFormat="false" ht="15.75" hidden="false" customHeight="false" outlineLevel="0" collapsed="false">
      <c r="A11" s="52" t="e">
        <f aca="false">VLOOKUP(E11,'[1]Listas Desplegables'!$H$3:$J$7,2,FALSE())</f>
        <v>#N/A</v>
      </c>
      <c r="B11" s="52" t="e">
        <f aca="false">VLOOKUP(E11,'[1]Listas Desplegables'!$H$3:$J$7,3,FALSE())</f>
        <v>#N/A</v>
      </c>
      <c r="C11" s="69" t="n">
        <v>6</v>
      </c>
      <c r="D11" s="70" t="s">
        <v>930</v>
      </c>
      <c r="E11" s="70" t="s">
        <v>658</v>
      </c>
      <c r="F11" s="71" t="n">
        <v>34.5</v>
      </c>
      <c r="G11" s="72" t="n">
        <v>13.8</v>
      </c>
      <c r="H11" s="72" t="n">
        <v>15</v>
      </c>
      <c r="I11" s="73" t="s">
        <v>923</v>
      </c>
      <c r="J11" s="72" t="n">
        <v>11.1</v>
      </c>
      <c r="K11" s="72" t="n">
        <v>11.1</v>
      </c>
      <c r="L11" s="72" t="n">
        <v>3</v>
      </c>
      <c r="M11" s="72" t="n">
        <v>5</v>
      </c>
      <c r="N11" s="72" t="n">
        <v>1</v>
      </c>
      <c r="O11" s="72" t="n">
        <v>2.5</v>
      </c>
      <c r="P11" s="72" t="n">
        <v>129</v>
      </c>
      <c r="Q11" s="72" t="n">
        <v>30</v>
      </c>
      <c r="R11" s="73" t="s">
        <v>201</v>
      </c>
      <c r="S11" s="74"/>
      <c r="T11" s="73" t="s">
        <v>233</v>
      </c>
      <c r="U11" s="73" t="n">
        <v>140.8232</v>
      </c>
      <c r="V11" s="73"/>
      <c r="W11" s="73"/>
      <c r="X11" s="73"/>
      <c r="Y11" s="66" t="s">
        <v>211</v>
      </c>
      <c r="Z11" s="66" t="s">
        <v>47</v>
      </c>
      <c r="AA11" s="75"/>
    </row>
    <row r="12" customFormat="false" ht="15.75" hidden="false" customHeight="false" outlineLevel="0" collapsed="false">
      <c r="A12" s="52" t="e">
        <f aca="false">VLOOKUP(E12,'[1]Listas Desplegables'!$H$3:$J$7,2,FALSE())</f>
        <v>#N/A</v>
      </c>
      <c r="B12" s="52" t="e">
        <f aca="false">VLOOKUP(E12,'[1]Listas Desplegables'!$H$3:$J$7,3,FALSE())</f>
        <v>#N/A</v>
      </c>
      <c r="C12" s="69" t="n">
        <v>7</v>
      </c>
      <c r="D12" s="70" t="s">
        <v>931</v>
      </c>
      <c r="E12" s="70" t="s">
        <v>369</v>
      </c>
      <c r="F12" s="71" t="n">
        <v>34.5</v>
      </c>
      <c r="G12" s="72" t="n">
        <v>13.8</v>
      </c>
      <c r="H12" s="72" t="n">
        <v>2</v>
      </c>
      <c r="I12" s="73" t="s">
        <v>923</v>
      </c>
      <c r="J12" s="72" t="n">
        <v>5.3</v>
      </c>
      <c r="K12" s="72" t="n">
        <v>5.3</v>
      </c>
      <c r="L12" s="72" t="n">
        <v>3</v>
      </c>
      <c r="M12" s="72" t="n">
        <v>5</v>
      </c>
      <c r="N12" s="72" t="n">
        <v>1</v>
      </c>
      <c r="O12" s="72" t="n">
        <v>2.5</v>
      </c>
      <c r="P12" s="72" t="n">
        <v>134</v>
      </c>
      <c r="Q12" s="72" t="n">
        <v>30</v>
      </c>
      <c r="R12" s="73" t="s">
        <v>201</v>
      </c>
      <c r="S12" s="74"/>
      <c r="T12" s="73" t="s">
        <v>233</v>
      </c>
      <c r="U12" s="73" t="n">
        <v>20.4016</v>
      </c>
      <c r="V12" s="73"/>
      <c r="W12" s="73"/>
      <c r="X12" s="73"/>
      <c r="Y12" s="66" t="s">
        <v>211</v>
      </c>
      <c r="Z12" s="66" t="s">
        <v>47</v>
      </c>
      <c r="AA12" s="75"/>
    </row>
    <row r="13" customFormat="false" ht="15.75" hidden="false" customHeight="false" outlineLevel="0" collapsed="false">
      <c r="A13" s="52" t="e">
        <f aca="false">VLOOKUP(E13,'[1]Listas Desplegables'!$H$3:$J$7,2,FALSE())</f>
        <v>#N/A</v>
      </c>
      <c r="B13" s="52" t="e">
        <f aca="false">VLOOKUP(E13,'[1]Listas Desplegables'!$H$3:$J$7,3,FALSE())</f>
        <v>#N/A</v>
      </c>
      <c r="C13" s="69" t="n">
        <v>8</v>
      </c>
      <c r="D13" s="70" t="s">
        <v>932</v>
      </c>
      <c r="E13" s="70" t="s">
        <v>551</v>
      </c>
      <c r="F13" s="71" t="n">
        <v>34.5</v>
      </c>
      <c r="G13" s="72" t="n">
        <v>13.8</v>
      </c>
      <c r="H13" s="72" t="n">
        <v>6</v>
      </c>
      <c r="I13" s="73" t="s">
        <v>923</v>
      </c>
      <c r="J13" s="72" t="n">
        <v>7.2</v>
      </c>
      <c r="K13" s="72" t="n">
        <v>7.2</v>
      </c>
      <c r="L13" s="72" t="n">
        <v>3</v>
      </c>
      <c r="M13" s="72" t="n">
        <v>5</v>
      </c>
      <c r="N13" s="72" t="n">
        <v>1</v>
      </c>
      <c r="O13" s="72" t="n">
        <v>2.5</v>
      </c>
      <c r="P13" s="72" t="n">
        <v>130</v>
      </c>
      <c r="Q13" s="72" t="n">
        <v>30</v>
      </c>
      <c r="R13" s="73" t="s">
        <v>201</v>
      </c>
      <c r="S13" s="74"/>
      <c r="T13" s="73" t="s">
        <v>233</v>
      </c>
      <c r="U13" s="73" t="n">
        <v>57.4544</v>
      </c>
      <c r="V13" s="73"/>
      <c r="W13" s="73"/>
      <c r="X13" s="73"/>
      <c r="Y13" s="66" t="s">
        <v>211</v>
      </c>
      <c r="Z13" s="66" t="s">
        <v>47</v>
      </c>
      <c r="AA13" s="75"/>
    </row>
    <row r="14" customFormat="false" ht="13.8" hidden="false" customHeight="false" outlineLevel="0" collapsed="false">
      <c r="A14" s="52" t="e">
        <f aca="false">VLOOKUP(E14,'[1]Listas Desplegables'!$H$3:$J$7,2,FALSE())</f>
        <v>#N/A</v>
      </c>
      <c r="B14" s="52" t="e">
        <f aca="false">VLOOKUP(E14,'[1]Listas Desplegables'!$H$3:$J$7,3,FALSE())</f>
        <v>#N/A</v>
      </c>
      <c r="C14" s="69" t="n">
        <v>9</v>
      </c>
      <c r="D14" s="70" t="s">
        <v>933</v>
      </c>
      <c r="E14" s="70" t="s">
        <v>569</v>
      </c>
      <c r="F14" s="71" t="n">
        <v>34.5</v>
      </c>
      <c r="G14" s="72" t="n">
        <v>13.8</v>
      </c>
      <c r="H14" s="72" t="n">
        <v>12.5</v>
      </c>
      <c r="I14" s="73" t="s">
        <v>923</v>
      </c>
      <c r="J14" s="72" t="n">
        <v>8.9</v>
      </c>
      <c r="K14" s="72" t="n">
        <v>8.9</v>
      </c>
      <c r="L14" s="72" t="n">
        <v>3</v>
      </c>
      <c r="M14" s="72" t="n">
        <v>5</v>
      </c>
      <c r="N14" s="72" t="n">
        <v>1</v>
      </c>
      <c r="O14" s="72" t="n">
        <v>2.5</v>
      </c>
      <c r="P14" s="72" t="n">
        <v>123</v>
      </c>
      <c r="Q14" s="72" t="n">
        <v>30</v>
      </c>
      <c r="R14" s="73" t="s">
        <v>201</v>
      </c>
      <c r="S14" s="74"/>
      <c r="T14" s="73" t="s">
        <v>233</v>
      </c>
      <c r="U14" s="73" t="n">
        <v>117.6652</v>
      </c>
      <c r="V14" s="73"/>
      <c r="W14" s="73"/>
      <c r="X14" s="73"/>
      <c r="Y14" s="66" t="s">
        <v>211</v>
      </c>
      <c r="Z14" s="66" t="s">
        <v>47</v>
      </c>
      <c r="AA14" s="75"/>
    </row>
    <row r="15" customFormat="false" ht="15.75" hidden="false" customHeight="false" outlineLevel="0" collapsed="false">
      <c r="A15" s="52" t="e">
        <f aca="false">VLOOKUP(E15,'[1]Listas Desplegables'!$H$3:$J$7,2,FALSE())</f>
        <v>#N/A</v>
      </c>
      <c r="B15" s="52" t="e">
        <f aca="false">VLOOKUP(E15,'[1]Listas Desplegables'!$H$3:$J$7,3,FALSE())</f>
        <v>#N/A</v>
      </c>
      <c r="C15" s="76" t="n">
        <v>10</v>
      </c>
      <c r="D15" s="70" t="s">
        <v>934</v>
      </c>
      <c r="E15" s="70" t="s">
        <v>935</v>
      </c>
      <c r="F15" s="71" t="n">
        <v>34.5</v>
      </c>
      <c r="G15" s="72" t="n">
        <v>13.8</v>
      </c>
      <c r="H15" s="72" t="n">
        <v>25</v>
      </c>
      <c r="I15" s="73" t="s">
        <v>923</v>
      </c>
      <c r="J15" s="72" t="n">
        <v>8.6</v>
      </c>
      <c r="K15" s="72" t="n">
        <v>8.6</v>
      </c>
      <c r="L15" s="72" t="n">
        <v>3</v>
      </c>
      <c r="M15" s="72" t="n">
        <v>5</v>
      </c>
      <c r="N15" s="72" t="n">
        <v>1</v>
      </c>
      <c r="O15" s="72" t="n">
        <v>2.5</v>
      </c>
      <c r="P15" s="72" t="n">
        <v>130</v>
      </c>
      <c r="Q15" s="72" t="n">
        <v>30</v>
      </c>
      <c r="R15" s="73" t="s">
        <v>355</v>
      </c>
      <c r="S15" s="74" t="n">
        <v>46752</v>
      </c>
      <c r="T15" s="73" t="s">
        <v>233</v>
      </c>
      <c r="U15" s="73" t="n">
        <v>117.6652</v>
      </c>
      <c r="V15" s="73"/>
      <c r="W15" s="73"/>
      <c r="X15" s="73"/>
      <c r="Y15" s="66" t="s">
        <v>211</v>
      </c>
      <c r="Z15" s="66" t="s">
        <v>47</v>
      </c>
      <c r="AA15" s="75" t="s">
        <v>936</v>
      </c>
    </row>
    <row r="16" customFormat="false" ht="15.75" hidden="false" customHeight="false" outlineLevel="0" collapsed="false">
      <c r="A16" s="52" t="e">
        <f aca="false">VLOOKUP(E16,'[1]Listas Desplegables'!$H$3:$J$7,2,FALSE())</f>
        <v>#N/A</v>
      </c>
      <c r="B16" s="52" t="e">
        <f aca="false">VLOOKUP(E16,'[1]Listas Desplegables'!$H$3:$J$7,3,FALSE())</f>
        <v>#N/A</v>
      </c>
      <c r="C16" s="69" t="n">
        <v>11</v>
      </c>
      <c r="D16" s="70" t="s">
        <v>937</v>
      </c>
      <c r="E16" s="70" t="s">
        <v>237</v>
      </c>
      <c r="F16" s="71" t="n">
        <v>34.5</v>
      </c>
      <c r="G16" s="72" t="n">
        <v>13.8</v>
      </c>
      <c r="H16" s="72" t="n">
        <v>12.5</v>
      </c>
      <c r="I16" s="73" t="s">
        <v>923</v>
      </c>
      <c r="J16" s="72" t="n">
        <v>7.6</v>
      </c>
      <c r="K16" s="72" t="n">
        <v>7.6</v>
      </c>
      <c r="L16" s="72" t="n">
        <v>3</v>
      </c>
      <c r="M16" s="72" t="n">
        <v>5</v>
      </c>
      <c r="N16" s="72" t="n">
        <v>1</v>
      </c>
      <c r="O16" s="72" t="n">
        <v>2.5</v>
      </c>
      <c r="P16" s="72" t="n">
        <v>100</v>
      </c>
      <c r="Q16" s="72" t="n">
        <v>30</v>
      </c>
      <c r="R16" s="73" t="s">
        <v>201</v>
      </c>
      <c r="S16" s="74"/>
      <c r="T16" s="73" t="s">
        <v>233</v>
      </c>
      <c r="U16" s="73" t="n">
        <v>117.6652</v>
      </c>
      <c r="V16" s="73"/>
      <c r="W16" s="73"/>
      <c r="X16" s="73"/>
      <c r="Y16" s="66" t="s">
        <v>211</v>
      </c>
      <c r="Z16" s="66" t="s">
        <v>47</v>
      </c>
      <c r="AA16" s="75"/>
    </row>
    <row r="17" customFormat="false" ht="15.75" hidden="false" customHeight="false" outlineLevel="0" collapsed="false">
      <c r="A17" s="52" t="e">
        <f aca="false">VLOOKUP(E17,'[1]Listas Desplegables'!$H$3:$J$7,2,FALSE())</f>
        <v>#N/A</v>
      </c>
      <c r="B17" s="52" t="e">
        <f aca="false">VLOOKUP(E17,'[1]Listas Desplegables'!$H$3:$J$7,3,FALSE())</f>
        <v>#N/A</v>
      </c>
      <c r="C17" s="69" t="n">
        <v>12</v>
      </c>
      <c r="D17" s="70" t="s">
        <v>938</v>
      </c>
      <c r="E17" s="70" t="s">
        <v>792</v>
      </c>
      <c r="F17" s="71" t="n">
        <v>34.5</v>
      </c>
      <c r="G17" s="72" t="n">
        <v>13.8</v>
      </c>
      <c r="H17" s="72" t="n">
        <v>12.5</v>
      </c>
      <c r="I17" s="73" t="s">
        <v>923</v>
      </c>
      <c r="J17" s="72" t="n">
        <v>8.1</v>
      </c>
      <c r="K17" s="72" t="n">
        <v>8.1</v>
      </c>
      <c r="L17" s="72" t="n">
        <v>3</v>
      </c>
      <c r="M17" s="72" t="n">
        <v>5</v>
      </c>
      <c r="N17" s="72" t="n">
        <v>1</v>
      </c>
      <c r="O17" s="72" t="n">
        <v>2.5</v>
      </c>
      <c r="P17" s="72" t="n">
        <v>130</v>
      </c>
      <c r="Q17" s="72" t="n">
        <v>30</v>
      </c>
      <c r="R17" s="73" t="s">
        <v>201</v>
      </c>
      <c r="S17" s="74"/>
      <c r="T17" s="73" t="s">
        <v>233</v>
      </c>
      <c r="U17" s="73" t="n">
        <v>117.6652</v>
      </c>
      <c r="V17" s="73"/>
      <c r="W17" s="73"/>
      <c r="X17" s="73"/>
      <c r="Y17" s="66" t="s">
        <v>211</v>
      </c>
      <c r="Z17" s="66" t="s">
        <v>47</v>
      </c>
      <c r="AA17" s="75"/>
    </row>
    <row r="18" customFormat="false" ht="15.75" hidden="false" customHeight="false" outlineLevel="0" collapsed="false">
      <c r="A18" s="52" t="e">
        <f aca="false">VLOOKUP(E18,'[1]Listas Desplegables'!$H$3:$J$7,2,FALSE())</f>
        <v>#N/A</v>
      </c>
      <c r="B18" s="52" t="e">
        <f aca="false">VLOOKUP(E18,'[1]Listas Desplegables'!$H$3:$J$7,3,FALSE())</f>
        <v>#N/A</v>
      </c>
      <c r="C18" s="69" t="n">
        <v>13</v>
      </c>
      <c r="D18" s="70" t="s">
        <v>939</v>
      </c>
      <c r="E18" s="70" t="s">
        <v>692</v>
      </c>
      <c r="F18" s="71" t="n">
        <v>34.5</v>
      </c>
      <c r="G18" s="72" t="n">
        <v>13.8</v>
      </c>
      <c r="H18" s="72" t="n">
        <v>5</v>
      </c>
      <c r="I18" s="73" t="s">
        <v>940</v>
      </c>
      <c r="J18" s="72" t="n">
        <v>6.4</v>
      </c>
      <c r="K18" s="72" t="n">
        <v>6.4</v>
      </c>
      <c r="L18" s="72" t="n">
        <v>3</v>
      </c>
      <c r="M18" s="72" t="n">
        <v>5</v>
      </c>
      <c r="N18" s="72" t="n">
        <v>1</v>
      </c>
      <c r="O18" s="72" t="n">
        <v>2.5</v>
      </c>
      <c r="P18" s="72" t="n">
        <v>130</v>
      </c>
      <c r="Q18" s="72" t="n">
        <v>30</v>
      </c>
      <c r="R18" s="73" t="s">
        <v>201</v>
      </c>
      <c r="S18" s="74"/>
      <c r="T18" s="73" t="s">
        <v>233</v>
      </c>
      <c r="U18" s="73" t="n">
        <v>48.1912</v>
      </c>
      <c r="V18" s="73"/>
      <c r="W18" s="73"/>
      <c r="X18" s="73"/>
      <c r="Y18" s="66" t="s">
        <v>211</v>
      </c>
      <c r="Z18" s="66" t="s">
        <v>47</v>
      </c>
      <c r="AA18" s="75"/>
    </row>
    <row r="19" customFormat="false" ht="15.75" hidden="false" customHeight="false" outlineLevel="0" collapsed="false">
      <c r="A19" s="52" t="e">
        <f aca="false">VLOOKUP(E19,'[1]Listas Desplegables'!$H$3:$J$7,2,FALSE())</f>
        <v>#N/A</v>
      </c>
      <c r="B19" s="52" t="e">
        <f aca="false">VLOOKUP(E19,'[1]Listas Desplegables'!$H$3:$J$7,3,FALSE())</f>
        <v>#N/A</v>
      </c>
      <c r="C19" s="69" t="n">
        <v>14</v>
      </c>
      <c r="D19" s="70" t="s">
        <v>941</v>
      </c>
      <c r="E19" s="70" t="s">
        <v>702</v>
      </c>
      <c r="F19" s="71" t="n">
        <v>34.5</v>
      </c>
      <c r="G19" s="72" t="n">
        <v>13.8</v>
      </c>
      <c r="H19" s="72" t="n">
        <v>6</v>
      </c>
      <c r="I19" s="73" t="s">
        <v>923</v>
      </c>
      <c r="J19" s="72" t="n">
        <v>7.1</v>
      </c>
      <c r="K19" s="72" t="n">
        <v>7.1</v>
      </c>
      <c r="L19" s="72" t="n">
        <v>3</v>
      </c>
      <c r="M19" s="72" t="n">
        <v>5</v>
      </c>
      <c r="N19" s="72" t="n">
        <v>1</v>
      </c>
      <c r="O19" s="72" t="n">
        <v>2.5</v>
      </c>
      <c r="P19" s="72" t="n">
        <v>129</v>
      </c>
      <c r="Q19" s="72" t="n">
        <v>30</v>
      </c>
      <c r="R19" s="73" t="s">
        <v>201</v>
      </c>
      <c r="S19" s="74"/>
      <c r="T19" s="73" t="s">
        <v>233</v>
      </c>
      <c r="U19" s="73" t="n">
        <v>57.4544</v>
      </c>
      <c r="V19" s="73"/>
      <c r="W19" s="73"/>
      <c r="X19" s="73"/>
      <c r="Y19" s="66" t="s">
        <v>211</v>
      </c>
      <c r="Z19" s="66" t="s">
        <v>47</v>
      </c>
      <c r="AA19" s="75"/>
    </row>
    <row r="20" customFormat="false" ht="15.75" hidden="false" customHeight="false" outlineLevel="0" collapsed="false">
      <c r="A20" s="52" t="e">
        <f aca="false">VLOOKUP(E20,'[1]Listas Desplegables'!$H$3:$J$7,2,FALSE())</f>
        <v>#N/A</v>
      </c>
      <c r="B20" s="52" t="e">
        <f aca="false">VLOOKUP(E20,'[1]Listas Desplegables'!$H$3:$J$7,3,FALSE())</f>
        <v>#N/A</v>
      </c>
      <c r="C20" s="69" t="n">
        <v>15</v>
      </c>
      <c r="D20" s="70" t="s">
        <v>942</v>
      </c>
      <c r="E20" s="70" t="s">
        <v>787</v>
      </c>
      <c r="F20" s="71" t="n">
        <v>34.5</v>
      </c>
      <c r="G20" s="72" t="n">
        <v>13.8</v>
      </c>
      <c r="H20" s="72" t="n">
        <v>2</v>
      </c>
      <c r="I20" s="73" t="s">
        <v>923</v>
      </c>
      <c r="J20" s="72" t="n">
        <v>5.3</v>
      </c>
      <c r="K20" s="72" t="n">
        <v>5.3</v>
      </c>
      <c r="L20" s="72" t="n">
        <v>3</v>
      </c>
      <c r="M20" s="72" t="n">
        <v>5</v>
      </c>
      <c r="N20" s="72" t="n">
        <v>1</v>
      </c>
      <c r="O20" s="72" t="n">
        <v>2.5</v>
      </c>
      <c r="P20" s="72" t="n">
        <v>137</v>
      </c>
      <c r="Q20" s="72" t="n">
        <v>30</v>
      </c>
      <c r="R20" s="73" t="s">
        <v>201</v>
      </c>
      <c r="S20" s="74"/>
      <c r="T20" s="73" t="s">
        <v>233</v>
      </c>
      <c r="U20" s="73" t="n">
        <v>20.4016</v>
      </c>
      <c r="V20" s="73"/>
      <c r="W20" s="73"/>
      <c r="X20" s="73"/>
      <c r="Y20" s="66" t="s">
        <v>211</v>
      </c>
      <c r="Z20" s="66" t="s">
        <v>47</v>
      </c>
      <c r="AA20" s="75"/>
    </row>
    <row r="21" customFormat="false" ht="15.75" hidden="false" customHeight="false" outlineLevel="0" collapsed="false">
      <c r="A21" s="52" t="e">
        <f aca="false">VLOOKUP(E21,'[1]Listas Desplegables'!$H$3:$J$7,2,FALSE())</f>
        <v>#N/A</v>
      </c>
      <c r="B21" s="52" t="e">
        <f aca="false">VLOOKUP(E21,'[1]Listas Desplegables'!$H$3:$J$7,3,FALSE())</f>
        <v>#N/A</v>
      </c>
      <c r="C21" s="69" t="n">
        <v>16</v>
      </c>
      <c r="D21" s="70" t="s">
        <v>943</v>
      </c>
      <c r="E21" s="70" t="s">
        <v>696</v>
      </c>
      <c r="F21" s="71" t="n">
        <v>34.5</v>
      </c>
      <c r="G21" s="72" t="n">
        <v>13.8</v>
      </c>
      <c r="H21" s="72" t="n">
        <v>0.5</v>
      </c>
      <c r="I21" s="73" t="s">
        <v>944</v>
      </c>
      <c r="J21" s="72" t="n">
        <v>4.5</v>
      </c>
      <c r="K21" s="72" t="n">
        <v>4.5</v>
      </c>
      <c r="L21" s="72" t="n">
        <v>3</v>
      </c>
      <c r="M21" s="72" t="n">
        <v>5</v>
      </c>
      <c r="N21" s="72" t="n">
        <v>1</v>
      </c>
      <c r="O21" s="72" t="n">
        <v>2.5</v>
      </c>
      <c r="P21" s="72" t="n">
        <v>100</v>
      </c>
      <c r="Q21" s="72" t="n">
        <v>30</v>
      </c>
      <c r="R21" s="73" t="s">
        <v>201</v>
      </c>
      <c r="S21" s="74"/>
      <c r="T21" s="73" t="s">
        <v>233</v>
      </c>
      <c r="U21" s="73" t="n">
        <v>117.6652</v>
      </c>
      <c r="V21" s="73"/>
      <c r="W21" s="73"/>
      <c r="X21" s="73"/>
      <c r="Y21" s="66" t="s">
        <v>211</v>
      </c>
      <c r="Z21" s="66" t="s">
        <v>47</v>
      </c>
      <c r="AA21" s="75"/>
    </row>
    <row r="22" customFormat="false" ht="15.75" hidden="false" customHeight="false" outlineLevel="0" collapsed="false">
      <c r="A22" s="52" t="e">
        <f aca="false">VLOOKUP(E22,'[1]Listas Desplegables'!$H$3:$J$7,2,FALSE())</f>
        <v>#N/A</v>
      </c>
      <c r="B22" s="52" t="e">
        <f aca="false">VLOOKUP(E22,'[1]Listas Desplegables'!$H$3:$J$7,3,FALSE())</f>
        <v>#N/A</v>
      </c>
      <c r="C22" s="69" t="n">
        <v>17</v>
      </c>
      <c r="D22" s="70" t="s">
        <v>945</v>
      </c>
      <c r="E22" s="70" t="s">
        <v>374</v>
      </c>
      <c r="F22" s="71" t="n">
        <v>34.5</v>
      </c>
      <c r="G22" s="72" t="n">
        <v>13.8</v>
      </c>
      <c r="H22" s="72" t="n">
        <v>5</v>
      </c>
      <c r="I22" s="73" t="s">
        <v>940</v>
      </c>
      <c r="J22" s="72" t="n">
        <v>6.4</v>
      </c>
      <c r="K22" s="72" t="n">
        <v>6.4</v>
      </c>
      <c r="L22" s="72" t="n">
        <v>3</v>
      </c>
      <c r="M22" s="72" t="n">
        <v>5</v>
      </c>
      <c r="N22" s="72" t="n">
        <v>1</v>
      </c>
      <c r="O22" s="72" t="n">
        <v>2.5</v>
      </c>
      <c r="P22" s="72" t="n">
        <v>100</v>
      </c>
      <c r="Q22" s="72" t="n">
        <v>30</v>
      </c>
      <c r="R22" s="73" t="s">
        <v>201</v>
      </c>
      <c r="S22" s="74"/>
      <c r="T22" s="73" t="s">
        <v>233</v>
      </c>
      <c r="U22" s="73" t="n">
        <v>117.6652</v>
      </c>
      <c r="V22" s="73"/>
      <c r="W22" s="73"/>
      <c r="X22" s="73"/>
      <c r="Y22" s="66" t="s">
        <v>211</v>
      </c>
      <c r="Z22" s="66" t="s">
        <v>47</v>
      </c>
      <c r="AA22" s="75"/>
    </row>
    <row r="23" customFormat="false" ht="15.75" hidden="false" customHeight="false" outlineLevel="0" collapsed="false">
      <c r="A23" s="52" t="e">
        <f aca="false">VLOOKUP(E23,'[1]Listas Desplegables'!$H$3:$J$7,2,FALSE())</f>
        <v>#N/A</v>
      </c>
      <c r="B23" s="52" t="e">
        <f aca="false">VLOOKUP(E23,'[1]Listas Desplegables'!$H$3:$J$7,3,FALSE())</f>
        <v>#N/A</v>
      </c>
      <c r="C23" s="69" t="n">
        <v>18</v>
      </c>
      <c r="D23" s="70" t="s">
        <v>946</v>
      </c>
      <c r="E23" s="70" t="s">
        <v>699</v>
      </c>
      <c r="F23" s="71" t="n">
        <v>33</v>
      </c>
      <c r="G23" s="72" t="n">
        <v>4.2</v>
      </c>
      <c r="H23" s="72" t="n">
        <v>5</v>
      </c>
      <c r="I23" s="73" t="s">
        <v>940</v>
      </c>
      <c r="J23" s="72" t="n">
        <v>7.2</v>
      </c>
      <c r="K23" s="72" t="n">
        <v>7.2</v>
      </c>
      <c r="L23" s="72" t="n">
        <v>9</v>
      </c>
      <c r="M23" s="72" t="n">
        <v>17</v>
      </c>
      <c r="N23" s="72" t="n">
        <v>1</v>
      </c>
      <c r="O23" s="72" t="n">
        <v>1.2</v>
      </c>
      <c r="P23" s="72" t="n">
        <v>122</v>
      </c>
      <c r="Q23" s="72" t="n">
        <v>30</v>
      </c>
      <c r="R23" s="73" t="s">
        <v>201</v>
      </c>
      <c r="S23" s="74"/>
      <c r="T23" s="73" t="s">
        <v>233</v>
      </c>
      <c r="U23" s="73" t="n">
        <v>48.1912</v>
      </c>
      <c r="V23" s="73"/>
      <c r="W23" s="73"/>
      <c r="X23" s="73"/>
      <c r="Y23" s="66" t="s">
        <v>211</v>
      </c>
      <c r="Z23" s="66" t="s">
        <v>47</v>
      </c>
      <c r="AA23" s="75"/>
    </row>
    <row r="24" customFormat="false" ht="15.75" hidden="false" customHeight="false" outlineLevel="0" collapsed="false">
      <c r="A24" s="52" t="e">
        <f aca="false">VLOOKUP(E24,'[1]Listas Desplegables'!$H$3:$J$7,2,FALSE())</f>
        <v>#N/A</v>
      </c>
      <c r="B24" s="52" t="e">
        <f aca="false">VLOOKUP(E24,'[1]Listas Desplegables'!$H$3:$J$7,3,FALSE())</f>
        <v>#N/A</v>
      </c>
      <c r="C24" s="76" t="n">
        <v>19</v>
      </c>
      <c r="D24" s="70" t="s">
        <v>947</v>
      </c>
      <c r="E24" s="70" t="s">
        <v>231</v>
      </c>
      <c r="F24" s="71" t="n">
        <v>34.5</v>
      </c>
      <c r="G24" s="72" t="n">
        <v>13.8</v>
      </c>
      <c r="H24" s="72" t="n">
        <v>20</v>
      </c>
      <c r="I24" s="73" t="s">
        <v>923</v>
      </c>
      <c r="J24" s="72" t="n">
        <v>7</v>
      </c>
      <c r="K24" s="72" t="n">
        <v>7</v>
      </c>
      <c r="L24" s="72" t="n">
        <v>3</v>
      </c>
      <c r="M24" s="72" t="n">
        <v>5</v>
      </c>
      <c r="N24" s="72" t="n">
        <v>1</v>
      </c>
      <c r="O24" s="72" t="n">
        <v>2.5</v>
      </c>
      <c r="P24" s="72" t="n">
        <v>100</v>
      </c>
      <c r="Q24" s="72" t="n">
        <v>30</v>
      </c>
      <c r="R24" s="73" t="s">
        <v>201</v>
      </c>
      <c r="S24" s="74"/>
      <c r="T24" s="73" t="s">
        <v>233</v>
      </c>
      <c r="U24" s="73" t="n">
        <v>117.6652</v>
      </c>
      <c r="V24" s="73"/>
      <c r="W24" s="73"/>
      <c r="X24" s="73"/>
      <c r="Y24" s="66" t="s">
        <v>211</v>
      </c>
      <c r="Z24" s="66" t="s">
        <v>47</v>
      </c>
      <c r="AA24" s="75"/>
    </row>
    <row r="25" customFormat="false" ht="15.75" hidden="false" customHeight="false" outlineLevel="0" collapsed="false">
      <c r="A25" s="52" t="e">
        <f aca="false">VLOOKUP(E25,'[1]Listas Desplegables'!$H$3:$J$7,2,FALSE())</f>
        <v>#N/A</v>
      </c>
      <c r="B25" s="52" t="e">
        <f aca="false">VLOOKUP(E25,'[1]Listas Desplegables'!$H$3:$J$7,3,FALSE())</f>
        <v>#N/A</v>
      </c>
      <c r="C25" s="77" t="n">
        <v>20</v>
      </c>
      <c r="D25" s="78" t="s">
        <v>948</v>
      </c>
      <c r="E25" s="78" t="s">
        <v>926</v>
      </c>
      <c r="F25" s="79" t="n">
        <v>13.8</v>
      </c>
      <c r="G25" s="72" t="n">
        <v>6.3</v>
      </c>
      <c r="H25" s="72" t="n">
        <v>1.5</v>
      </c>
      <c r="I25" s="73" t="s">
        <v>927</v>
      </c>
      <c r="J25" s="72" t="n">
        <v>4.8</v>
      </c>
      <c r="K25" s="72" t="n">
        <v>4.8</v>
      </c>
      <c r="L25" s="72" t="n">
        <v>3</v>
      </c>
      <c r="M25" s="72" t="n">
        <v>5</v>
      </c>
      <c r="N25" s="72" t="n">
        <v>1</v>
      </c>
      <c r="O25" s="72" t="n">
        <v>2.5</v>
      </c>
      <c r="P25" s="72" t="n">
        <v>120</v>
      </c>
      <c r="Q25" s="72" t="n">
        <v>30</v>
      </c>
      <c r="R25" s="73" t="s">
        <v>201</v>
      </c>
      <c r="S25" s="74"/>
      <c r="T25" s="73" t="s">
        <v>233</v>
      </c>
      <c r="U25" s="73" t="n">
        <v>15.77</v>
      </c>
      <c r="V25" s="73"/>
      <c r="W25" s="73"/>
      <c r="X25" s="73"/>
      <c r="Y25" s="66" t="s">
        <v>211</v>
      </c>
      <c r="Z25" s="66" t="s">
        <v>47</v>
      </c>
      <c r="AA25" s="75"/>
    </row>
    <row r="26" customFormat="false" ht="15.75" hidden="false" customHeight="false" outlineLevel="0" collapsed="false">
      <c r="A26" s="52" t="e">
        <f aca="false">VLOOKUP(E26,'[1]Listas Desplegables'!$H$3:$J$7,2,FALSE())</f>
        <v>#N/A</v>
      </c>
      <c r="B26" s="52" t="e">
        <f aca="false">VLOOKUP(E26,'[1]Listas Desplegables'!$H$3:$J$7,3,FALSE())</f>
        <v>#N/A</v>
      </c>
      <c r="C26" s="76" t="n">
        <v>21</v>
      </c>
      <c r="D26" s="78" t="s">
        <v>949</v>
      </c>
      <c r="E26" s="78" t="s">
        <v>950</v>
      </c>
      <c r="F26" s="79" t="n">
        <v>34.5</v>
      </c>
      <c r="G26" s="72" t="n">
        <v>13.8</v>
      </c>
      <c r="H26" s="72" t="n">
        <v>20</v>
      </c>
      <c r="I26" s="73" t="s">
        <v>923</v>
      </c>
      <c r="J26" s="72" t="n">
        <v>7.2</v>
      </c>
      <c r="K26" s="72" t="n">
        <v>7.2</v>
      </c>
      <c r="L26" s="72" t="n">
        <v>5</v>
      </c>
      <c r="M26" s="72" t="n">
        <v>11</v>
      </c>
      <c r="N26" s="72" t="n">
        <v>1</v>
      </c>
      <c r="O26" s="72" t="n">
        <v>1.2</v>
      </c>
      <c r="P26" s="72" t="n">
        <v>100</v>
      </c>
      <c r="Q26" s="72" t="n">
        <v>30</v>
      </c>
      <c r="R26" s="73" t="s">
        <v>201</v>
      </c>
      <c r="S26" s="74"/>
      <c r="T26" s="73" t="s">
        <v>233</v>
      </c>
      <c r="U26" s="73" t="n">
        <v>117.6652</v>
      </c>
      <c r="V26" s="73"/>
      <c r="W26" s="73"/>
      <c r="X26" s="73"/>
      <c r="Y26" s="66" t="s">
        <v>211</v>
      </c>
      <c r="Z26" s="66" t="s">
        <v>47</v>
      </c>
      <c r="AA26" s="75"/>
    </row>
    <row r="27" customFormat="false" ht="15.75" hidden="false" customHeight="false" outlineLevel="0" collapsed="false">
      <c r="A27" s="52" t="e">
        <f aca="false">VLOOKUP(E27,'[1]Listas Desplegables'!$H$3:$J$7,2,FALSE())</f>
        <v>#N/A</v>
      </c>
      <c r="B27" s="52" t="e">
        <f aca="false">VLOOKUP(E27,'[1]Listas Desplegables'!$H$3:$J$7,3,FALSE())</f>
        <v>#N/A</v>
      </c>
      <c r="C27" s="69" t="n">
        <v>22</v>
      </c>
      <c r="D27" s="78" t="s">
        <v>951</v>
      </c>
      <c r="E27" s="78" t="s">
        <v>578</v>
      </c>
      <c r="F27" s="79" t="n">
        <v>34.5</v>
      </c>
      <c r="G27" s="72" t="n">
        <v>13.8</v>
      </c>
      <c r="H27" s="72" t="n">
        <v>1</v>
      </c>
      <c r="I27" s="73" t="s">
        <v>923</v>
      </c>
      <c r="J27" s="72" t="n">
        <v>5.9</v>
      </c>
      <c r="K27" s="72" t="n">
        <v>5.9</v>
      </c>
      <c r="L27" s="72" t="n">
        <v>3</v>
      </c>
      <c r="M27" s="72" t="n">
        <v>5</v>
      </c>
      <c r="N27" s="72" t="n">
        <v>1</v>
      </c>
      <c r="O27" s="72" t="n">
        <v>2.5</v>
      </c>
      <c r="P27" s="72" t="n">
        <v>0</v>
      </c>
      <c r="Q27" s="72" t="n">
        <v>30</v>
      </c>
      <c r="R27" s="73" t="s">
        <v>201</v>
      </c>
      <c r="S27" s="74"/>
      <c r="T27" s="73" t="s">
        <v>233</v>
      </c>
      <c r="U27" s="73" t="n">
        <v>11.1384</v>
      </c>
      <c r="V27" s="73"/>
      <c r="W27" s="73"/>
      <c r="X27" s="73"/>
      <c r="Y27" s="66" t="s">
        <v>211</v>
      </c>
      <c r="Z27" s="66" t="s">
        <v>47</v>
      </c>
      <c r="AA27" s="75"/>
    </row>
    <row r="28" customFormat="false" ht="15.75" hidden="false" customHeight="false" outlineLevel="0" collapsed="false">
      <c r="A28" s="52" t="e">
        <f aca="false">VLOOKUP(E28,'[1]Listas Desplegables'!$H$3:$J$7,2,FALSE())</f>
        <v>#N/A</v>
      </c>
      <c r="B28" s="52" t="e">
        <f aca="false">VLOOKUP(E28,'[1]Listas Desplegables'!$H$3:$J$7,3,FALSE())</f>
        <v>#N/A</v>
      </c>
      <c r="C28" s="69" t="n">
        <v>23</v>
      </c>
      <c r="D28" s="78" t="s">
        <v>952</v>
      </c>
      <c r="E28" s="78" t="s">
        <v>508</v>
      </c>
      <c r="F28" s="79" t="n">
        <v>34.5</v>
      </c>
      <c r="G28" s="72" t="n">
        <v>13.8</v>
      </c>
      <c r="H28" s="72" t="n">
        <v>13.3</v>
      </c>
      <c r="I28" s="73" t="s">
        <v>940</v>
      </c>
      <c r="J28" s="72" t="n">
        <v>7</v>
      </c>
      <c r="K28" s="72" t="n">
        <v>7</v>
      </c>
      <c r="L28" s="72" t="n">
        <v>3</v>
      </c>
      <c r="M28" s="72" t="n">
        <v>5</v>
      </c>
      <c r="N28" s="72" t="n">
        <v>1</v>
      </c>
      <c r="O28" s="72" t="n">
        <v>2.5</v>
      </c>
      <c r="P28" s="72" t="n">
        <v>129</v>
      </c>
      <c r="Q28" s="72" t="n">
        <v>30</v>
      </c>
      <c r="R28" s="73" t="s">
        <v>201</v>
      </c>
      <c r="S28" s="74"/>
      <c r="T28" s="73" t="s">
        <v>233</v>
      </c>
      <c r="U28" s="73" t="n">
        <v>125.3814456</v>
      </c>
      <c r="V28" s="73"/>
      <c r="W28" s="73"/>
      <c r="X28" s="73"/>
      <c r="Y28" s="66" t="s">
        <v>211</v>
      </c>
      <c r="Z28" s="66" t="s">
        <v>47</v>
      </c>
      <c r="AA28" s="75"/>
    </row>
    <row r="29" customFormat="false" ht="15.75" hidden="false" customHeight="false" outlineLevel="0" collapsed="false">
      <c r="A29" s="52" t="e">
        <f aca="false">VLOOKUP(E29,'[1]Listas Desplegables'!$H$3:$J$7,2,FALSE())</f>
        <v>#N/A</v>
      </c>
      <c r="B29" s="52" t="e">
        <f aca="false">VLOOKUP(E29,'[1]Listas Desplegables'!$H$3:$J$7,3,FALSE())</f>
        <v>#N/A</v>
      </c>
      <c r="C29" s="69" t="n">
        <v>24</v>
      </c>
      <c r="D29" s="78" t="s">
        <v>953</v>
      </c>
      <c r="E29" s="78" t="s">
        <v>648</v>
      </c>
      <c r="F29" s="79" t="n">
        <v>34.5</v>
      </c>
      <c r="G29" s="72" t="n">
        <v>13.8</v>
      </c>
      <c r="H29" s="72" t="n">
        <v>2</v>
      </c>
      <c r="I29" s="73" t="s">
        <v>923</v>
      </c>
      <c r="J29" s="72" t="n">
        <v>5.8</v>
      </c>
      <c r="K29" s="72" t="n">
        <v>5.8</v>
      </c>
      <c r="L29" s="72" t="n">
        <v>3</v>
      </c>
      <c r="M29" s="72" t="n">
        <v>5</v>
      </c>
      <c r="N29" s="72" t="n">
        <v>1</v>
      </c>
      <c r="O29" s="72" t="n">
        <v>2.5</v>
      </c>
      <c r="P29" s="72" t="n">
        <v>102</v>
      </c>
      <c r="Q29" s="72" t="n">
        <v>30</v>
      </c>
      <c r="R29" s="73" t="s">
        <v>201</v>
      </c>
      <c r="S29" s="74"/>
      <c r="T29" s="73" t="s">
        <v>233</v>
      </c>
      <c r="U29" s="73" t="n">
        <v>20.4016</v>
      </c>
      <c r="V29" s="73"/>
      <c r="W29" s="73"/>
      <c r="X29" s="73"/>
      <c r="Y29" s="66" t="s">
        <v>211</v>
      </c>
      <c r="Z29" s="66" t="s">
        <v>47</v>
      </c>
      <c r="AA29" s="75"/>
    </row>
    <row r="30" customFormat="false" ht="15.75" hidden="false" customHeight="false" outlineLevel="0" collapsed="false">
      <c r="A30" s="52" t="e">
        <f aca="false">VLOOKUP(E30,'[1]Listas Desplegables'!$H$3:$J$7,2,FALSE())</f>
        <v>#N/A</v>
      </c>
      <c r="B30" s="52" t="e">
        <f aca="false">VLOOKUP(E30,'[1]Listas Desplegables'!$H$3:$J$7,3,FALSE())</f>
        <v>#N/A</v>
      </c>
      <c r="C30" s="69" t="n">
        <v>25</v>
      </c>
      <c r="D30" s="78" t="s">
        <v>954</v>
      </c>
      <c r="E30" s="78" t="s">
        <v>231</v>
      </c>
      <c r="F30" s="79" t="n">
        <v>34.5</v>
      </c>
      <c r="G30" s="72" t="n">
        <v>13.8</v>
      </c>
      <c r="H30" s="72" t="n">
        <v>10</v>
      </c>
      <c r="I30" s="73" t="s">
        <v>923</v>
      </c>
      <c r="J30" s="72" t="n">
        <v>7</v>
      </c>
      <c r="K30" s="72" t="n">
        <v>7</v>
      </c>
      <c r="L30" s="72" t="n">
        <v>3</v>
      </c>
      <c r="M30" s="72" t="n">
        <v>5</v>
      </c>
      <c r="N30" s="72" t="n">
        <v>1</v>
      </c>
      <c r="O30" s="72" t="n">
        <v>2.5</v>
      </c>
      <c r="P30" s="72" t="n">
        <v>100</v>
      </c>
      <c r="Q30" s="72" t="n">
        <v>30</v>
      </c>
      <c r="R30" s="73" t="s">
        <v>201</v>
      </c>
      <c r="S30" s="74"/>
      <c r="T30" s="73" t="s">
        <v>233</v>
      </c>
      <c r="U30" s="73" t="n">
        <v>117.6652</v>
      </c>
      <c r="V30" s="73"/>
      <c r="W30" s="73"/>
      <c r="X30" s="73"/>
      <c r="Y30" s="66" t="s">
        <v>211</v>
      </c>
      <c r="Z30" s="66" t="s">
        <v>47</v>
      </c>
      <c r="AA30" s="75"/>
    </row>
    <row r="31" customFormat="false" ht="15.75" hidden="false" customHeight="false" outlineLevel="0" collapsed="false">
      <c r="A31" s="52" t="e">
        <f aca="false">VLOOKUP(E31,'[1]Listas Desplegables'!$H$3:$J$7,2,FALSE())</f>
        <v>#N/A</v>
      </c>
      <c r="B31" s="52" t="e">
        <f aca="false">VLOOKUP(E31,'[1]Listas Desplegables'!$H$3:$J$7,3,FALSE())</f>
        <v>#N/A</v>
      </c>
      <c r="C31" s="69" t="n">
        <v>26</v>
      </c>
      <c r="D31" s="78" t="s">
        <v>955</v>
      </c>
      <c r="E31" s="78" t="s">
        <v>592</v>
      </c>
      <c r="F31" s="79" t="n">
        <v>34.5</v>
      </c>
      <c r="G31" s="72" t="n">
        <v>13.8</v>
      </c>
      <c r="H31" s="72" t="n">
        <v>1</v>
      </c>
      <c r="I31" s="73" t="s">
        <v>923</v>
      </c>
      <c r="J31" s="72" t="n">
        <v>4.8</v>
      </c>
      <c r="K31" s="72" t="n">
        <v>4.8</v>
      </c>
      <c r="L31" s="72" t="n">
        <v>3</v>
      </c>
      <c r="M31" s="72" t="n">
        <v>5</v>
      </c>
      <c r="N31" s="72" t="n">
        <v>1</v>
      </c>
      <c r="O31" s="72" t="n">
        <v>2.5</v>
      </c>
      <c r="P31" s="72" t="n">
        <v>100</v>
      </c>
      <c r="Q31" s="72" t="n">
        <v>30</v>
      </c>
      <c r="R31" s="73" t="s">
        <v>201</v>
      </c>
      <c r="S31" s="74"/>
      <c r="T31" s="73" t="s">
        <v>233</v>
      </c>
      <c r="U31" s="73" t="n">
        <v>117.6652</v>
      </c>
      <c r="V31" s="73"/>
      <c r="W31" s="73"/>
      <c r="X31" s="73"/>
      <c r="Y31" s="66" t="s">
        <v>211</v>
      </c>
      <c r="Z31" s="66" t="s">
        <v>47</v>
      </c>
      <c r="AA31" s="75"/>
    </row>
    <row r="32" customFormat="false" ht="15.75" hidden="false" customHeight="false" outlineLevel="0" collapsed="false">
      <c r="A32" s="52" t="e">
        <f aca="false">VLOOKUP(E32,'[1]Listas Desplegables'!$H$3:$J$7,2,FALSE())</f>
        <v>#N/A</v>
      </c>
      <c r="B32" s="52" t="e">
        <f aca="false">VLOOKUP(E32,'[1]Listas Desplegables'!$H$3:$J$7,3,FALSE())</f>
        <v>#N/A</v>
      </c>
      <c r="C32" s="69" t="n">
        <v>27</v>
      </c>
      <c r="D32" s="78" t="s">
        <v>956</v>
      </c>
      <c r="E32" s="78" t="s">
        <v>658</v>
      </c>
      <c r="F32" s="79" t="n">
        <v>34.5</v>
      </c>
      <c r="G32" s="72" t="n">
        <v>13.8</v>
      </c>
      <c r="H32" s="72" t="n">
        <v>12.5</v>
      </c>
      <c r="I32" s="73" t="s">
        <v>923</v>
      </c>
      <c r="J32" s="72" t="n">
        <v>8.8</v>
      </c>
      <c r="K32" s="72" t="n">
        <v>8.8</v>
      </c>
      <c r="L32" s="72" t="n">
        <v>3</v>
      </c>
      <c r="M32" s="72" t="n">
        <v>5</v>
      </c>
      <c r="N32" s="72" t="n">
        <v>1</v>
      </c>
      <c r="O32" s="72" t="n">
        <v>2.5</v>
      </c>
      <c r="P32" s="72" t="n">
        <v>129</v>
      </c>
      <c r="Q32" s="72" t="n">
        <v>30</v>
      </c>
      <c r="R32" s="73" t="s">
        <v>201</v>
      </c>
      <c r="S32" s="74"/>
      <c r="T32" s="73" t="s">
        <v>233</v>
      </c>
      <c r="U32" s="73" t="n">
        <v>117.6652</v>
      </c>
      <c r="V32" s="73"/>
      <c r="W32" s="73"/>
      <c r="X32" s="73"/>
      <c r="Y32" s="66" t="s">
        <v>211</v>
      </c>
      <c r="Z32" s="66" t="s">
        <v>47</v>
      </c>
      <c r="AA32" s="75"/>
    </row>
    <row r="33" customFormat="false" ht="15.75" hidden="false" customHeight="false" outlineLevel="0" collapsed="false">
      <c r="A33" s="52" t="e">
        <f aca="false">VLOOKUP(E33,'[1]Listas Desplegables'!$H$3:$J$7,2,FALSE())</f>
        <v>#N/A</v>
      </c>
      <c r="B33" s="52" t="e">
        <f aca="false">VLOOKUP(E33,'[1]Listas Desplegables'!$H$3:$J$7,3,FALSE())</f>
        <v>#N/A</v>
      </c>
      <c r="C33" s="69" t="n">
        <v>28</v>
      </c>
      <c r="D33" s="78" t="s">
        <v>957</v>
      </c>
      <c r="E33" s="78" t="s">
        <v>722</v>
      </c>
      <c r="F33" s="79" t="n">
        <v>34.5</v>
      </c>
      <c r="G33" s="72" t="n">
        <v>13.8</v>
      </c>
      <c r="H33" s="72" t="n">
        <v>5</v>
      </c>
      <c r="I33" s="73" t="s">
        <v>923</v>
      </c>
      <c r="J33" s="72" t="n">
        <v>6</v>
      </c>
      <c r="K33" s="72" t="n">
        <v>6</v>
      </c>
      <c r="L33" s="72" t="n">
        <v>3</v>
      </c>
      <c r="M33" s="72" t="n">
        <v>5</v>
      </c>
      <c r="N33" s="72" t="n">
        <v>1</v>
      </c>
      <c r="O33" s="72" t="n">
        <v>2.5</v>
      </c>
      <c r="P33" s="72" t="n">
        <v>140</v>
      </c>
      <c r="Q33" s="72" t="n">
        <v>30</v>
      </c>
      <c r="R33" s="73" t="s">
        <v>201</v>
      </c>
      <c r="S33" s="74"/>
      <c r="T33" s="73" t="s">
        <v>233</v>
      </c>
      <c r="U33" s="73" t="n">
        <v>48.1912</v>
      </c>
      <c r="V33" s="73"/>
      <c r="W33" s="73"/>
      <c r="X33" s="73"/>
      <c r="Y33" s="66" t="s">
        <v>211</v>
      </c>
      <c r="Z33" s="66" t="s">
        <v>47</v>
      </c>
      <c r="AA33" s="75"/>
    </row>
    <row r="34" customFormat="false" ht="15.75" hidden="false" customHeight="false" outlineLevel="0" collapsed="false">
      <c r="A34" s="52" t="e">
        <f aca="false">VLOOKUP(E34,'[1]Listas Desplegables'!$H$3:$J$7,2,FALSE())</f>
        <v>#N/A</v>
      </c>
      <c r="B34" s="52" t="e">
        <f aca="false">VLOOKUP(E34,'[1]Listas Desplegables'!$H$3:$J$7,3,FALSE())</f>
        <v>#N/A</v>
      </c>
      <c r="C34" s="69" t="n">
        <v>29</v>
      </c>
      <c r="D34" s="78" t="s">
        <v>958</v>
      </c>
      <c r="E34" s="78" t="s">
        <v>741</v>
      </c>
      <c r="F34" s="79" t="n">
        <v>34.5</v>
      </c>
      <c r="G34" s="72" t="n">
        <v>13.8</v>
      </c>
      <c r="H34" s="72" t="n">
        <v>1</v>
      </c>
      <c r="I34" s="73" t="s">
        <v>923</v>
      </c>
      <c r="J34" s="72" t="n">
        <v>4.8</v>
      </c>
      <c r="K34" s="72" t="n">
        <v>4.8</v>
      </c>
      <c r="L34" s="72" t="n">
        <v>3</v>
      </c>
      <c r="M34" s="72" t="n">
        <v>5</v>
      </c>
      <c r="N34" s="72" t="n">
        <v>1</v>
      </c>
      <c r="O34" s="72" t="n">
        <v>2.5</v>
      </c>
      <c r="P34" s="72" t="n">
        <v>100</v>
      </c>
      <c r="Q34" s="72" t="n">
        <v>30</v>
      </c>
      <c r="R34" s="73" t="s">
        <v>201</v>
      </c>
      <c r="S34" s="74"/>
      <c r="T34" s="73" t="s">
        <v>233</v>
      </c>
      <c r="U34" s="73" t="n">
        <v>117.6652</v>
      </c>
      <c r="V34" s="73"/>
      <c r="W34" s="73"/>
      <c r="X34" s="73"/>
      <c r="Y34" s="66" t="s">
        <v>211</v>
      </c>
      <c r="Z34" s="66" t="s">
        <v>47</v>
      </c>
      <c r="AA34" s="75"/>
    </row>
    <row r="35" customFormat="false" ht="15.75" hidden="false" customHeight="false" outlineLevel="0" collapsed="false">
      <c r="A35" s="52" t="e">
        <f aca="false">VLOOKUP(E35,'[1]Listas Desplegables'!$H$3:$J$7,2,FALSE())</f>
        <v>#N/A</v>
      </c>
      <c r="B35" s="52" t="e">
        <f aca="false">VLOOKUP(E35,'[1]Listas Desplegables'!$H$3:$J$7,3,FALSE())</f>
        <v>#N/A</v>
      </c>
      <c r="C35" s="76" t="n">
        <v>30</v>
      </c>
      <c r="D35" s="78" t="s">
        <v>959</v>
      </c>
      <c r="E35" s="78" t="s">
        <v>960</v>
      </c>
      <c r="F35" s="79" t="n">
        <v>34.5</v>
      </c>
      <c r="G35" s="72" t="n">
        <v>13.8</v>
      </c>
      <c r="H35" s="72" t="n">
        <v>20</v>
      </c>
      <c r="I35" s="73" t="s">
        <v>923</v>
      </c>
      <c r="J35" s="72" t="n">
        <v>7.3</v>
      </c>
      <c r="K35" s="72" t="n">
        <v>7.3</v>
      </c>
      <c r="L35" s="72" t="n">
        <v>3</v>
      </c>
      <c r="M35" s="72" t="n">
        <v>5</v>
      </c>
      <c r="N35" s="72" t="n">
        <v>1</v>
      </c>
      <c r="O35" s="72" t="n">
        <v>2.5</v>
      </c>
      <c r="P35" s="72" t="n">
        <v>129</v>
      </c>
      <c r="Q35" s="72" t="n">
        <v>30</v>
      </c>
      <c r="R35" s="73" t="s">
        <v>201</v>
      </c>
      <c r="S35" s="74"/>
      <c r="T35" s="73" t="s">
        <v>233</v>
      </c>
      <c r="U35" s="73" t="n">
        <v>248.832112</v>
      </c>
      <c r="V35" s="73"/>
      <c r="W35" s="73"/>
      <c r="X35" s="73"/>
      <c r="Y35" s="66" t="s">
        <v>211</v>
      </c>
      <c r="Z35" s="66" t="s">
        <v>47</v>
      </c>
      <c r="AA35" s="75"/>
    </row>
    <row r="36" customFormat="false" ht="15.75" hidden="false" customHeight="false" outlineLevel="0" collapsed="false">
      <c r="A36" s="52" t="e">
        <f aca="false">VLOOKUP(E36,'[1]Listas Desplegables'!$H$3:$J$7,2,FALSE())</f>
        <v>#N/A</v>
      </c>
      <c r="B36" s="52" t="e">
        <f aca="false">VLOOKUP(E36,'[1]Listas Desplegables'!$H$3:$J$7,3,FALSE())</f>
        <v>#N/A</v>
      </c>
      <c r="C36" s="69" t="n">
        <v>31</v>
      </c>
      <c r="D36" s="78" t="s">
        <v>961</v>
      </c>
      <c r="E36" s="78" t="s">
        <v>281</v>
      </c>
      <c r="F36" s="79" t="n">
        <v>34.5</v>
      </c>
      <c r="G36" s="72" t="n">
        <v>13.8</v>
      </c>
      <c r="H36" s="72" t="n">
        <v>12.5</v>
      </c>
      <c r="I36" s="73" t="s">
        <v>923</v>
      </c>
      <c r="J36" s="72" t="n">
        <v>6.4</v>
      </c>
      <c r="K36" s="72" t="n">
        <v>6.4</v>
      </c>
      <c r="L36" s="72" t="n">
        <v>3</v>
      </c>
      <c r="M36" s="72" t="n">
        <v>5</v>
      </c>
      <c r="N36" s="72" t="n">
        <v>1</v>
      </c>
      <c r="O36" s="72" t="n">
        <v>2.5</v>
      </c>
      <c r="P36" s="72" t="n">
        <v>100</v>
      </c>
      <c r="Q36" s="72" t="n">
        <v>30</v>
      </c>
      <c r="R36" s="73" t="s">
        <v>201</v>
      </c>
      <c r="S36" s="74"/>
      <c r="T36" s="73" t="s">
        <v>233</v>
      </c>
      <c r="U36" s="73" t="n">
        <v>117.6652</v>
      </c>
      <c r="V36" s="73"/>
      <c r="W36" s="73"/>
      <c r="X36" s="73"/>
      <c r="Y36" s="66" t="s">
        <v>211</v>
      </c>
      <c r="Z36" s="66" t="s">
        <v>47</v>
      </c>
      <c r="AA36" s="75"/>
    </row>
    <row r="37" customFormat="false" ht="15.75" hidden="false" customHeight="false" outlineLevel="0" collapsed="false">
      <c r="A37" s="52" t="e">
        <f aca="false">VLOOKUP(E37,'[1]Listas Desplegables'!$H$3:$J$7,2,FALSE())</f>
        <v>#N/A</v>
      </c>
      <c r="B37" s="52" t="e">
        <f aca="false">VLOOKUP(E37,'[1]Listas Desplegables'!$H$3:$J$7,3,FALSE())</f>
        <v>#N/A</v>
      </c>
      <c r="C37" s="69" t="n">
        <v>32</v>
      </c>
      <c r="D37" s="78" t="s">
        <v>962</v>
      </c>
      <c r="E37" s="78" t="s">
        <v>700</v>
      </c>
      <c r="F37" s="79" t="n">
        <v>34.5</v>
      </c>
      <c r="G37" s="72" t="n">
        <v>13.8</v>
      </c>
      <c r="H37" s="72" t="n">
        <v>6</v>
      </c>
      <c r="I37" s="73" t="s">
        <v>923</v>
      </c>
      <c r="J37" s="72" t="n">
        <v>6.9</v>
      </c>
      <c r="K37" s="72" t="n">
        <v>6.9</v>
      </c>
      <c r="L37" s="72" t="n">
        <v>3</v>
      </c>
      <c r="M37" s="72" t="n">
        <v>5</v>
      </c>
      <c r="N37" s="72" t="n">
        <v>1</v>
      </c>
      <c r="O37" s="72" t="n">
        <v>2.5</v>
      </c>
      <c r="P37" s="72" t="n">
        <v>120</v>
      </c>
      <c r="Q37" s="72" t="n">
        <v>30</v>
      </c>
      <c r="R37" s="73" t="s">
        <v>201</v>
      </c>
      <c r="S37" s="74"/>
      <c r="T37" s="73" t="s">
        <v>233</v>
      </c>
      <c r="U37" s="73" t="n">
        <v>48.1912</v>
      </c>
      <c r="V37" s="73"/>
      <c r="W37" s="73"/>
      <c r="X37" s="73"/>
      <c r="Y37" s="66" t="s">
        <v>211</v>
      </c>
      <c r="Z37" s="66" t="s">
        <v>47</v>
      </c>
      <c r="AA37" s="75"/>
    </row>
    <row r="38" customFormat="false" ht="15.75" hidden="false" customHeight="false" outlineLevel="0" collapsed="false">
      <c r="A38" s="52" t="e">
        <f aca="false">VLOOKUP(E38,'[1]Listas Desplegables'!$H$3:$J$7,2,FALSE())</f>
        <v>#N/A</v>
      </c>
      <c r="B38" s="52" t="e">
        <f aca="false">VLOOKUP(E38,'[1]Listas Desplegables'!$H$3:$J$7,3,FALSE())</f>
        <v>#N/A</v>
      </c>
      <c r="C38" s="69" t="n">
        <v>33</v>
      </c>
      <c r="D38" s="78" t="s">
        <v>963</v>
      </c>
      <c r="E38" s="78" t="s">
        <v>563</v>
      </c>
      <c r="F38" s="79" t="n">
        <v>34.5</v>
      </c>
      <c r="G38" s="72" t="n">
        <v>13.8</v>
      </c>
      <c r="H38" s="72" t="n">
        <v>25</v>
      </c>
      <c r="I38" s="73" t="s">
        <v>923</v>
      </c>
      <c r="J38" s="72" t="n">
        <v>8.9</v>
      </c>
      <c r="K38" s="72" t="n">
        <v>8.9</v>
      </c>
      <c r="L38" s="72" t="n">
        <v>3</v>
      </c>
      <c r="M38" s="72" t="n">
        <v>5</v>
      </c>
      <c r="N38" s="72" t="n">
        <v>1</v>
      </c>
      <c r="O38" s="72" t="n">
        <v>2.5</v>
      </c>
      <c r="P38" s="72" t="n">
        <v>100</v>
      </c>
      <c r="Q38" s="72" t="n">
        <v>30</v>
      </c>
      <c r="R38" s="73" t="s">
        <v>201</v>
      </c>
      <c r="S38" s="74"/>
      <c r="T38" s="73" t="s">
        <v>233</v>
      </c>
      <c r="U38" s="73" t="n">
        <v>117.6652</v>
      </c>
      <c r="V38" s="73"/>
      <c r="W38" s="73"/>
      <c r="X38" s="73"/>
      <c r="Y38" s="66" t="s">
        <v>211</v>
      </c>
      <c r="Z38" s="66" t="s">
        <v>47</v>
      </c>
      <c r="AA38" s="75"/>
    </row>
    <row r="39" customFormat="false" ht="15.75" hidden="false" customHeight="false" outlineLevel="0" collapsed="false">
      <c r="A39" s="52" t="e">
        <f aca="false">VLOOKUP(E39,'[1]Listas Desplegables'!$H$3:$J$7,2,FALSE())</f>
        <v>#N/A</v>
      </c>
      <c r="B39" s="52" t="e">
        <f aca="false">VLOOKUP(E39,'[1]Listas Desplegables'!$H$3:$J$7,3,FALSE())</f>
        <v>#N/A</v>
      </c>
      <c r="C39" s="69" t="n">
        <v>34</v>
      </c>
      <c r="D39" s="78" t="s">
        <v>964</v>
      </c>
      <c r="E39" s="78" t="s">
        <v>965</v>
      </c>
      <c r="F39" s="79" t="n">
        <v>34.5</v>
      </c>
      <c r="G39" s="72" t="n">
        <v>13.8</v>
      </c>
      <c r="H39" s="72" t="n">
        <v>12.5</v>
      </c>
      <c r="I39" s="73" t="s">
        <v>923</v>
      </c>
      <c r="J39" s="72" t="n">
        <v>8.8</v>
      </c>
      <c r="K39" s="72" t="n">
        <v>8.8</v>
      </c>
      <c r="L39" s="72" t="n">
        <v>3</v>
      </c>
      <c r="M39" s="72" t="n">
        <v>5</v>
      </c>
      <c r="N39" s="72" t="n">
        <v>1</v>
      </c>
      <c r="O39" s="72" t="n">
        <v>2.5</v>
      </c>
      <c r="P39" s="72" t="n">
        <v>100</v>
      </c>
      <c r="Q39" s="72" t="n">
        <v>30</v>
      </c>
      <c r="R39" s="73" t="s">
        <v>201</v>
      </c>
      <c r="S39" s="74"/>
      <c r="T39" s="73" t="s">
        <v>233</v>
      </c>
      <c r="U39" s="73" t="n">
        <v>117.6652</v>
      </c>
      <c r="V39" s="73"/>
      <c r="W39" s="73"/>
      <c r="X39" s="73"/>
      <c r="Y39" s="66" t="s">
        <v>211</v>
      </c>
      <c r="Z39" s="66" t="s">
        <v>47</v>
      </c>
      <c r="AA39" s="75"/>
    </row>
    <row r="40" customFormat="false" ht="15.75" hidden="false" customHeight="false" outlineLevel="0" collapsed="false">
      <c r="A40" s="52" t="e">
        <f aca="false">VLOOKUP(E40,'[1]Listas Desplegables'!$H$3:$J$7,2,FALSE())</f>
        <v>#N/A</v>
      </c>
      <c r="B40" s="52" t="e">
        <f aca="false">VLOOKUP(E40,'[1]Listas Desplegables'!$H$3:$J$7,3,FALSE())</f>
        <v>#N/A</v>
      </c>
      <c r="C40" s="69" t="n">
        <v>35</v>
      </c>
      <c r="D40" s="78" t="s">
        <v>966</v>
      </c>
      <c r="E40" s="78" t="s">
        <v>284</v>
      </c>
      <c r="F40" s="79" t="n">
        <v>34.5</v>
      </c>
      <c r="G40" s="72" t="n">
        <v>13.8</v>
      </c>
      <c r="H40" s="72" t="n">
        <v>25</v>
      </c>
      <c r="I40" s="73" t="s">
        <v>923</v>
      </c>
      <c r="J40" s="72" t="n">
        <v>8.9</v>
      </c>
      <c r="K40" s="72" t="n">
        <v>8.9</v>
      </c>
      <c r="L40" s="72" t="n">
        <v>3</v>
      </c>
      <c r="M40" s="72" t="n">
        <v>5</v>
      </c>
      <c r="N40" s="72" t="n">
        <v>1</v>
      </c>
      <c r="O40" s="72" t="n">
        <v>2.5</v>
      </c>
      <c r="P40" s="72" t="n">
        <v>131</v>
      </c>
      <c r="Q40" s="72" t="n">
        <v>30</v>
      </c>
      <c r="R40" s="73" t="s">
        <v>355</v>
      </c>
      <c r="S40" s="74" t="n">
        <v>46022</v>
      </c>
      <c r="T40" s="73" t="s">
        <v>233</v>
      </c>
      <c r="U40" s="73" t="n">
        <v>233.4552</v>
      </c>
      <c r="V40" s="73"/>
      <c r="W40" s="73"/>
      <c r="X40" s="73"/>
      <c r="Y40" s="66" t="s">
        <v>211</v>
      </c>
      <c r="Z40" s="66" t="s">
        <v>47</v>
      </c>
      <c r="AA40" s="75" t="s">
        <v>967</v>
      </c>
    </row>
    <row r="41" customFormat="false" ht="15.75" hidden="false" customHeight="false" outlineLevel="0" collapsed="false">
      <c r="A41" s="52" t="e">
        <f aca="false">VLOOKUP(E41,'[1]Listas Desplegables'!$H$3:$J$7,2,FALSE())</f>
        <v>#N/A</v>
      </c>
      <c r="B41" s="52" t="e">
        <f aca="false">VLOOKUP(E41,'[1]Listas Desplegables'!$H$3:$J$7,3,FALSE())</f>
        <v>#N/A</v>
      </c>
      <c r="C41" s="69" t="n">
        <v>36</v>
      </c>
      <c r="D41" s="78" t="s">
        <v>968</v>
      </c>
      <c r="E41" s="78" t="s">
        <v>612</v>
      </c>
      <c r="F41" s="79" t="n">
        <v>34.5</v>
      </c>
      <c r="G41" s="72" t="n">
        <v>13.8</v>
      </c>
      <c r="H41" s="72" t="n">
        <v>5</v>
      </c>
      <c r="I41" s="73" t="s">
        <v>940</v>
      </c>
      <c r="J41" s="72" t="n">
        <v>6</v>
      </c>
      <c r="K41" s="72" t="n">
        <v>6</v>
      </c>
      <c r="L41" s="72" t="n">
        <v>3</v>
      </c>
      <c r="M41" s="72" t="n">
        <v>5</v>
      </c>
      <c r="N41" s="72" t="n">
        <v>1</v>
      </c>
      <c r="O41" s="72" t="n">
        <v>2.5</v>
      </c>
      <c r="P41" s="72" t="n">
        <v>100</v>
      </c>
      <c r="Q41" s="72" t="n">
        <v>30</v>
      </c>
      <c r="R41" s="73" t="s">
        <v>201</v>
      </c>
      <c r="S41" s="74"/>
      <c r="T41" s="73" t="s">
        <v>233</v>
      </c>
      <c r="U41" s="73" t="n">
        <v>117.6652</v>
      </c>
      <c r="V41" s="73"/>
      <c r="W41" s="73"/>
      <c r="X41" s="73"/>
      <c r="Y41" s="66" t="s">
        <v>211</v>
      </c>
      <c r="Z41" s="66" t="s">
        <v>47</v>
      </c>
      <c r="AA41" s="75"/>
    </row>
    <row r="42" customFormat="false" ht="15.75" hidden="false" customHeight="false" outlineLevel="0" collapsed="false">
      <c r="A42" s="52" t="e">
        <f aca="false">VLOOKUP(E42,'[1]Listas Desplegables'!$H$3:$J$7,2,FALSE())</f>
        <v>#N/A</v>
      </c>
      <c r="B42" s="52" t="e">
        <f aca="false">VLOOKUP(E42,'[1]Listas Desplegables'!$H$3:$J$7,3,FALSE())</f>
        <v>#N/A</v>
      </c>
      <c r="C42" s="69" t="n">
        <v>37</v>
      </c>
      <c r="D42" s="78" t="s">
        <v>969</v>
      </c>
      <c r="E42" s="78" t="s">
        <v>796</v>
      </c>
      <c r="F42" s="79" t="n">
        <v>34.5</v>
      </c>
      <c r="G42" s="72" t="n">
        <v>13.8</v>
      </c>
      <c r="H42" s="72" t="n">
        <v>20</v>
      </c>
      <c r="I42" s="73" t="s">
        <v>923</v>
      </c>
      <c r="J42" s="72" t="n">
        <v>6.9</v>
      </c>
      <c r="K42" s="72" t="n">
        <v>6.9</v>
      </c>
      <c r="L42" s="72" t="n">
        <v>3</v>
      </c>
      <c r="M42" s="72" t="n">
        <v>5</v>
      </c>
      <c r="N42" s="72" t="n">
        <v>1</v>
      </c>
      <c r="O42" s="72" t="n">
        <v>2.5</v>
      </c>
      <c r="P42" s="72" t="n">
        <v>100</v>
      </c>
      <c r="Q42" s="72" t="n">
        <v>30</v>
      </c>
      <c r="R42" s="73" t="s">
        <v>201</v>
      </c>
      <c r="S42" s="74"/>
      <c r="T42" s="73" t="s">
        <v>233</v>
      </c>
      <c r="U42" s="73" t="n">
        <v>117.6652</v>
      </c>
      <c r="V42" s="73"/>
      <c r="W42" s="73"/>
      <c r="X42" s="73"/>
      <c r="Y42" s="66" t="s">
        <v>211</v>
      </c>
      <c r="Z42" s="66" t="s">
        <v>47</v>
      </c>
      <c r="AA42" s="75"/>
    </row>
    <row r="43" customFormat="false" ht="15.75" hidden="false" customHeight="false" outlineLevel="0" collapsed="false">
      <c r="A43" s="52" t="e">
        <f aca="false">VLOOKUP(E43,'[1]Listas Desplegables'!$H$3:$J$7,2,FALSE())</f>
        <v>#N/A</v>
      </c>
      <c r="B43" s="52" t="e">
        <f aca="false">VLOOKUP(E43,'[1]Listas Desplegables'!$H$3:$J$7,3,FALSE())</f>
        <v>#N/A</v>
      </c>
      <c r="C43" s="69" t="n">
        <v>38</v>
      </c>
      <c r="D43" s="78" t="s">
        <v>970</v>
      </c>
      <c r="E43" s="78" t="s">
        <v>735</v>
      </c>
      <c r="F43" s="79" t="n">
        <v>33</v>
      </c>
      <c r="G43" s="72" t="n">
        <v>13.8</v>
      </c>
      <c r="H43" s="72" t="n">
        <v>5</v>
      </c>
      <c r="I43" s="73" t="s">
        <v>923</v>
      </c>
      <c r="J43" s="72" t="n">
        <v>6.1</v>
      </c>
      <c r="K43" s="72" t="n">
        <v>6.1</v>
      </c>
      <c r="L43" s="72" t="n">
        <v>3</v>
      </c>
      <c r="M43" s="72" t="n">
        <v>5</v>
      </c>
      <c r="N43" s="72" t="n">
        <v>1</v>
      </c>
      <c r="O43" s="72" t="n">
        <v>2.5</v>
      </c>
      <c r="P43" s="72" t="n">
        <v>140</v>
      </c>
      <c r="Q43" s="72" t="n">
        <v>30</v>
      </c>
      <c r="R43" s="73" t="s">
        <v>201</v>
      </c>
      <c r="S43" s="74"/>
      <c r="T43" s="73" t="s">
        <v>233</v>
      </c>
      <c r="U43" s="73" t="n">
        <v>48.1912</v>
      </c>
      <c r="V43" s="73"/>
      <c r="W43" s="73"/>
      <c r="X43" s="73"/>
      <c r="Y43" s="66" t="s">
        <v>211</v>
      </c>
      <c r="Z43" s="66" t="s">
        <v>47</v>
      </c>
      <c r="AA43" s="75"/>
    </row>
    <row r="44" customFormat="false" ht="15.75" hidden="false" customHeight="false" outlineLevel="0" collapsed="false">
      <c r="A44" s="52" t="e">
        <f aca="false">VLOOKUP(E44,'[1]Listas Desplegables'!$H$3:$J$7,2,FALSE())</f>
        <v>#N/A</v>
      </c>
      <c r="B44" s="52" t="e">
        <f aca="false">VLOOKUP(E44,'[1]Listas Desplegables'!$H$3:$J$7,3,FALSE())</f>
        <v>#N/A</v>
      </c>
      <c r="C44" s="76" t="n">
        <v>39</v>
      </c>
      <c r="D44" s="78" t="s">
        <v>971</v>
      </c>
      <c r="E44" s="78" t="s">
        <v>593</v>
      </c>
      <c r="F44" s="79" t="n">
        <v>34.5</v>
      </c>
      <c r="G44" s="72" t="n">
        <v>13.8</v>
      </c>
      <c r="H44" s="72" t="n">
        <v>2</v>
      </c>
      <c r="I44" s="73" t="s">
        <v>923</v>
      </c>
      <c r="J44" s="72" t="n">
        <v>5.9</v>
      </c>
      <c r="K44" s="72" t="n">
        <v>5.9</v>
      </c>
      <c r="L44" s="72" t="n">
        <v>3</v>
      </c>
      <c r="M44" s="72" t="n">
        <v>5</v>
      </c>
      <c r="N44" s="72" t="n">
        <v>1</v>
      </c>
      <c r="O44" s="72" t="n">
        <v>2.5</v>
      </c>
      <c r="P44" s="72" t="n">
        <v>100</v>
      </c>
      <c r="Q44" s="72" t="n">
        <v>30</v>
      </c>
      <c r="R44" s="73" t="s">
        <v>201</v>
      </c>
      <c r="S44" s="74"/>
      <c r="T44" s="73" t="s">
        <v>233</v>
      </c>
      <c r="U44" s="73" t="n">
        <v>117.6652</v>
      </c>
      <c r="V44" s="73"/>
      <c r="W44" s="73"/>
      <c r="X44" s="73"/>
      <c r="Y44" s="66" t="s">
        <v>211</v>
      </c>
      <c r="Z44" s="66" t="s">
        <v>47</v>
      </c>
      <c r="AA44" s="75"/>
    </row>
    <row r="45" customFormat="false" ht="15.75" hidden="false" customHeight="false" outlineLevel="0" collapsed="false">
      <c r="A45" s="52" t="e">
        <f aca="false">VLOOKUP(E45,'[1]Listas Desplegables'!$H$3:$J$7,2,FALSE())</f>
        <v>#N/A</v>
      </c>
      <c r="B45" s="52" t="e">
        <f aca="false">VLOOKUP(E45,'[1]Listas Desplegables'!$H$3:$J$7,3,FALSE())</f>
        <v>#N/A</v>
      </c>
      <c r="C45" s="77" t="n">
        <v>40</v>
      </c>
      <c r="D45" s="78" t="s">
        <v>972</v>
      </c>
      <c r="E45" s="78" t="s">
        <v>579</v>
      </c>
      <c r="F45" s="79" t="n">
        <v>34.5</v>
      </c>
      <c r="G45" s="72" t="n">
        <v>13.8</v>
      </c>
      <c r="H45" s="72" t="n">
        <v>6</v>
      </c>
      <c r="I45" s="73" t="s">
        <v>940</v>
      </c>
      <c r="J45" s="72" t="n">
        <v>6.5</v>
      </c>
      <c r="K45" s="72" t="n">
        <v>6.5</v>
      </c>
      <c r="L45" s="72" t="n">
        <v>3</v>
      </c>
      <c r="M45" s="72" t="n">
        <v>5</v>
      </c>
      <c r="N45" s="72" t="n">
        <v>1</v>
      </c>
      <c r="O45" s="72" t="n">
        <v>2.5</v>
      </c>
      <c r="P45" s="72" t="n">
        <v>129</v>
      </c>
      <c r="Q45" s="72" t="n">
        <v>30</v>
      </c>
      <c r="R45" s="73" t="s">
        <v>355</v>
      </c>
      <c r="S45" s="74" t="n">
        <v>46022</v>
      </c>
      <c r="T45" s="73" t="s">
        <v>233</v>
      </c>
      <c r="U45" s="73" t="n">
        <v>48.1912</v>
      </c>
      <c r="V45" s="73"/>
      <c r="W45" s="73"/>
      <c r="X45" s="73"/>
      <c r="Y45" s="66" t="s">
        <v>211</v>
      </c>
      <c r="Z45" s="66" t="s">
        <v>47</v>
      </c>
      <c r="AA45" s="75" t="s">
        <v>967</v>
      </c>
    </row>
    <row r="46" customFormat="false" ht="15.75" hidden="false" customHeight="false" outlineLevel="0" collapsed="false">
      <c r="A46" s="52" t="e">
        <f aca="false">VLOOKUP(E46,'[1]Listas Desplegables'!$H$3:$J$7,2,FALSE())</f>
        <v>#N/A</v>
      </c>
      <c r="B46" s="52" t="e">
        <f aca="false">VLOOKUP(E46,'[1]Listas Desplegables'!$H$3:$J$7,3,FALSE())</f>
        <v>#N/A</v>
      </c>
      <c r="C46" s="76" t="n">
        <v>41</v>
      </c>
      <c r="D46" s="78" t="s">
        <v>973</v>
      </c>
      <c r="E46" s="78" t="s">
        <v>688</v>
      </c>
      <c r="F46" s="79" t="n">
        <v>34.5</v>
      </c>
      <c r="G46" s="72" t="n">
        <v>13.8</v>
      </c>
      <c r="H46" s="72" t="n">
        <v>12.5</v>
      </c>
      <c r="I46" s="73" t="s">
        <v>923</v>
      </c>
      <c r="J46" s="72" t="n">
        <v>8.1</v>
      </c>
      <c r="K46" s="72" t="n">
        <v>8.1</v>
      </c>
      <c r="L46" s="72" t="n">
        <v>3</v>
      </c>
      <c r="M46" s="72" t="n">
        <v>5</v>
      </c>
      <c r="N46" s="72" t="n">
        <v>1</v>
      </c>
      <c r="O46" s="72" t="n">
        <v>2.5</v>
      </c>
      <c r="P46" s="72" t="n">
        <v>130</v>
      </c>
      <c r="Q46" s="72" t="n">
        <v>30</v>
      </c>
      <c r="R46" s="73" t="s">
        <v>201</v>
      </c>
      <c r="S46" s="74"/>
      <c r="T46" s="73" t="s">
        <v>233</v>
      </c>
      <c r="U46" s="73" t="n">
        <v>117.6652</v>
      </c>
      <c r="V46" s="73"/>
      <c r="W46" s="73"/>
      <c r="X46" s="73"/>
      <c r="Y46" s="66" t="s">
        <v>211</v>
      </c>
      <c r="Z46" s="66" t="s">
        <v>47</v>
      </c>
      <c r="AA46" s="75"/>
    </row>
    <row r="47" customFormat="false" ht="15.75" hidden="false" customHeight="false" outlineLevel="0" collapsed="false">
      <c r="A47" s="52" t="e">
        <f aca="false">VLOOKUP(E47,'[1]Listas Desplegables'!$H$3:$J$7,2,FALSE())</f>
        <v>#N/A</v>
      </c>
      <c r="B47" s="52" t="e">
        <f aca="false">VLOOKUP(E47,'[1]Listas Desplegables'!$H$3:$J$7,3,FALSE())</f>
        <v>#N/A</v>
      </c>
      <c r="C47" s="69" t="n">
        <v>42</v>
      </c>
      <c r="D47" s="78" t="s">
        <v>974</v>
      </c>
      <c r="E47" s="78" t="s">
        <v>641</v>
      </c>
      <c r="F47" s="79" t="n">
        <v>33</v>
      </c>
      <c r="G47" s="72" t="n">
        <v>4.2</v>
      </c>
      <c r="H47" s="72" t="n">
        <v>5.6</v>
      </c>
      <c r="I47" s="73" t="s">
        <v>900</v>
      </c>
      <c r="J47" s="72" t="n">
        <v>6.4</v>
      </c>
      <c r="K47" s="72" t="n">
        <v>6.4</v>
      </c>
      <c r="L47" s="72" t="n">
        <v>3</v>
      </c>
      <c r="M47" s="72" t="n">
        <v>5</v>
      </c>
      <c r="N47" s="72" t="n">
        <v>1</v>
      </c>
      <c r="O47" s="72" t="n">
        <v>2.5</v>
      </c>
      <c r="P47" s="72" t="n">
        <v>145</v>
      </c>
      <c r="Q47" s="72" t="n">
        <v>30</v>
      </c>
      <c r="R47" s="73" t="s">
        <v>201</v>
      </c>
      <c r="S47" s="74"/>
      <c r="T47" s="73" t="s">
        <v>233</v>
      </c>
      <c r="U47" s="73" t="n">
        <v>53.74912</v>
      </c>
      <c r="V47" s="73"/>
      <c r="W47" s="73"/>
      <c r="X47" s="73"/>
      <c r="Y47" s="66" t="s">
        <v>211</v>
      </c>
      <c r="Z47" s="66" t="s">
        <v>47</v>
      </c>
      <c r="AA47" s="75"/>
    </row>
    <row r="48" customFormat="false" ht="15.75" hidden="false" customHeight="false" outlineLevel="0" collapsed="false">
      <c r="A48" s="52" t="e">
        <f aca="false">VLOOKUP(E48,'[1]Listas Desplegables'!$H$3:$J$7,2,FALSE())</f>
        <v>#N/A</v>
      </c>
      <c r="B48" s="52" t="e">
        <f aca="false">VLOOKUP(E48,'[1]Listas Desplegables'!$H$3:$J$7,3,FALSE())</f>
        <v>#N/A</v>
      </c>
      <c r="C48" s="69" t="n">
        <v>43</v>
      </c>
      <c r="D48" s="78" t="s">
        <v>975</v>
      </c>
      <c r="E48" s="78" t="s">
        <v>284</v>
      </c>
      <c r="F48" s="79" t="n">
        <v>34.5</v>
      </c>
      <c r="G48" s="72" t="n">
        <v>13.8</v>
      </c>
      <c r="H48" s="72" t="n">
        <v>25</v>
      </c>
      <c r="I48" s="73" t="s">
        <v>923</v>
      </c>
      <c r="J48" s="72" t="n">
        <v>8.9</v>
      </c>
      <c r="K48" s="72" t="n">
        <v>8.9</v>
      </c>
      <c r="L48" s="72" t="n">
        <v>3</v>
      </c>
      <c r="M48" s="72" t="n">
        <v>5</v>
      </c>
      <c r="N48" s="72" t="n">
        <v>1</v>
      </c>
      <c r="O48" s="72" t="n">
        <v>2.5</v>
      </c>
      <c r="P48" s="72" t="n">
        <v>131</v>
      </c>
      <c r="Q48" s="72" t="n">
        <v>30</v>
      </c>
      <c r="R48" s="73" t="s">
        <v>355</v>
      </c>
      <c r="S48" s="74" t="n">
        <v>46752</v>
      </c>
      <c r="T48" s="73" t="s">
        <v>233</v>
      </c>
      <c r="U48" s="73" t="n">
        <v>117.6652</v>
      </c>
      <c r="V48" s="73"/>
      <c r="W48" s="73"/>
      <c r="X48" s="73"/>
      <c r="Y48" s="66" t="s">
        <v>211</v>
      </c>
      <c r="Z48" s="66" t="s">
        <v>47</v>
      </c>
      <c r="AA48" s="75" t="s">
        <v>976</v>
      </c>
    </row>
    <row r="49" customFormat="false" ht="15.75" hidden="false" customHeight="false" outlineLevel="0" collapsed="false">
      <c r="A49" s="52" t="e">
        <f aca="false">VLOOKUP(E49,'[1]Listas Desplegables'!$H$3:$J$7,2,FALSE())</f>
        <v>#N/A</v>
      </c>
      <c r="B49" s="52" t="e">
        <f aca="false">VLOOKUP(E49,'[1]Listas Desplegables'!$H$3:$J$7,3,FALSE())</f>
        <v>#N/A</v>
      </c>
      <c r="C49" s="69" t="n">
        <v>44</v>
      </c>
      <c r="D49" s="78" t="s">
        <v>977</v>
      </c>
      <c r="E49" s="78" t="s">
        <v>382</v>
      </c>
      <c r="F49" s="79" t="n">
        <v>34.5</v>
      </c>
      <c r="G49" s="72" t="n">
        <v>13.8</v>
      </c>
      <c r="H49" s="72" t="n">
        <v>12.5</v>
      </c>
      <c r="I49" s="73" t="s">
        <v>923</v>
      </c>
      <c r="J49" s="72" t="n">
        <v>9</v>
      </c>
      <c r="K49" s="72" t="n">
        <v>9</v>
      </c>
      <c r="L49" s="72" t="n">
        <v>3</v>
      </c>
      <c r="M49" s="72" t="n">
        <v>5</v>
      </c>
      <c r="N49" s="72" t="n">
        <v>1</v>
      </c>
      <c r="O49" s="72" t="n">
        <v>2.5</v>
      </c>
      <c r="P49" s="72" t="n">
        <v>100</v>
      </c>
      <c r="Q49" s="72" t="n">
        <v>30</v>
      </c>
      <c r="R49" s="73" t="s">
        <v>201</v>
      </c>
      <c r="S49" s="74"/>
      <c r="T49" s="73" t="s">
        <v>233</v>
      </c>
      <c r="U49" s="73" t="n">
        <v>117.6652</v>
      </c>
      <c r="V49" s="73"/>
      <c r="W49" s="73"/>
      <c r="X49" s="73"/>
      <c r="Y49" s="66" t="s">
        <v>211</v>
      </c>
      <c r="Z49" s="66" t="s">
        <v>47</v>
      </c>
      <c r="AA49" s="75"/>
    </row>
    <row r="50" customFormat="false" ht="15.75" hidden="false" customHeight="false" outlineLevel="0" collapsed="false">
      <c r="A50" s="52" t="e">
        <f aca="false">VLOOKUP(E50,'[1]Listas Desplegables'!$H$3:$J$7,2,FALSE())</f>
        <v>#N/A</v>
      </c>
      <c r="B50" s="52" t="e">
        <f aca="false">VLOOKUP(E50,'[1]Listas Desplegables'!$H$3:$J$7,3,FALSE())</f>
        <v>#N/A</v>
      </c>
      <c r="C50" s="69" t="n">
        <v>45</v>
      </c>
      <c r="D50" s="78" t="s">
        <v>978</v>
      </c>
      <c r="E50" s="78" t="s">
        <v>394</v>
      </c>
      <c r="F50" s="79" t="n">
        <v>34.5</v>
      </c>
      <c r="G50" s="72" t="n">
        <v>13.8</v>
      </c>
      <c r="H50" s="72" t="n">
        <v>20</v>
      </c>
      <c r="I50" s="73" t="s">
        <v>923</v>
      </c>
      <c r="J50" s="72" t="n">
        <v>7.3</v>
      </c>
      <c r="K50" s="72" t="n">
        <v>7.3</v>
      </c>
      <c r="L50" s="72" t="n">
        <v>3</v>
      </c>
      <c r="M50" s="72" t="n">
        <v>5</v>
      </c>
      <c r="N50" s="72" t="n">
        <v>1</v>
      </c>
      <c r="O50" s="72" t="n">
        <v>2.5</v>
      </c>
      <c r="P50" s="72" t="n">
        <v>115</v>
      </c>
      <c r="Q50" s="72" t="n">
        <v>30</v>
      </c>
      <c r="R50" s="73" t="s">
        <v>201</v>
      </c>
      <c r="S50" s="74"/>
      <c r="T50" s="73" t="s">
        <v>233</v>
      </c>
      <c r="U50" s="73" t="n">
        <v>248.832112</v>
      </c>
      <c r="V50" s="73"/>
      <c r="W50" s="73"/>
      <c r="X50" s="73"/>
      <c r="Y50" s="66" t="s">
        <v>211</v>
      </c>
      <c r="Z50" s="66" t="s">
        <v>47</v>
      </c>
      <c r="AA50" s="75"/>
    </row>
    <row r="51" customFormat="false" ht="15.75" hidden="false" customHeight="false" outlineLevel="0" collapsed="false">
      <c r="A51" s="52" t="e">
        <f aca="false">VLOOKUP(E51,'[1]Listas Desplegables'!$H$3:$J$7,2,FALSE())</f>
        <v>#N/A</v>
      </c>
      <c r="B51" s="52" t="e">
        <f aca="false">VLOOKUP(E51,'[1]Listas Desplegables'!$H$3:$J$7,3,FALSE())</f>
        <v>#N/A</v>
      </c>
      <c r="C51" s="69" t="n">
        <v>46</v>
      </c>
      <c r="D51" s="78" t="s">
        <v>979</v>
      </c>
      <c r="E51" s="78" t="s">
        <v>600</v>
      </c>
      <c r="F51" s="79" t="n">
        <v>34.5</v>
      </c>
      <c r="G51" s="72" t="n">
        <v>13.8</v>
      </c>
      <c r="H51" s="72" t="n">
        <v>5</v>
      </c>
      <c r="I51" s="73" t="s">
        <v>940</v>
      </c>
      <c r="J51" s="72" t="n">
        <v>6</v>
      </c>
      <c r="K51" s="72" t="n">
        <v>6</v>
      </c>
      <c r="L51" s="72" t="n">
        <v>3</v>
      </c>
      <c r="M51" s="72" t="n">
        <v>5</v>
      </c>
      <c r="N51" s="72" t="n">
        <v>1</v>
      </c>
      <c r="O51" s="72" t="n">
        <v>2.5</v>
      </c>
      <c r="P51" s="72" t="n">
        <v>129</v>
      </c>
      <c r="Q51" s="72" t="n">
        <v>30</v>
      </c>
      <c r="R51" s="73" t="s">
        <v>201</v>
      </c>
      <c r="S51" s="74"/>
      <c r="T51" s="73" t="s">
        <v>233</v>
      </c>
      <c r="U51" s="73" t="n">
        <v>48.1912</v>
      </c>
      <c r="V51" s="73"/>
      <c r="W51" s="73"/>
      <c r="X51" s="73"/>
      <c r="Y51" s="66" t="s">
        <v>211</v>
      </c>
      <c r="Z51" s="66" t="s">
        <v>47</v>
      </c>
      <c r="AA51" s="75"/>
    </row>
    <row r="52" customFormat="false" ht="15.75" hidden="false" customHeight="false" outlineLevel="0" collapsed="false">
      <c r="A52" s="52" t="e">
        <f aca="false">VLOOKUP(E52,'[1]Listas Desplegables'!$H$3:$J$7,2,FALSE())</f>
        <v>#N/A</v>
      </c>
      <c r="B52" s="52" t="e">
        <f aca="false">VLOOKUP(E52,'[1]Listas Desplegables'!$H$3:$J$7,3,FALSE())</f>
        <v>#N/A</v>
      </c>
      <c r="C52" s="69" t="n">
        <v>47</v>
      </c>
      <c r="D52" s="78" t="s">
        <v>980</v>
      </c>
      <c r="E52" s="78" t="s">
        <v>705</v>
      </c>
      <c r="F52" s="79" t="n">
        <v>34.5</v>
      </c>
      <c r="G52" s="72" t="n">
        <v>13.8</v>
      </c>
      <c r="H52" s="72" t="n">
        <v>10</v>
      </c>
      <c r="I52" s="73" t="s">
        <v>923</v>
      </c>
      <c r="J52" s="72" t="n">
        <v>7</v>
      </c>
      <c r="K52" s="72" t="n">
        <v>7</v>
      </c>
      <c r="L52" s="72" t="n">
        <v>3</v>
      </c>
      <c r="M52" s="72" t="n">
        <v>5</v>
      </c>
      <c r="N52" s="72" t="n">
        <v>1</v>
      </c>
      <c r="O52" s="72" t="n">
        <v>2.5</v>
      </c>
      <c r="P52" s="72" t="n">
        <v>100</v>
      </c>
      <c r="Q52" s="72" t="n">
        <v>30</v>
      </c>
      <c r="R52" s="73" t="s">
        <v>201</v>
      </c>
      <c r="S52" s="74"/>
      <c r="T52" s="73" t="s">
        <v>233</v>
      </c>
      <c r="U52" s="73" t="n">
        <v>117.6652</v>
      </c>
      <c r="V52" s="73"/>
      <c r="W52" s="73"/>
      <c r="X52" s="73"/>
      <c r="Y52" s="66" t="s">
        <v>211</v>
      </c>
      <c r="Z52" s="66" t="s">
        <v>47</v>
      </c>
      <c r="AA52" s="75"/>
    </row>
    <row r="53" customFormat="false" ht="15.75" hidden="false" customHeight="false" outlineLevel="0" collapsed="false">
      <c r="A53" s="52" t="e">
        <f aca="false">VLOOKUP(E53,'[1]Listas Desplegables'!$H$3:$J$7,2,FALSE())</f>
        <v>#N/A</v>
      </c>
      <c r="B53" s="52" t="e">
        <f aca="false">VLOOKUP(E53,'[1]Listas Desplegables'!$H$3:$J$7,3,FALSE())</f>
        <v>#N/A</v>
      </c>
      <c r="C53" s="69" t="n">
        <v>48</v>
      </c>
      <c r="D53" s="78" t="s">
        <v>981</v>
      </c>
      <c r="E53" s="78" t="s">
        <v>641</v>
      </c>
      <c r="F53" s="79" t="n">
        <v>33</v>
      </c>
      <c r="G53" s="72" t="n">
        <v>4.2</v>
      </c>
      <c r="H53" s="72" t="n">
        <v>5.6</v>
      </c>
      <c r="I53" s="73" t="s">
        <v>927</v>
      </c>
      <c r="J53" s="72" t="n">
        <v>5.6</v>
      </c>
      <c r="K53" s="72" t="n">
        <v>5.6</v>
      </c>
      <c r="L53" s="72" t="n">
        <v>3</v>
      </c>
      <c r="M53" s="72" t="n">
        <v>5</v>
      </c>
      <c r="N53" s="72" t="n">
        <v>1</v>
      </c>
      <c r="O53" s="72" t="n">
        <v>2.5</v>
      </c>
      <c r="P53" s="72" t="n">
        <v>145</v>
      </c>
      <c r="Q53" s="72" t="n">
        <v>30</v>
      </c>
      <c r="R53" s="73" t="s">
        <v>201</v>
      </c>
      <c r="S53" s="74"/>
      <c r="T53" s="73" t="s">
        <v>233</v>
      </c>
      <c r="U53" s="73" t="n">
        <v>53.74912</v>
      </c>
      <c r="V53" s="73"/>
      <c r="W53" s="73"/>
      <c r="X53" s="73"/>
      <c r="Y53" s="66" t="s">
        <v>211</v>
      </c>
      <c r="Z53" s="66" t="s">
        <v>47</v>
      </c>
      <c r="AA53" s="75"/>
    </row>
    <row r="54" customFormat="false" ht="15.75" hidden="false" customHeight="false" outlineLevel="0" collapsed="false">
      <c r="A54" s="52" t="e">
        <f aca="false">VLOOKUP(E54,'[1]Listas Desplegables'!$H$3:$J$7,2,FALSE())</f>
        <v>#N/A</v>
      </c>
      <c r="B54" s="52" t="e">
        <f aca="false">VLOOKUP(E54,'[1]Listas Desplegables'!$H$3:$J$7,3,FALSE())</f>
        <v>#N/A</v>
      </c>
      <c r="C54" s="69" t="n">
        <v>49</v>
      </c>
      <c r="D54" s="78" t="s">
        <v>982</v>
      </c>
      <c r="E54" s="78" t="s">
        <v>760</v>
      </c>
      <c r="F54" s="79" t="n">
        <v>34.5</v>
      </c>
      <c r="G54" s="72" t="n">
        <v>13.8</v>
      </c>
      <c r="H54" s="72" t="n">
        <v>12.5</v>
      </c>
      <c r="I54" s="73" t="s">
        <v>923</v>
      </c>
      <c r="J54" s="72" t="n">
        <v>9</v>
      </c>
      <c r="K54" s="72" t="n">
        <v>9</v>
      </c>
      <c r="L54" s="72" t="n">
        <v>3</v>
      </c>
      <c r="M54" s="72" t="n">
        <v>5</v>
      </c>
      <c r="N54" s="72" t="n">
        <v>1</v>
      </c>
      <c r="O54" s="72" t="n">
        <v>2.5</v>
      </c>
      <c r="P54" s="72" t="n">
        <v>100</v>
      </c>
      <c r="Q54" s="72" t="n">
        <v>30</v>
      </c>
      <c r="R54" s="73" t="s">
        <v>201</v>
      </c>
      <c r="S54" s="74"/>
      <c r="T54" s="73" t="s">
        <v>233</v>
      </c>
      <c r="U54" s="73" t="n">
        <v>117.6652</v>
      </c>
      <c r="V54" s="73"/>
      <c r="W54" s="73"/>
      <c r="X54" s="73"/>
      <c r="Y54" s="66" t="s">
        <v>211</v>
      </c>
      <c r="Z54" s="66" t="s">
        <v>47</v>
      </c>
      <c r="AA54" s="75"/>
    </row>
    <row r="55" customFormat="false" ht="15.75" hidden="false" customHeight="false" outlineLevel="0" collapsed="false">
      <c r="A55" s="52" t="e">
        <f aca="false">VLOOKUP(E55,'[1]Listas Desplegables'!$H$3:$J$7,2,FALSE())</f>
        <v>#N/A</v>
      </c>
      <c r="B55" s="52" t="e">
        <f aca="false">VLOOKUP(E55,'[1]Listas Desplegables'!$H$3:$J$7,3,FALSE())</f>
        <v>#N/A</v>
      </c>
      <c r="C55" s="76" t="n">
        <v>50</v>
      </c>
      <c r="D55" s="78" t="s">
        <v>983</v>
      </c>
      <c r="E55" s="78" t="s">
        <v>984</v>
      </c>
      <c r="F55" s="79" t="n">
        <v>34.5</v>
      </c>
      <c r="G55" s="72" t="n">
        <v>13.8</v>
      </c>
      <c r="H55" s="72" t="n">
        <v>2</v>
      </c>
      <c r="I55" s="73" t="s">
        <v>923</v>
      </c>
      <c r="J55" s="72" t="n">
        <v>5.4</v>
      </c>
      <c r="K55" s="72" t="n">
        <v>5.4</v>
      </c>
      <c r="L55" s="72" t="n">
        <v>3</v>
      </c>
      <c r="M55" s="72" t="n">
        <v>5</v>
      </c>
      <c r="N55" s="72" t="n">
        <v>1</v>
      </c>
      <c r="O55" s="72" t="n">
        <v>2.5</v>
      </c>
      <c r="P55" s="72" t="n">
        <v>100</v>
      </c>
      <c r="Q55" s="72" t="n">
        <v>30</v>
      </c>
      <c r="R55" s="73" t="s">
        <v>201</v>
      </c>
      <c r="S55" s="74"/>
      <c r="T55" s="73" t="s">
        <v>233</v>
      </c>
      <c r="U55" s="73" t="n">
        <v>117.6652</v>
      </c>
      <c r="V55" s="73"/>
      <c r="W55" s="73"/>
      <c r="X55" s="73"/>
      <c r="Y55" s="66" t="s">
        <v>211</v>
      </c>
      <c r="Z55" s="66" t="s">
        <v>47</v>
      </c>
      <c r="AA55" s="75"/>
    </row>
    <row r="56" customFormat="false" ht="15.75" hidden="false" customHeight="false" outlineLevel="0" collapsed="false">
      <c r="A56" s="52" t="e">
        <f aca="false">VLOOKUP(E56,'[1]Listas Desplegables'!$H$3:$J$7,2,FALSE())</f>
        <v>#N/A</v>
      </c>
      <c r="B56" s="52" t="e">
        <f aca="false">VLOOKUP(E56,'[1]Listas Desplegables'!$H$3:$J$7,3,FALSE())</f>
        <v>#N/A</v>
      </c>
      <c r="C56" s="69" t="n">
        <v>51</v>
      </c>
      <c r="D56" s="78" t="s">
        <v>985</v>
      </c>
      <c r="E56" s="78" t="s">
        <v>769</v>
      </c>
      <c r="F56" s="79" t="n">
        <v>34.5</v>
      </c>
      <c r="G56" s="72" t="n">
        <v>13.8</v>
      </c>
      <c r="H56" s="72" t="n">
        <v>2</v>
      </c>
      <c r="I56" s="73" t="s">
        <v>923</v>
      </c>
      <c r="J56" s="72" t="n">
        <v>5.9</v>
      </c>
      <c r="K56" s="72" t="n">
        <v>5.9</v>
      </c>
      <c r="L56" s="72" t="n">
        <v>3</v>
      </c>
      <c r="M56" s="72" t="n">
        <v>5</v>
      </c>
      <c r="N56" s="72" t="n">
        <v>1</v>
      </c>
      <c r="O56" s="72" t="n">
        <v>2.5</v>
      </c>
      <c r="P56" s="72" t="n">
        <v>100</v>
      </c>
      <c r="Q56" s="72" t="n">
        <v>30</v>
      </c>
      <c r="R56" s="73" t="s">
        <v>201</v>
      </c>
      <c r="S56" s="74"/>
      <c r="T56" s="73" t="s">
        <v>233</v>
      </c>
      <c r="U56" s="73" t="n">
        <v>117.6652</v>
      </c>
      <c r="V56" s="73"/>
      <c r="W56" s="73"/>
      <c r="X56" s="73"/>
      <c r="Y56" s="66" t="s">
        <v>211</v>
      </c>
      <c r="Z56" s="66" t="s">
        <v>47</v>
      </c>
      <c r="AA56" s="75"/>
    </row>
    <row r="57" customFormat="false" ht="15.75" hidden="false" customHeight="false" outlineLevel="0" collapsed="false">
      <c r="A57" s="52" t="e">
        <f aca="false">VLOOKUP(E57,'[1]Listas Desplegables'!$H$3:$J$7,2,FALSE())</f>
        <v>#N/A</v>
      </c>
      <c r="B57" s="52" t="e">
        <f aca="false">VLOOKUP(E57,'[1]Listas Desplegables'!$H$3:$J$7,3,FALSE())</f>
        <v>#N/A</v>
      </c>
      <c r="C57" s="76" t="s">
        <v>842</v>
      </c>
      <c r="D57" s="78" t="s">
        <v>986</v>
      </c>
      <c r="E57" s="78" t="s">
        <v>336</v>
      </c>
      <c r="F57" s="79" t="n">
        <v>34.5</v>
      </c>
      <c r="G57" s="72" t="n">
        <v>13.8</v>
      </c>
      <c r="H57" s="72" t="n">
        <v>25</v>
      </c>
      <c r="I57" s="73" t="s">
        <v>923</v>
      </c>
      <c r="J57" s="72" t="n">
        <v>6.9</v>
      </c>
      <c r="K57" s="72" t="n">
        <v>6.9</v>
      </c>
      <c r="L57" s="72" t="n">
        <v>3</v>
      </c>
      <c r="M57" s="72" t="n">
        <v>5</v>
      </c>
      <c r="N57" s="72" t="n">
        <v>1</v>
      </c>
      <c r="O57" s="72" t="n">
        <v>2.5</v>
      </c>
      <c r="P57" s="72" t="n">
        <v>130</v>
      </c>
      <c r="Q57" s="72" t="n">
        <v>30</v>
      </c>
      <c r="R57" s="73" t="s">
        <v>201</v>
      </c>
      <c r="S57" s="74"/>
      <c r="T57" s="73" t="s">
        <v>233</v>
      </c>
      <c r="U57" s="73" t="n">
        <v>233.4552</v>
      </c>
      <c r="V57" s="73"/>
      <c r="W57" s="73"/>
      <c r="X57" s="73"/>
      <c r="Y57" s="66" t="s">
        <v>211</v>
      </c>
      <c r="Z57" s="66" t="s">
        <v>47</v>
      </c>
      <c r="AA57" s="75"/>
    </row>
    <row r="58" customFormat="false" ht="15.75" hidden="false" customHeight="false" outlineLevel="0" collapsed="false">
      <c r="C58" s="76"/>
      <c r="D58" s="78" t="s">
        <v>987</v>
      </c>
      <c r="E58" s="78" t="s">
        <v>319</v>
      </c>
      <c r="F58" s="79" t="n">
        <v>34.5</v>
      </c>
      <c r="G58" s="72" t="n">
        <v>13.8</v>
      </c>
      <c r="H58" s="72" t="n">
        <v>3</v>
      </c>
      <c r="I58" s="73" t="s">
        <v>923</v>
      </c>
      <c r="J58" s="72" t="n">
        <v>5.5</v>
      </c>
      <c r="K58" s="72" t="n">
        <v>5.5</v>
      </c>
      <c r="L58" s="72" t="n">
        <v>3</v>
      </c>
      <c r="M58" s="72" t="n">
        <v>5</v>
      </c>
      <c r="N58" s="72" t="n">
        <v>1</v>
      </c>
      <c r="O58" s="72" t="n">
        <v>2.5</v>
      </c>
      <c r="P58" s="72" t="n">
        <v>100</v>
      </c>
      <c r="Q58" s="72" t="n">
        <v>30</v>
      </c>
      <c r="R58" s="73" t="s">
        <v>201</v>
      </c>
      <c r="S58" s="74"/>
      <c r="T58" s="73" t="s">
        <v>233</v>
      </c>
      <c r="U58" s="73" t="n">
        <v>15.77</v>
      </c>
      <c r="V58" s="73"/>
      <c r="W58" s="73"/>
      <c r="X58" s="73"/>
      <c r="Y58" s="66" t="s">
        <v>211</v>
      </c>
      <c r="Z58" s="66" t="s">
        <v>47</v>
      </c>
      <c r="AA58" s="75"/>
    </row>
    <row r="59" customFormat="false" ht="15.75" hidden="false" customHeight="false" outlineLevel="0" collapsed="false">
      <c r="C59" s="76"/>
      <c r="D59" s="78" t="s">
        <v>988</v>
      </c>
      <c r="E59" s="78" t="s">
        <v>663</v>
      </c>
      <c r="F59" s="79" t="n">
        <v>34.5</v>
      </c>
      <c r="G59" s="72" t="n">
        <v>13.8</v>
      </c>
      <c r="H59" s="72" t="n">
        <v>6</v>
      </c>
      <c r="I59" s="73" t="s">
        <v>923</v>
      </c>
      <c r="J59" s="72" t="n">
        <v>5.8</v>
      </c>
      <c r="K59" s="72" t="n">
        <v>5.8</v>
      </c>
      <c r="L59" s="72" t="n">
        <v>3</v>
      </c>
      <c r="M59" s="72" t="n">
        <v>5</v>
      </c>
      <c r="N59" s="72" t="n">
        <v>1</v>
      </c>
      <c r="O59" s="72" t="n">
        <v>2.5</v>
      </c>
      <c r="P59" s="72" t="n">
        <v>131</v>
      </c>
      <c r="Q59" s="72" t="n">
        <v>30</v>
      </c>
      <c r="R59" s="73" t="s">
        <v>355</v>
      </c>
      <c r="S59" s="74" t="n">
        <v>46022</v>
      </c>
      <c r="T59" s="73" t="s">
        <v>233</v>
      </c>
      <c r="U59" s="73" t="n">
        <v>20.4016</v>
      </c>
      <c r="V59" s="73"/>
      <c r="W59" s="73"/>
      <c r="X59" s="73"/>
      <c r="Y59" s="66" t="s">
        <v>211</v>
      </c>
      <c r="Z59" s="66" t="s">
        <v>47</v>
      </c>
      <c r="AA59" s="75" t="s">
        <v>967</v>
      </c>
    </row>
    <row r="60" customFormat="false" ht="15.75" hidden="false" customHeight="false" outlineLevel="0" collapsed="false">
      <c r="C60" s="76"/>
      <c r="D60" s="78" t="s">
        <v>989</v>
      </c>
      <c r="E60" s="78" t="s">
        <v>344</v>
      </c>
      <c r="F60" s="79" t="n">
        <v>34.5</v>
      </c>
      <c r="G60" s="72" t="n">
        <v>13.8</v>
      </c>
      <c r="H60" s="72" t="n">
        <v>1</v>
      </c>
      <c r="I60" s="73" t="s">
        <v>944</v>
      </c>
      <c r="J60" s="72" t="n">
        <v>5.3</v>
      </c>
      <c r="K60" s="72" t="n">
        <v>5.3</v>
      </c>
      <c r="L60" s="72" t="n">
        <v>3</v>
      </c>
      <c r="M60" s="72" t="n">
        <v>5</v>
      </c>
      <c r="N60" s="72" t="n">
        <v>1</v>
      </c>
      <c r="O60" s="72" t="n">
        <v>2.5</v>
      </c>
      <c r="P60" s="72" t="n">
        <v>100</v>
      </c>
      <c r="Q60" s="72" t="n">
        <v>30</v>
      </c>
      <c r="R60" s="73" t="s">
        <v>201</v>
      </c>
      <c r="S60" s="74"/>
      <c r="T60" s="73" t="s">
        <v>233</v>
      </c>
      <c r="U60" s="73" t="n">
        <v>117.6652</v>
      </c>
      <c r="V60" s="73"/>
      <c r="W60" s="73"/>
      <c r="X60" s="73"/>
      <c r="Y60" s="66" t="s">
        <v>211</v>
      </c>
      <c r="Z60" s="66" t="s">
        <v>47</v>
      </c>
      <c r="AA60" s="75"/>
    </row>
    <row r="61" customFormat="false" ht="15.75" hidden="false" customHeight="false" outlineLevel="0" collapsed="false">
      <c r="C61" s="76"/>
      <c r="D61" s="78" t="s">
        <v>990</v>
      </c>
      <c r="E61" s="78" t="s">
        <v>248</v>
      </c>
      <c r="F61" s="79" t="n">
        <v>34.5</v>
      </c>
      <c r="G61" s="72" t="n">
        <v>13.8</v>
      </c>
      <c r="H61" s="72" t="n">
        <v>12.5</v>
      </c>
      <c r="I61" s="73" t="s">
        <v>923</v>
      </c>
      <c r="J61" s="72" t="n">
        <v>8</v>
      </c>
      <c r="K61" s="72" t="n">
        <v>8</v>
      </c>
      <c r="L61" s="72" t="n">
        <v>3</v>
      </c>
      <c r="M61" s="72" t="n">
        <v>5</v>
      </c>
      <c r="N61" s="72" t="n">
        <v>1</v>
      </c>
      <c r="O61" s="72" t="n">
        <v>2.5</v>
      </c>
      <c r="P61" s="72" t="n">
        <v>100</v>
      </c>
      <c r="Q61" s="72" t="n">
        <v>30</v>
      </c>
      <c r="R61" s="73" t="s">
        <v>201</v>
      </c>
      <c r="S61" s="74"/>
      <c r="T61" s="73" t="s">
        <v>233</v>
      </c>
      <c r="U61" s="73" t="n">
        <v>117.6652</v>
      </c>
      <c r="V61" s="73"/>
      <c r="W61" s="73"/>
      <c r="X61" s="73"/>
      <c r="Y61" s="66" t="s">
        <v>211</v>
      </c>
      <c r="Z61" s="66" t="s">
        <v>47</v>
      </c>
      <c r="AA61" s="75"/>
    </row>
    <row r="62" customFormat="false" ht="15.75" hidden="false" customHeight="false" outlineLevel="0" collapsed="false">
      <c r="C62" s="76"/>
      <c r="D62" s="78" t="s">
        <v>991</v>
      </c>
      <c r="E62" s="78" t="s">
        <v>992</v>
      </c>
      <c r="F62" s="79" t="n">
        <v>34.5</v>
      </c>
      <c r="G62" s="72" t="n">
        <v>13.8</v>
      </c>
      <c r="H62" s="72" t="n">
        <v>5</v>
      </c>
      <c r="I62" s="73" t="s">
        <v>940</v>
      </c>
      <c r="J62" s="72" t="n">
        <v>6.4</v>
      </c>
      <c r="K62" s="72" t="n">
        <v>6.4</v>
      </c>
      <c r="L62" s="72" t="n">
        <v>3</v>
      </c>
      <c r="M62" s="72" t="n">
        <v>5</v>
      </c>
      <c r="N62" s="72" t="n">
        <v>1</v>
      </c>
      <c r="O62" s="72" t="n">
        <v>2.5</v>
      </c>
      <c r="P62" s="72" t="n">
        <v>129</v>
      </c>
      <c r="Q62" s="72" t="n">
        <v>30</v>
      </c>
      <c r="R62" s="73" t="s">
        <v>201</v>
      </c>
      <c r="S62" s="74"/>
      <c r="T62" s="73" t="s">
        <v>233</v>
      </c>
      <c r="U62" s="73" t="n">
        <v>48.1912</v>
      </c>
      <c r="V62" s="73"/>
      <c r="W62" s="73"/>
      <c r="X62" s="73"/>
      <c r="Y62" s="66" t="s">
        <v>211</v>
      </c>
      <c r="Z62" s="66" t="s">
        <v>47</v>
      </c>
      <c r="AA62" s="75"/>
    </row>
    <row r="63" customFormat="false" ht="15.75" hidden="false" customHeight="false" outlineLevel="0" collapsed="false">
      <c r="C63" s="76"/>
      <c r="D63" s="78" t="s">
        <v>993</v>
      </c>
      <c r="E63" s="78" t="s">
        <v>666</v>
      </c>
      <c r="F63" s="79" t="n">
        <v>34.5</v>
      </c>
      <c r="G63" s="72" t="n">
        <v>13.8</v>
      </c>
      <c r="H63" s="72" t="n">
        <v>12.5</v>
      </c>
      <c r="I63" s="73" t="s">
        <v>923</v>
      </c>
      <c r="J63" s="72" t="n">
        <v>7.3</v>
      </c>
      <c r="K63" s="72" t="n">
        <v>7.3</v>
      </c>
      <c r="L63" s="72" t="n">
        <v>3</v>
      </c>
      <c r="M63" s="72" t="n">
        <v>5</v>
      </c>
      <c r="N63" s="72" t="n">
        <v>1</v>
      </c>
      <c r="O63" s="72" t="n">
        <v>2.5</v>
      </c>
      <c r="P63" s="72" t="n">
        <v>0</v>
      </c>
      <c r="Q63" s="72" t="n">
        <v>30</v>
      </c>
      <c r="R63" s="73" t="s">
        <v>201</v>
      </c>
      <c r="S63" s="74"/>
      <c r="T63" s="73" t="s">
        <v>233</v>
      </c>
      <c r="U63" s="73" t="n">
        <v>0</v>
      </c>
      <c r="V63" s="73"/>
      <c r="W63" s="73"/>
      <c r="X63" s="73"/>
      <c r="Y63" s="66" t="s">
        <v>211</v>
      </c>
      <c r="Z63" s="66" t="s">
        <v>47</v>
      </c>
      <c r="AA63" s="75"/>
    </row>
    <row r="64" customFormat="false" ht="15.75" hidden="false" customHeight="false" outlineLevel="0" collapsed="false">
      <c r="C64" s="76"/>
      <c r="D64" s="78" t="s">
        <v>994</v>
      </c>
      <c r="E64" s="78" t="s">
        <v>713</v>
      </c>
      <c r="F64" s="79" t="n">
        <v>34.5</v>
      </c>
      <c r="G64" s="72" t="n">
        <v>13.8</v>
      </c>
      <c r="H64" s="72" t="n">
        <v>3</v>
      </c>
      <c r="I64" s="73" t="s">
        <v>923</v>
      </c>
      <c r="J64" s="72" t="n">
        <v>5.6</v>
      </c>
      <c r="K64" s="72" t="n">
        <v>5.6</v>
      </c>
      <c r="L64" s="72" t="n">
        <v>3</v>
      </c>
      <c r="M64" s="72" t="n">
        <v>5</v>
      </c>
      <c r="N64" s="72" t="n">
        <v>1</v>
      </c>
      <c r="O64" s="72" t="n">
        <v>2.5</v>
      </c>
      <c r="P64" s="72" t="n">
        <v>129</v>
      </c>
      <c r="Q64" s="72" t="n">
        <v>30</v>
      </c>
      <c r="R64" s="73" t="s">
        <v>201</v>
      </c>
      <c r="S64" s="74"/>
      <c r="T64" s="73" t="s">
        <v>233</v>
      </c>
      <c r="U64" s="73" t="n">
        <v>20.4016</v>
      </c>
      <c r="V64" s="73"/>
      <c r="W64" s="73"/>
      <c r="X64" s="73"/>
      <c r="Y64" s="66" t="s">
        <v>211</v>
      </c>
      <c r="Z64" s="66" t="s">
        <v>47</v>
      </c>
      <c r="AA64" s="75"/>
    </row>
    <row r="65" customFormat="false" ht="15.75" hidden="false" customHeight="false" outlineLevel="0" collapsed="false">
      <c r="C65" s="76"/>
      <c r="D65" s="78" t="s">
        <v>995</v>
      </c>
      <c r="E65" s="78" t="s">
        <v>773</v>
      </c>
      <c r="F65" s="79" t="n">
        <v>34.5</v>
      </c>
      <c r="G65" s="72" t="n">
        <v>13.8</v>
      </c>
      <c r="H65" s="72" t="n">
        <v>10</v>
      </c>
      <c r="I65" s="73" t="s">
        <v>923</v>
      </c>
      <c r="J65" s="72" t="n">
        <v>7</v>
      </c>
      <c r="K65" s="72" t="n">
        <v>7</v>
      </c>
      <c r="L65" s="72" t="n">
        <v>3</v>
      </c>
      <c r="M65" s="72" t="n">
        <v>5</v>
      </c>
      <c r="N65" s="72" t="n">
        <v>1</v>
      </c>
      <c r="O65" s="72" t="n">
        <v>2.5</v>
      </c>
      <c r="P65" s="72" t="n">
        <v>100</v>
      </c>
      <c r="Q65" s="72" t="n">
        <v>30</v>
      </c>
      <c r="R65" s="73" t="s">
        <v>201</v>
      </c>
      <c r="S65" s="74"/>
      <c r="T65" s="73" t="s">
        <v>233</v>
      </c>
      <c r="U65" s="73" t="n">
        <v>117.6652</v>
      </c>
      <c r="V65" s="73"/>
      <c r="W65" s="73"/>
      <c r="X65" s="73"/>
      <c r="Y65" s="66" t="s">
        <v>211</v>
      </c>
      <c r="Z65" s="66" t="s">
        <v>47</v>
      </c>
      <c r="AA65" s="75"/>
    </row>
    <row r="66" customFormat="false" ht="15.75" hidden="false" customHeight="false" outlineLevel="0" collapsed="false">
      <c r="C66" s="76"/>
      <c r="D66" s="78" t="s">
        <v>996</v>
      </c>
      <c r="E66" s="78" t="s">
        <v>524</v>
      </c>
      <c r="F66" s="79" t="n">
        <v>34.5</v>
      </c>
      <c r="G66" s="72" t="n">
        <v>13.8</v>
      </c>
      <c r="H66" s="72" t="n">
        <v>20</v>
      </c>
      <c r="I66" s="73" t="s">
        <v>923</v>
      </c>
      <c r="J66" s="72" t="n">
        <v>7.1</v>
      </c>
      <c r="K66" s="72" t="n">
        <v>7.1</v>
      </c>
      <c r="L66" s="72" t="n">
        <v>3</v>
      </c>
      <c r="M66" s="72" t="n">
        <v>5</v>
      </c>
      <c r="N66" s="72" t="n">
        <v>1</v>
      </c>
      <c r="O66" s="72" t="n">
        <v>2.5</v>
      </c>
      <c r="P66" s="72" t="n">
        <v>123</v>
      </c>
      <c r="Q66" s="72" t="n">
        <v>30</v>
      </c>
      <c r="R66" s="73" t="s">
        <v>201</v>
      </c>
      <c r="S66" s="74"/>
      <c r="T66" s="73" t="s">
        <v>233</v>
      </c>
      <c r="U66" s="73" t="n">
        <v>233.4552</v>
      </c>
      <c r="V66" s="73"/>
      <c r="W66" s="73"/>
      <c r="X66" s="73"/>
      <c r="Y66" s="66" t="s">
        <v>211</v>
      </c>
      <c r="Z66" s="66" t="s">
        <v>47</v>
      </c>
      <c r="AA66" s="75"/>
    </row>
    <row r="67" customFormat="false" ht="15.75" hidden="false" customHeight="false" outlineLevel="0" collapsed="false">
      <c r="C67" s="76"/>
      <c r="D67" s="78" t="s">
        <v>997</v>
      </c>
      <c r="E67" s="78" t="s">
        <v>561</v>
      </c>
      <c r="F67" s="79" t="n">
        <v>34.5</v>
      </c>
      <c r="G67" s="72" t="n">
        <v>13.8</v>
      </c>
      <c r="H67" s="72" t="n">
        <v>2</v>
      </c>
      <c r="I67" s="73" t="s">
        <v>923</v>
      </c>
      <c r="J67" s="72" t="n">
        <v>3.7</v>
      </c>
      <c r="K67" s="72" t="n">
        <v>3.7</v>
      </c>
      <c r="L67" s="72" t="n">
        <v>3</v>
      </c>
      <c r="M67" s="72" t="n">
        <v>5</v>
      </c>
      <c r="N67" s="72" t="n">
        <v>1</v>
      </c>
      <c r="O67" s="72" t="n">
        <v>2.5</v>
      </c>
      <c r="P67" s="72" t="n">
        <v>100</v>
      </c>
      <c r="Q67" s="72" t="n">
        <v>30</v>
      </c>
      <c r="R67" s="73" t="s">
        <v>201</v>
      </c>
      <c r="S67" s="74"/>
      <c r="T67" s="73" t="s">
        <v>233</v>
      </c>
      <c r="U67" s="73" t="n">
        <v>117.6652</v>
      </c>
      <c r="V67" s="73"/>
      <c r="W67" s="73"/>
      <c r="X67" s="73"/>
      <c r="Y67" s="66" t="s">
        <v>211</v>
      </c>
      <c r="Z67" s="66" t="s">
        <v>47</v>
      </c>
      <c r="AA67" s="75"/>
    </row>
    <row r="68" customFormat="false" ht="15.75" hidden="false" customHeight="false" outlineLevel="0" collapsed="false">
      <c r="C68" s="76"/>
      <c r="D68" s="78" t="s">
        <v>998</v>
      </c>
      <c r="E68" s="78" t="s">
        <v>672</v>
      </c>
      <c r="F68" s="79" t="n">
        <v>33</v>
      </c>
      <c r="G68" s="72" t="n">
        <v>13.5</v>
      </c>
      <c r="H68" s="72" t="n">
        <v>1.5</v>
      </c>
      <c r="I68" s="73" t="s">
        <v>940</v>
      </c>
      <c r="J68" s="72" t="n">
        <v>4.9</v>
      </c>
      <c r="K68" s="72" t="n">
        <v>4.9</v>
      </c>
      <c r="L68" s="72" t="n">
        <v>3</v>
      </c>
      <c r="M68" s="72" t="n">
        <v>5</v>
      </c>
      <c r="N68" s="72" t="n">
        <v>1</v>
      </c>
      <c r="O68" s="72" t="n">
        <v>2.5</v>
      </c>
      <c r="P68" s="72" t="n">
        <v>131</v>
      </c>
      <c r="Q68" s="72" t="n">
        <v>30</v>
      </c>
      <c r="R68" s="73" t="s">
        <v>201</v>
      </c>
      <c r="S68" s="74"/>
      <c r="T68" s="73" t="s">
        <v>233</v>
      </c>
      <c r="U68" s="73" t="n">
        <v>15.77</v>
      </c>
      <c r="V68" s="73"/>
      <c r="W68" s="73"/>
      <c r="X68" s="73"/>
      <c r="Y68" s="66" t="s">
        <v>211</v>
      </c>
      <c r="Z68" s="66" t="s">
        <v>47</v>
      </c>
      <c r="AA68" s="75"/>
    </row>
    <row r="69" customFormat="false" ht="15.75" hidden="false" customHeight="false" outlineLevel="0" collapsed="false">
      <c r="C69" s="76"/>
      <c r="D69" s="78" t="s">
        <v>999</v>
      </c>
      <c r="E69" s="78" t="s">
        <v>588</v>
      </c>
      <c r="F69" s="79" t="n">
        <v>34.5</v>
      </c>
      <c r="G69" s="72" t="n">
        <v>13.8</v>
      </c>
      <c r="H69" s="72" t="n">
        <v>12.5</v>
      </c>
      <c r="I69" s="73" t="s">
        <v>923</v>
      </c>
      <c r="J69" s="72" t="n">
        <v>7.8</v>
      </c>
      <c r="K69" s="72" t="n">
        <v>7.8</v>
      </c>
      <c r="L69" s="72" t="n">
        <v>3</v>
      </c>
      <c r="M69" s="72" t="n">
        <v>5</v>
      </c>
      <c r="N69" s="72" t="n">
        <v>1</v>
      </c>
      <c r="O69" s="72" t="n">
        <v>2.5</v>
      </c>
      <c r="P69" s="72" t="n">
        <v>120</v>
      </c>
      <c r="Q69" s="72" t="n">
        <v>30</v>
      </c>
      <c r="R69" s="73" t="s">
        <v>201</v>
      </c>
      <c r="S69" s="74"/>
      <c r="T69" s="73" t="s">
        <v>233</v>
      </c>
      <c r="U69" s="73" t="n">
        <v>117.6652</v>
      </c>
      <c r="V69" s="73"/>
      <c r="W69" s="73"/>
      <c r="X69" s="73"/>
      <c r="Y69" s="66" t="s">
        <v>211</v>
      </c>
      <c r="Z69" s="66" t="s">
        <v>47</v>
      </c>
      <c r="AA69" s="75"/>
    </row>
    <row r="70" customFormat="false" ht="15.75" hidden="false" customHeight="false" outlineLevel="0" collapsed="false">
      <c r="C70" s="76"/>
      <c r="D70" s="78" t="s">
        <v>1000</v>
      </c>
      <c r="E70" s="78" t="s">
        <v>527</v>
      </c>
      <c r="F70" s="79" t="n">
        <v>33</v>
      </c>
      <c r="G70" s="72" t="n">
        <v>13.8</v>
      </c>
      <c r="H70" s="72" t="n">
        <v>6</v>
      </c>
      <c r="I70" s="73" t="s">
        <v>923</v>
      </c>
      <c r="J70" s="72" t="n">
        <v>6.3</v>
      </c>
      <c r="K70" s="72" t="n">
        <v>6.3</v>
      </c>
      <c r="L70" s="72" t="n">
        <v>3</v>
      </c>
      <c r="M70" s="72" t="n">
        <v>5</v>
      </c>
      <c r="N70" s="72" t="n">
        <v>1</v>
      </c>
      <c r="O70" s="72" t="n">
        <v>2.5</v>
      </c>
      <c r="P70" s="72" t="n">
        <v>129</v>
      </c>
      <c r="Q70" s="72" t="n">
        <v>30</v>
      </c>
      <c r="R70" s="73" t="s">
        <v>201</v>
      </c>
      <c r="S70" s="74"/>
      <c r="T70" s="73" t="s">
        <v>233</v>
      </c>
      <c r="U70" s="73" t="n">
        <v>48.1912</v>
      </c>
      <c r="V70" s="73"/>
      <c r="W70" s="73"/>
      <c r="X70" s="73"/>
      <c r="Y70" s="66" t="s">
        <v>211</v>
      </c>
      <c r="Z70" s="66" t="s">
        <v>47</v>
      </c>
      <c r="AA70" s="75"/>
    </row>
    <row r="71" customFormat="false" ht="15.75" hidden="false" customHeight="false" outlineLevel="0" collapsed="false">
      <c r="C71" s="76"/>
      <c r="D71" s="78" t="s">
        <v>1001</v>
      </c>
      <c r="E71" s="78" t="s">
        <v>757</v>
      </c>
      <c r="F71" s="79" t="n">
        <v>34.5</v>
      </c>
      <c r="G71" s="72" t="n">
        <v>13.8</v>
      </c>
      <c r="H71" s="72" t="n">
        <v>0.2</v>
      </c>
      <c r="I71" s="73" t="s">
        <v>944</v>
      </c>
      <c r="J71" s="72" t="n">
        <v>4.5</v>
      </c>
      <c r="K71" s="72" t="n">
        <v>4.5</v>
      </c>
      <c r="L71" s="72" t="n">
        <v>3</v>
      </c>
      <c r="M71" s="72" t="n">
        <v>5</v>
      </c>
      <c r="N71" s="72" t="n">
        <v>1</v>
      </c>
      <c r="O71" s="72" t="n">
        <v>2.5</v>
      </c>
      <c r="P71" s="72" t="n">
        <v>100</v>
      </c>
      <c r="Q71" s="72" t="n">
        <v>30</v>
      </c>
      <c r="R71" s="73" t="s">
        <v>201</v>
      </c>
      <c r="S71" s="74"/>
      <c r="T71" s="73" t="s">
        <v>233</v>
      </c>
      <c r="U71" s="73" t="n">
        <v>117.6652</v>
      </c>
      <c r="V71" s="73"/>
      <c r="W71" s="73"/>
      <c r="X71" s="73"/>
      <c r="Y71" s="66" t="s">
        <v>211</v>
      </c>
      <c r="Z71" s="66" t="s">
        <v>47</v>
      </c>
      <c r="AA71" s="75"/>
    </row>
    <row r="72" customFormat="false" ht="15.75" hidden="false" customHeight="false" outlineLevel="0" collapsed="false">
      <c r="C72" s="76"/>
      <c r="D72" s="78" t="s">
        <v>1002</v>
      </c>
      <c r="E72" s="78" t="s">
        <v>260</v>
      </c>
      <c r="F72" s="79" t="n">
        <v>33</v>
      </c>
      <c r="G72" s="72" t="n">
        <v>13.2</v>
      </c>
      <c r="H72" s="72" t="n">
        <v>2</v>
      </c>
      <c r="I72" s="73" t="s">
        <v>923</v>
      </c>
      <c r="J72" s="72" t="n">
        <v>6.9</v>
      </c>
      <c r="K72" s="72" t="n">
        <v>6.9</v>
      </c>
      <c r="L72" s="72" t="n">
        <v>3</v>
      </c>
      <c r="M72" s="72" t="n">
        <v>5</v>
      </c>
      <c r="N72" s="72" t="n">
        <v>1</v>
      </c>
      <c r="O72" s="72" t="n">
        <v>2.5</v>
      </c>
      <c r="P72" s="72" t="n">
        <v>120</v>
      </c>
      <c r="Q72" s="72" t="n">
        <v>30</v>
      </c>
      <c r="R72" s="73" t="s">
        <v>201</v>
      </c>
      <c r="S72" s="74"/>
      <c r="T72" s="73" t="s">
        <v>233</v>
      </c>
      <c r="U72" s="73" t="n">
        <v>20.4016</v>
      </c>
      <c r="V72" s="73"/>
      <c r="W72" s="73"/>
      <c r="X72" s="73"/>
      <c r="Y72" s="66" t="s">
        <v>211</v>
      </c>
      <c r="Z72" s="66" t="s">
        <v>47</v>
      </c>
      <c r="AA72" s="75"/>
    </row>
    <row r="73" customFormat="false" ht="15.75" hidden="false" customHeight="false" outlineLevel="0" collapsed="false">
      <c r="C73" s="76"/>
      <c r="D73" s="78" t="s">
        <v>1003</v>
      </c>
      <c r="E73" s="78" t="s">
        <v>790</v>
      </c>
      <c r="F73" s="79" t="n">
        <v>34.5</v>
      </c>
      <c r="G73" s="72" t="n">
        <v>13.8</v>
      </c>
      <c r="H73" s="72" t="n">
        <v>5</v>
      </c>
      <c r="I73" s="73" t="s">
        <v>944</v>
      </c>
      <c r="J73" s="72" t="n">
        <v>5.9</v>
      </c>
      <c r="K73" s="72" t="n">
        <v>5.9</v>
      </c>
      <c r="L73" s="72" t="n">
        <v>3</v>
      </c>
      <c r="M73" s="72" t="n">
        <v>5</v>
      </c>
      <c r="N73" s="72" t="n">
        <v>1</v>
      </c>
      <c r="O73" s="72" t="n">
        <v>2.5</v>
      </c>
      <c r="P73" s="72" t="n">
        <v>100</v>
      </c>
      <c r="Q73" s="72" t="n">
        <v>30</v>
      </c>
      <c r="R73" s="73" t="s">
        <v>201</v>
      </c>
      <c r="S73" s="74"/>
      <c r="T73" s="73" t="s">
        <v>233</v>
      </c>
      <c r="U73" s="73" t="n">
        <v>117.6652</v>
      </c>
      <c r="V73" s="73"/>
      <c r="W73" s="73"/>
      <c r="X73" s="73"/>
      <c r="Y73" s="66" t="s">
        <v>211</v>
      </c>
      <c r="Z73" s="66" t="s">
        <v>47</v>
      </c>
      <c r="AA73" s="75"/>
    </row>
    <row r="74" customFormat="false" ht="15.75" hidden="false" customHeight="false" outlineLevel="0" collapsed="false">
      <c r="C74" s="76"/>
      <c r="D74" s="78" t="s">
        <v>1004</v>
      </c>
      <c r="E74" s="78" t="s">
        <v>257</v>
      </c>
      <c r="F74" s="79" t="n">
        <v>34.5</v>
      </c>
      <c r="G74" s="72" t="n">
        <v>13.8</v>
      </c>
      <c r="H74" s="72" t="n">
        <v>12.5</v>
      </c>
      <c r="I74" s="73" t="s">
        <v>923</v>
      </c>
      <c r="J74" s="72" t="n">
        <v>8.9</v>
      </c>
      <c r="K74" s="72" t="n">
        <v>6.6</v>
      </c>
      <c r="L74" s="72" t="n">
        <v>3</v>
      </c>
      <c r="M74" s="72" t="n">
        <v>5</v>
      </c>
      <c r="N74" s="72" t="n">
        <v>1</v>
      </c>
      <c r="O74" s="72" t="n">
        <v>2.5</v>
      </c>
      <c r="P74" s="72" t="n">
        <v>100</v>
      </c>
      <c r="Q74" s="72" t="n">
        <v>30</v>
      </c>
      <c r="R74" s="73" t="s">
        <v>201</v>
      </c>
      <c r="S74" s="74"/>
      <c r="T74" s="73" t="s">
        <v>233</v>
      </c>
      <c r="U74" s="73" t="n">
        <v>117.6652</v>
      </c>
      <c r="V74" s="73"/>
      <c r="W74" s="73"/>
      <c r="X74" s="73"/>
      <c r="Y74" s="66" t="s">
        <v>211</v>
      </c>
      <c r="Z74" s="66" t="s">
        <v>47</v>
      </c>
      <c r="AA74" s="75"/>
    </row>
    <row r="75" customFormat="false" ht="15.75" hidden="false" customHeight="false" outlineLevel="0" collapsed="false">
      <c r="C75" s="76"/>
      <c r="D75" s="78" t="s">
        <v>1005</v>
      </c>
      <c r="E75" s="78" t="s">
        <v>253</v>
      </c>
      <c r="F75" s="79" t="n">
        <v>34.5</v>
      </c>
      <c r="G75" s="72" t="n">
        <v>13.8</v>
      </c>
      <c r="H75" s="72" t="n">
        <v>20</v>
      </c>
      <c r="I75" s="73" t="s">
        <v>923</v>
      </c>
      <c r="J75" s="72" t="n">
        <v>7.6</v>
      </c>
      <c r="K75" s="72" t="n">
        <v>7.6</v>
      </c>
      <c r="L75" s="72" t="n">
        <v>3</v>
      </c>
      <c r="M75" s="72" t="n">
        <v>5</v>
      </c>
      <c r="N75" s="72" t="n">
        <v>1</v>
      </c>
      <c r="O75" s="72" t="n">
        <v>0</v>
      </c>
      <c r="P75" s="72" t="n">
        <v>100</v>
      </c>
      <c r="Q75" s="72" t="n">
        <v>30</v>
      </c>
      <c r="R75" s="73" t="s">
        <v>201</v>
      </c>
      <c r="S75" s="74"/>
      <c r="T75" s="73" t="s">
        <v>233</v>
      </c>
      <c r="U75" s="73" t="n">
        <v>117.6652</v>
      </c>
      <c r="V75" s="73"/>
      <c r="W75" s="73"/>
      <c r="X75" s="73"/>
      <c r="Y75" s="66" t="s">
        <v>211</v>
      </c>
      <c r="Z75" s="66" t="s">
        <v>47</v>
      </c>
      <c r="AA75" s="75"/>
    </row>
    <row r="76" customFormat="false" ht="15.75" hidden="false" customHeight="false" outlineLevel="0" collapsed="false">
      <c r="C76" s="76"/>
      <c r="D76" s="78" t="s">
        <v>1006</v>
      </c>
      <c r="E76" s="78" t="s">
        <v>610</v>
      </c>
      <c r="F76" s="79" t="n">
        <v>34.5</v>
      </c>
      <c r="G76" s="72" t="n">
        <v>13.8</v>
      </c>
      <c r="H76" s="72" t="n">
        <v>1.5</v>
      </c>
      <c r="I76" s="73" t="s">
        <v>923</v>
      </c>
      <c r="J76" s="72" t="n">
        <v>6.5</v>
      </c>
      <c r="K76" s="72" t="n">
        <v>6.5</v>
      </c>
      <c r="L76" s="72" t="n">
        <v>3</v>
      </c>
      <c r="M76" s="72" t="n">
        <v>5</v>
      </c>
      <c r="N76" s="72" t="n">
        <v>1</v>
      </c>
      <c r="O76" s="72" t="n">
        <v>2.5</v>
      </c>
      <c r="P76" s="72" t="n">
        <v>100</v>
      </c>
      <c r="Q76" s="72" t="n">
        <v>30</v>
      </c>
      <c r="R76" s="73" t="s">
        <v>201</v>
      </c>
      <c r="S76" s="74"/>
      <c r="T76" s="73" t="s">
        <v>233</v>
      </c>
      <c r="U76" s="73" t="n">
        <v>117.6652</v>
      </c>
      <c r="V76" s="73"/>
      <c r="W76" s="73"/>
      <c r="X76" s="73"/>
      <c r="Y76" s="66" t="s">
        <v>211</v>
      </c>
      <c r="Z76" s="66" t="s">
        <v>47</v>
      </c>
      <c r="AA76" s="75"/>
    </row>
    <row r="77" customFormat="false" ht="15.75" hidden="false" customHeight="false" outlineLevel="0" collapsed="false">
      <c r="C77" s="76"/>
      <c r="D77" s="78" t="s">
        <v>1007</v>
      </c>
      <c r="E77" s="78" t="s">
        <v>246</v>
      </c>
      <c r="F77" s="79" t="n">
        <v>34.5</v>
      </c>
      <c r="G77" s="72" t="n">
        <v>13.8</v>
      </c>
      <c r="H77" s="72" t="n">
        <v>6</v>
      </c>
      <c r="I77" s="73" t="s">
        <v>923</v>
      </c>
      <c r="J77" s="72" t="n">
        <v>7.3</v>
      </c>
      <c r="K77" s="72" t="n">
        <v>7.3</v>
      </c>
      <c r="L77" s="72" t="n">
        <v>3</v>
      </c>
      <c r="M77" s="72" t="n">
        <v>5</v>
      </c>
      <c r="N77" s="72" t="n">
        <v>1</v>
      </c>
      <c r="O77" s="72" t="n">
        <v>2.5</v>
      </c>
      <c r="P77" s="72" t="n">
        <v>100</v>
      </c>
      <c r="Q77" s="72" t="n">
        <v>30</v>
      </c>
      <c r="R77" s="73" t="s">
        <v>201</v>
      </c>
      <c r="S77" s="74"/>
      <c r="T77" s="73" t="s">
        <v>233</v>
      </c>
      <c r="U77" s="73" t="n">
        <v>117.6652</v>
      </c>
      <c r="V77" s="73"/>
      <c r="W77" s="73"/>
      <c r="X77" s="73"/>
      <c r="Y77" s="66" t="s">
        <v>211</v>
      </c>
      <c r="Z77" s="66" t="s">
        <v>47</v>
      </c>
      <c r="AA77" s="75"/>
    </row>
    <row r="78" customFormat="false" ht="15.75" hidden="false" customHeight="false" outlineLevel="0" collapsed="false">
      <c r="C78" s="76"/>
      <c r="D78" s="78" t="s">
        <v>1008</v>
      </c>
      <c r="E78" s="78" t="s">
        <v>237</v>
      </c>
      <c r="F78" s="79" t="n">
        <v>34.5</v>
      </c>
      <c r="G78" s="72" t="n">
        <v>13.8</v>
      </c>
      <c r="H78" s="72" t="n">
        <v>12.5</v>
      </c>
      <c r="I78" s="73" t="s">
        <v>923</v>
      </c>
      <c r="J78" s="72" t="n">
        <v>7.6</v>
      </c>
      <c r="K78" s="72" t="n">
        <v>7.6</v>
      </c>
      <c r="L78" s="72" t="n">
        <v>3</v>
      </c>
      <c r="M78" s="72" t="n">
        <v>5</v>
      </c>
      <c r="N78" s="72" t="n">
        <v>1</v>
      </c>
      <c r="O78" s="72" t="n">
        <v>2.5</v>
      </c>
      <c r="P78" s="72" t="n">
        <v>100</v>
      </c>
      <c r="Q78" s="72" t="n">
        <v>30</v>
      </c>
      <c r="R78" s="73" t="s">
        <v>201</v>
      </c>
      <c r="S78" s="74"/>
      <c r="T78" s="73" t="s">
        <v>233</v>
      </c>
      <c r="U78" s="73" t="n">
        <v>117.6652</v>
      </c>
      <c r="V78" s="73"/>
      <c r="W78" s="73"/>
      <c r="X78" s="73"/>
      <c r="Y78" s="66" t="s">
        <v>211</v>
      </c>
      <c r="Z78" s="66" t="s">
        <v>47</v>
      </c>
      <c r="AA78" s="75"/>
    </row>
    <row r="79" customFormat="false" ht="15.75" hidden="false" customHeight="false" outlineLevel="0" collapsed="false">
      <c r="C79" s="76"/>
      <c r="D79" s="78" t="s">
        <v>1009</v>
      </c>
      <c r="E79" s="78" t="s">
        <v>391</v>
      </c>
      <c r="F79" s="79" t="n">
        <v>34.5</v>
      </c>
      <c r="G79" s="72" t="n">
        <v>13.8</v>
      </c>
      <c r="H79" s="72" t="n">
        <v>1.6</v>
      </c>
      <c r="I79" s="73" t="s">
        <v>944</v>
      </c>
      <c r="J79" s="72" t="n">
        <v>5.8</v>
      </c>
      <c r="K79" s="72" t="n">
        <v>5.8</v>
      </c>
      <c r="L79" s="72" t="n">
        <v>3</v>
      </c>
      <c r="M79" s="72" t="n">
        <v>5</v>
      </c>
      <c r="N79" s="72" t="n">
        <v>1</v>
      </c>
      <c r="O79" s="72" t="n">
        <v>2.5</v>
      </c>
      <c r="P79" s="72" t="n">
        <v>100</v>
      </c>
      <c r="Q79" s="72" t="n">
        <v>30</v>
      </c>
      <c r="R79" s="73" t="s">
        <v>201</v>
      </c>
      <c r="S79" s="74"/>
      <c r="T79" s="73" t="s">
        <v>233</v>
      </c>
      <c r="U79" s="73" t="n">
        <v>117.6652</v>
      </c>
      <c r="V79" s="73"/>
      <c r="W79" s="73"/>
      <c r="X79" s="73"/>
      <c r="Y79" s="66" t="s">
        <v>211</v>
      </c>
      <c r="Z79" s="66" t="s">
        <v>47</v>
      </c>
      <c r="AA79" s="75"/>
    </row>
    <row r="80" customFormat="false" ht="15.75" hidden="false" customHeight="false" outlineLevel="0" collapsed="false">
      <c r="C80" s="76"/>
      <c r="D80" s="78" t="s">
        <v>1010</v>
      </c>
      <c r="E80" s="78" t="s">
        <v>674</v>
      </c>
      <c r="F80" s="79" t="n">
        <v>34.5</v>
      </c>
      <c r="G80" s="72" t="n">
        <v>13.8</v>
      </c>
      <c r="H80" s="72" t="n">
        <v>3</v>
      </c>
      <c r="I80" s="73" t="s">
        <v>923</v>
      </c>
      <c r="J80" s="72" t="n">
        <v>5.8</v>
      </c>
      <c r="K80" s="72" t="n">
        <v>5.8</v>
      </c>
      <c r="L80" s="72" t="n">
        <v>3</v>
      </c>
      <c r="M80" s="72" t="n">
        <v>5</v>
      </c>
      <c r="N80" s="72" t="n">
        <v>1</v>
      </c>
      <c r="O80" s="72" t="n">
        <v>2.5</v>
      </c>
      <c r="P80" s="72" t="n">
        <v>131</v>
      </c>
      <c r="Q80" s="72" t="n">
        <v>30</v>
      </c>
      <c r="R80" s="73" t="s">
        <v>355</v>
      </c>
      <c r="S80" s="74" t="n">
        <v>46022</v>
      </c>
      <c r="T80" s="73" t="s">
        <v>233</v>
      </c>
      <c r="U80" s="73" t="n">
        <v>29.6648</v>
      </c>
      <c r="V80" s="73"/>
      <c r="W80" s="73"/>
      <c r="X80" s="73"/>
      <c r="Y80" s="66" t="s">
        <v>211</v>
      </c>
      <c r="Z80" s="66" t="s">
        <v>47</v>
      </c>
      <c r="AA80" s="75" t="s">
        <v>967</v>
      </c>
    </row>
    <row r="81" customFormat="false" ht="15.75" hidden="false" customHeight="false" outlineLevel="0" collapsed="false">
      <c r="C81" s="76"/>
      <c r="D81" s="78" t="s">
        <v>1011</v>
      </c>
      <c r="E81" s="78" t="s">
        <v>606</v>
      </c>
      <c r="F81" s="79" t="n">
        <v>34.5</v>
      </c>
      <c r="G81" s="72" t="n">
        <v>13.8</v>
      </c>
      <c r="H81" s="72" t="n">
        <v>5</v>
      </c>
      <c r="I81" s="73" t="s">
        <v>923</v>
      </c>
      <c r="J81" s="72" t="n">
        <v>6</v>
      </c>
      <c r="K81" s="72" t="n">
        <v>6</v>
      </c>
      <c r="L81" s="72" t="n">
        <v>3</v>
      </c>
      <c r="M81" s="72" t="n">
        <v>5</v>
      </c>
      <c r="N81" s="72" t="n">
        <v>1</v>
      </c>
      <c r="O81" s="72" t="n">
        <v>2.5</v>
      </c>
      <c r="P81" s="72" t="n">
        <v>140</v>
      </c>
      <c r="Q81" s="72" t="n">
        <v>30</v>
      </c>
      <c r="R81" s="73" t="s">
        <v>201</v>
      </c>
      <c r="S81" s="74"/>
      <c r="T81" s="73" t="s">
        <v>233</v>
      </c>
      <c r="U81" s="73" t="n">
        <v>233.4552</v>
      </c>
      <c r="V81" s="73"/>
      <c r="W81" s="73"/>
      <c r="X81" s="73"/>
      <c r="Y81" s="66" t="s">
        <v>211</v>
      </c>
      <c r="Z81" s="66" t="s">
        <v>47</v>
      </c>
      <c r="AA81" s="75"/>
    </row>
    <row r="82" customFormat="false" ht="15.75" hidden="false" customHeight="false" outlineLevel="0" collapsed="false">
      <c r="C82" s="76"/>
      <c r="D82" s="78" t="s">
        <v>1012</v>
      </c>
      <c r="E82" s="78" t="s">
        <v>735</v>
      </c>
      <c r="F82" s="79" t="n">
        <v>34.5</v>
      </c>
      <c r="G82" s="72" t="n">
        <v>13.8</v>
      </c>
      <c r="H82" s="72" t="n">
        <v>5</v>
      </c>
      <c r="I82" s="73" t="s">
        <v>923</v>
      </c>
      <c r="J82" s="72" t="n">
        <v>6</v>
      </c>
      <c r="K82" s="72" t="n">
        <v>6</v>
      </c>
      <c r="L82" s="72" t="n">
        <v>9</v>
      </c>
      <c r="M82" s="72" t="n">
        <v>17</v>
      </c>
      <c r="N82" s="72" t="n">
        <v>1</v>
      </c>
      <c r="O82" s="72" t="n">
        <v>1.2</v>
      </c>
      <c r="P82" s="72" t="n">
        <v>140</v>
      </c>
      <c r="Q82" s="72" t="n">
        <v>30</v>
      </c>
      <c r="R82" s="73" t="s">
        <v>201</v>
      </c>
      <c r="S82" s="74"/>
      <c r="T82" s="73" t="s">
        <v>233</v>
      </c>
      <c r="U82" s="73" t="n">
        <v>48.1912</v>
      </c>
      <c r="V82" s="73"/>
      <c r="W82" s="73"/>
      <c r="X82" s="73"/>
      <c r="Y82" s="66" t="s">
        <v>211</v>
      </c>
      <c r="Z82" s="66" t="s">
        <v>47</v>
      </c>
      <c r="AA82" s="75"/>
    </row>
    <row r="83" customFormat="false" ht="15.75" hidden="false" customHeight="false" outlineLevel="0" collapsed="false">
      <c r="C83" s="76"/>
      <c r="D83" s="78" t="s">
        <v>1013</v>
      </c>
      <c r="E83" s="78" t="s">
        <v>555</v>
      </c>
      <c r="F83" s="79" t="n">
        <v>34.5</v>
      </c>
      <c r="G83" s="72" t="n">
        <v>13.8</v>
      </c>
      <c r="H83" s="72" t="n">
        <v>6</v>
      </c>
      <c r="I83" s="73" t="s">
        <v>923</v>
      </c>
      <c r="J83" s="72" t="n">
        <v>7</v>
      </c>
      <c r="K83" s="72" t="n">
        <v>7</v>
      </c>
      <c r="L83" s="72" t="n">
        <v>3</v>
      </c>
      <c r="M83" s="72" t="n">
        <v>5</v>
      </c>
      <c r="N83" s="72" t="n">
        <v>1</v>
      </c>
      <c r="O83" s="72" t="n">
        <v>2.5</v>
      </c>
      <c r="P83" s="72" t="n">
        <v>100</v>
      </c>
      <c r="Q83" s="72" t="n">
        <v>30</v>
      </c>
      <c r="R83" s="73" t="s">
        <v>201</v>
      </c>
      <c r="S83" s="74"/>
      <c r="T83" s="73" t="s">
        <v>233</v>
      </c>
      <c r="U83" s="73" t="n">
        <v>117.6652</v>
      </c>
      <c r="V83" s="73"/>
      <c r="W83" s="73"/>
      <c r="X83" s="73"/>
      <c r="Y83" s="66" t="s">
        <v>211</v>
      </c>
      <c r="Z83" s="66" t="s">
        <v>47</v>
      </c>
      <c r="AA83" s="75"/>
    </row>
    <row r="84" customFormat="false" ht="15.75" hidden="false" customHeight="false" outlineLevel="0" collapsed="false">
      <c r="C84" s="76"/>
      <c r="D84" s="78" t="s">
        <v>1014</v>
      </c>
      <c r="E84" s="78" t="s">
        <v>511</v>
      </c>
      <c r="F84" s="79" t="n">
        <v>34.5</v>
      </c>
      <c r="G84" s="72" t="n">
        <v>13.8</v>
      </c>
      <c r="H84" s="72" t="n">
        <v>12.5</v>
      </c>
      <c r="I84" s="73" t="s">
        <v>923</v>
      </c>
      <c r="J84" s="72" t="n">
        <v>9.2</v>
      </c>
      <c r="K84" s="72" t="n">
        <v>9.2</v>
      </c>
      <c r="L84" s="72" t="n">
        <v>3</v>
      </c>
      <c r="M84" s="72" t="n">
        <v>5</v>
      </c>
      <c r="N84" s="72" t="n">
        <v>1</v>
      </c>
      <c r="O84" s="72" t="n">
        <v>2.5</v>
      </c>
      <c r="P84" s="72" t="n">
        <v>100</v>
      </c>
      <c r="Q84" s="72" t="n">
        <v>30</v>
      </c>
      <c r="R84" s="73" t="s">
        <v>201</v>
      </c>
      <c r="S84" s="74"/>
      <c r="T84" s="73" t="s">
        <v>233</v>
      </c>
      <c r="U84" s="73" t="n">
        <v>117.6652</v>
      </c>
      <c r="V84" s="73"/>
      <c r="W84" s="73"/>
      <c r="X84" s="73"/>
      <c r="Y84" s="66" t="s">
        <v>211</v>
      </c>
      <c r="Z84" s="66" t="s">
        <v>47</v>
      </c>
      <c r="AA84" s="75"/>
    </row>
    <row r="85" customFormat="false" ht="15.75" hidden="false" customHeight="false" outlineLevel="0" collapsed="false">
      <c r="C85" s="76"/>
      <c r="D85" s="78" t="s">
        <v>1015</v>
      </c>
      <c r="E85" s="78" t="s">
        <v>694</v>
      </c>
      <c r="F85" s="79" t="n">
        <v>34.5</v>
      </c>
      <c r="G85" s="72" t="n">
        <v>13.8</v>
      </c>
      <c r="H85" s="72" t="n">
        <v>2</v>
      </c>
      <c r="I85" s="73" t="s">
        <v>944</v>
      </c>
      <c r="J85" s="72" t="n">
        <v>6</v>
      </c>
      <c r="K85" s="72" t="n">
        <v>6</v>
      </c>
      <c r="L85" s="72" t="n">
        <v>3</v>
      </c>
      <c r="M85" s="72" t="n">
        <v>5</v>
      </c>
      <c r="N85" s="72" t="n">
        <v>1</v>
      </c>
      <c r="O85" s="72" t="n">
        <v>2.5</v>
      </c>
      <c r="P85" s="72" t="n">
        <v>100</v>
      </c>
      <c r="Q85" s="72" t="n">
        <v>30</v>
      </c>
      <c r="R85" s="73" t="s">
        <v>201</v>
      </c>
      <c r="S85" s="74"/>
      <c r="T85" s="73" t="s">
        <v>233</v>
      </c>
      <c r="U85" s="73" t="n">
        <v>117.6652</v>
      </c>
      <c r="V85" s="73"/>
      <c r="W85" s="73"/>
      <c r="X85" s="73"/>
      <c r="Y85" s="66" t="s">
        <v>211</v>
      </c>
      <c r="Z85" s="66" t="s">
        <v>47</v>
      </c>
      <c r="AA85" s="75"/>
    </row>
    <row r="86" customFormat="false" ht="15.75" hidden="false" customHeight="false" outlineLevel="0" collapsed="false">
      <c r="C86" s="76"/>
      <c r="D86" s="78" t="s">
        <v>1016</v>
      </c>
      <c r="E86" s="78" t="s">
        <v>612</v>
      </c>
      <c r="F86" s="79" t="n">
        <v>33</v>
      </c>
      <c r="G86" s="72" t="n">
        <v>13.8</v>
      </c>
      <c r="H86" s="72" t="n">
        <v>5</v>
      </c>
      <c r="I86" s="73" t="s">
        <v>923</v>
      </c>
      <c r="J86" s="72" t="n">
        <v>6.4</v>
      </c>
      <c r="K86" s="72" t="n">
        <v>6.4</v>
      </c>
      <c r="L86" s="72" t="n">
        <v>3</v>
      </c>
      <c r="M86" s="72" t="n">
        <v>5</v>
      </c>
      <c r="N86" s="72" t="n">
        <v>1</v>
      </c>
      <c r="O86" s="72" t="n">
        <v>2.5</v>
      </c>
      <c r="P86" s="72" t="n">
        <v>100</v>
      </c>
      <c r="Q86" s="72" t="n">
        <v>30</v>
      </c>
      <c r="R86" s="73" t="s">
        <v>201</v>
      </c>
      <c r="S86" s="74"/>
      <c r="T86" s="73" t="s">
        <v>233</v>
      </c>
      <c r="U86" s="73" t="n">
        <v>117.6652</v>
      </c>
      <c r="V86" s="73"/>
      <c r="W86" s="73"/>
      <c r="X86" s="73"/>
      <c r="Y86" s="66" t="s">
        <v>211</v>
      </c>
      <c r="Z86" s="66" t="s">
        <v>47</v>
      </c>
      <c r="AA86" s="75"/>
    </row>
    <row r="87" customFormat="false" ht="15.75" hidden="false" customHeight="false" outlineLevel="0" collapsed="false">
      <c r="C87" s="76"/>
      <c r="D87" s="78" t="s">
        <v>1017</v>
      </c>
      <c r="E87" s="78" t="s">
        <v>641</v>
      </c>
      <c r="F87" s="79" t="n">
        <v>33</v>
      </c>
      <c r="G87" s="72" t="n">
        <v>4.2</v>
      </c>
      <c r="H87" s="72" t="n">
        <v>5.6</v>
      </c>
      <c r="I87" s="73" t="s">
        <v>927</v>
      </c>
      <c r="J87" s="72" t="n">
        <v>6</v>
      </c>
      <c r="K87" s="72" t="n">
        <v>6</v>
      </c>
      <c r="L87" s="72" t="n">
        <v>3</v>
      </c>
      <c r="M87" s="72" t="n">
        <v>5</v>
      </c>
      <c r="N87" s="72" t="n">
        <v>1</v>
      </c>
      <c r="O87" s="72" t="n">
        <v>2.5</v>
      </c>
      <c r="P87" s="72" t="n">
        <v>145</v>
      </c>
      <c r="Q87" s="72" t="n">
        <v>30</v>
      </c>
      <c r="R87" s="73" t="s">
        <v>201</v>
      </c>
      <c r="S87" s="74"/>
      <c r="T87" s="73" t="s">
        <v>233</v>
      </c>
      <c r="U87" s="73" t="n">
        <v>53.74912</v>
      </c>
      <c r="V87" s="73"/>
      <c r="W87" s="73"/>
      <c r="X87" s="73"/>
      <c r="Y87" s="66" t="s">
        <v>211</v>
      </c>
      <c r="Z87" s="66" t="s">
        <v>47</v>
      </c>
      <c r="AA87" s="75"/>
    </row>
    <row r="88" customFormat="false" ht="15.75" hidden="false" customHeight="false" outlineLevel="0" collapsed="false">
      <c r="C88" s="76"/>
      <c r="D88" s="78" t="s">
        <v>1018</v>
      </c>
      <c r="E88" s="78" t="s">
        <v>641</v>
      </c>
      <c r="F88" s="79" t="n">
        <v>34.5</v>
      </c>
      <c r="G88" s="72" t="n">
        <v>13.8</v>
      </c>
      <c r="H88" s="72" t="n">
        <v>2</v>
      </c>
      <c r="I88" s="73" t="s">
        <v>923</v>
      </c>
      <c r="J88" s="72" t="n">
        <v>6</v>
      </c>
      <c r="K88" s="72" t="n">
        <v>6</v>
      </c>
      <c r="L88" s="72" t="n">
        <v>3</v>
      </c>
      <c r="M88" s="72" t="n">
        <v>5</v>
      </c>
      <c r="N88" s="72" t="n">
        <v>1</v>
      </c>
      <c r="O88" s="72" t="n">
        <v>2.5</v>
      </c>
      <c r="P88" s="72" t="n">
        <v>134</v>
      </c>
      <c r="Q88" s="72" t="n">
        <v>30</v>
      </c>
      <c r="R88" s="73" t="s">
        <v>201</v>
      </c>
      <c r="S88" s="74"/>
      <c r="T88" s="73" t="s">
        <v>233</v>
      </c>
      <c r="U88" s="73" t="n">
        <v>20.4016</v>
      </c>
      <c r="V88" s="73"/>
      <c r="W88" s="73"/>
      <c r="X88" s="73"/>
      <c r="Y88" s="66" t="s">
        <v>211</v>
      </c>
      <c r="Z88" s="66" t="s">
        <v>47</v>
      </c>
      <c r="AA88" s="75"/>
    </row>
    <row r="89" customFormat="false" ht="15.75" hidden="false" customHeight="false" outlineLevel="0" collapsed="false">
      <c r="C89" s="76"/>
      <c r="D89" s="78" t="s">
        <v>1019</v>
      </c>
      <c r="E89" s="78" t="s">
        <v>519</v>
      </c>
      <c r="F89" s="79" t="n">
        <v>34.5</v>
      </c>
      <c r="G89" s="72" t="n">
        <v>13.8</v>
      </c>
      <c r="H89" s="72" t="n">
        <v>25</v>
      </c>
      <c r="I89" s="73" t="s">
        <v>923</v>
      </c>
      <c r="J89" s="72" t="n">
        <v>9</v>
      </c>
      <c r="K89" s="72" t="n">
        <v>9</v>
      </c>
      <c r="L89" s="72" t="n">
        <v>5</v>
      </c>
      <c r="M89" s="72" t="n">
        <v>11</v>
      </c>
      <c r="N89" s="72" t="n">
        <v>1</v>
      </c>
      <c r="O89" s="72" t="n">
        <v>1.2</v>
      </c>
      <c r="P89" s="72" t="n">
        <v>100</v>
      </c>
      <c r="Q89" s="72" t="n">
        <v>30</v>
      </c>
      <c r="R89" s="73" t="s">
        <v>201</v>
      </c>
      <c r="S89" s="74"/>
      <c r="T89" s="73" t="s">
        <v>233</v>
      </c>
      <c r="U89" s="73" t="n">
        <v>117.6652</v>
      </c>
      <c r="V89" s="73"/>
      <c r="W89" s="73"/>
      <c r="X89" s="73"/>
      <c r="Y89" s="66" t="s">
        <v>211</v>
      </c>
      <c r="Z89" s="66" t="s">
        <v>47</v>
      </c>
      <c r="AA89" s="75"/>
    </row>
    <row r="90" customFormat="false" ht="15.75" hidden="false" customHeight="false" outlineLevel="0" collapsed="false">
      <c r="C90" s="76"/>
      <c r="D90" s="78" t="s">
        <v>1020</v>
      </c>
      <c r="E90" s="78" t="s">
        <v>747</v>
      </c>
      <c r="F90" s="79" t="n">
        <v>34.5</v>
      </c>
      <c r="G90" s="72" t="n">
        <v>13.8</v>
      </c>
      <c r="H90" s="72" t="n">
        <v>1</v>
      </c>
      <c r="I90" s="73" t="s">
        <v>923</v>
      </c>
      <c r="J90" s="72" t="n">
        <v>5.8</v>
      </c>
      <c r="K90" s="72" t="n">
        <v>5.8</v>
      </c>
      <c r="L90" s="72" t="n">
        <v>3</v>
      </c>
      <c r="M90" s="72" t="n">
        <v>5</v>
      </c>
      <c r="N90" s="72" t="n">
        <v>1</v>
      </c>
      <c r="O90" s="72" t="n">
        <v>2.5</v>
      </c>
      <c r="P90" s="72" t="n">
        <v>100</v>
      </c>
      <c r="Q90" s="72" t="n">
        <v>30</v>
      </c>
      <c r="R90" s="73" t="s">
        <v>201</v>
      </c>
      <c r="S90" s="74"/>
      <c r="T90" s="73" t="s">
        <v>233</v>
      </c>
      <c r="U90" s="73" t="n">
        <v>117.6652</v>
      </c>
      <c r="V90" s="73"/>
      <c r="W90" s="73"/>
      <c r="X90" s="73"/>
      <c r="Y90" s="66" t="s">
        <v>211</v>
      </c>
      <c r="Z90" s="66" t="s">
        <v>47</v>
      </c>
      <c r="AA90" s="75"/>
    </row>
    <row r="91" customFormat="false" ht="15.75" hidden="false" customHeight="false" outlineLevel="0" collapsed="false">
      <c r="C91" s="76"/>
      <c r="D91" s="78" t="s">
        <v>1021</v>
      </c>
      <c r="E91" s="78" t="s">
        <v>379</v>
      </c>
      <c r="F91" s="79" t="n">
        <v>34.5</v>
      </c>
      <c r="G91" s="72" t="n">
        <v>13.7</v>
      </c>
      <c r="H91" s="72" t="n">
        <v>2</v>
      </c>
      <c r="I91" s="73" t="s">
        <v>944</v>
      </c>
      <c r="J91" s="72" t="n">
        <v>5.9</v>
      </c>
      <c r="K91" s="72" t="n">
        <v>5.9</v>
      </c>
      <c r="L91" s="72" t="n">
        <v>3</v>
      </c>
      <c r="M91" s="72" t="n">
        <v>5</v>
      </c>
      <c r="N91" s="72" t="n">
        <v>1</v>
      </c>
      <c r="O91" s="72" t="n">
        <v>2.5</v>
      </c>
      <c r="P91" s="72" t="n">
        <v>137</v>
      </c>
      <c r="Q91" s="72" t="n">
        <v>30</v>
      </c>
      <c r="R91" s="73" t="s">
        <v>201</v>
      </c>
      <c r="S91" s="74"/>
      <c r="T91" s="73" t="s">
        <v>233</v>
      </c>
      <c r="U91" s="73" t="n">
        <v>20.4016</v>
      </c>
      <c r="V91" s="73"/>
      <c r="W91" s="73"/>
      <c r="X91" s="73"/>
      <c r="Y91" s="66" t="s">
        <v>211</v>
      </c>
      <c r="Z91" s="66" t="s">
        <v>47</v>
      </c>
      <c r="AA91" s="75"/>
    </row>
    <row r="92" customFormat="false" ht="15.75" hidden="false" customHeight="false" outlineLevel="0" collapsed="false">
      <c r="C92" s="76"/>
      <c r="D92" s="78" t="s">
        <v>1022</v>
      </c>
      <c r="E92" s="78" t="s">
        <v>737</v>
      </c>
      <c r="F92" s="79" t="n">
        <v>34.5</v>
      </c>
      <c r="G92" s="72" t="n">
        <v>13.8</v>
      </c>
      <c r="H92" s="72" t="n">
        <v>6</v>
      </c>
      <c r="I92" s="73" t="s">
        <v>923</v>
      </c>
      <c r="J92" s="72" t="n">
        <v>7.2</v>
      </c>
      <c r="K92" s="72" t="n">
        <v>7.2</v>
      </c>
      <c r="L92" s="72" t="n">
        <v>3</v>
      </c>
      <c r="M92" s="72" t="n">
        <v>5</v>
      </c>
      <c r="N92" s="72" t="n">
        <v>1</v>
      </c>
      <c r="O92" s="72" t="n">
        <v>2.5</v>
      </c>
      <c r="P92" s="72" t="n">
        <v>119.5</v>
      </c>
      <c r="Q92" s="72" t="n">
        <v>30</v>
      </c>
      <c r="R92" s="73" t="s">
        <v>201</v>
      </c>
      <c r="S92" s="74"/>
      <c r="T92" s="73" t="s">
        <v>233</v>
      </c>
      <c r="U92" s="73" t="n">
        <v>48.1912</v>
      </c>
      <c r="V92" s="73"/>
      <c r="W92" s="73"/>
      <c r="X92" s="73"/>
      <c r="Y92" s="66" t="s">
        <v>211</v>
      </c>
      <c r="Z92" s="66" t="s">
        <v>47</v>
      </c>
      <c r="AA92" s="75"/>
    </row>
    <row r="93" customFormat="false" ht="15.75" hidden="false" customHeight="false" outlineLevel="0" collapsed="false">
      <c r="C93" s="76"/>
      <c r="D93" s="78" t="s">
        <v>1023</v>
      </c>
      <c r="E93" s="78" t="s">
        <v>641</v>
      </c>
      <c r="F93" s="79" t="n">
        <v>33</v>
      </c>
      <c r="G93" s="72" t="n">
        <v>4.2</v>
      </c>
      <c r="H93" s="72" t="n">
        <v>5.6</v>
      </c>
      <c r="I93" s="73" t="s">
        <v>927</v>
      </c>
      <c r="J93" s="72" t="n">
        <v>5.9</v>
      </c>
      <c r="K93" s="72" t="n">
        <v>5.9</v>
      </c>
      <c r="L93" s="72" t="n">
        <v>3</v>
      </c>
      <c r="M93" s="72" t="n">
        <v>5</v>
      </c>
      <c r="N93" s="72" t="n">
        <v>1</v>
      </c>
      <c r="O93" s="72" t="n">
        <v>2.5</v>
      </c>
      <c r="P93" s="72" t="n">
        <v>145</v>
      </c>
      <c r="Q93" s="72" t="n">
        <v>30</v>
      </c>
      <c r="R93" s="73" t="s">
        <v>201</v>
      </c>
      <c r="S93" s="74"/>
      <c r="T93" s="73" t="s">
        <v>233</v>
      </c>
      <c r="U93" s="73" t="n">
        <v>53.74912</v>
      </c>
      <c r="V93" s="73"/>
      <c r="W93" s="73"/>
      <c r="X93" s="73"/>
      <c r="Y93" s="66" t="s">
        <v>211</v>
      </c>
      <c r="Z93" s="66" t="s">
        <v>47</v>
      </c>
      <c r="AA93" s="75"/>
    </row>
    <row r="94" customFormat="false" ht="15.75" hidden="false" customHeight="false" outlineLevel="0" collapsed="false">
      <c r="C94" s="76"/>
      <c r="D94" s="78" t="s">
        <v>1024</v>
      </c>
      <c r="E94" s="78" t="s">
        <v>716</v>
      </c>
      <c r="F94" s="79" t="n">
        <v>34.5</v>
      </c>
      <c r="G94" s="72" t="n">
        <v>13.8</v>
      </c>
      <c r="H94" s="72" t="n">
        <v>2</v>
      </c>
      <c r="I94" s="73" t="s">
        <v>923</v>
      </c>
      <c r="J94" s="72" t="n">
        <v>5.3</v>
      </c>
      <c r="K94" s="72" t="n">
        <v>5.3</v>
      </c>
      <c r="L94" s="72" t="n">
        <v>3</v>
      </c>
      <c r="M94" s="72" t="n">
        <v>5</v>
      </c>
      <c r="N94" s="72" t="n">
        <v>1</v>
      </c>
      <c r="O94" s="72" t="n">
        <v>2.5</v>
      </c>
      <c r="P94" s="72" t="n">
        <v>122</v>
      </c>
      <c r="Q94" s="72" t="n">
        <v>30</v>
      </c>
      <c r="R94" s="73" t="s">
        <v>201</v>
      </c>
      <c r="S94" s="74"/>
      <c r="T94" s="73" t="s">
        <v>233</v>
      </c>
      <c r="U94" s="73" t="n">
        <v>20.4016</v>
      </c>
      <c r="V94" s="73"/>
      <c r="W94" s="73"/>
      <c r="X94" s="73"/>
      <c r="Y94" s="66" t="s">
        <v>211</v>
      </c>
      <c r="Z94" s="66" t="s">
        <v>47</v>
      </c>
      <c r="AA94" s="75"/>
    </row>
    <row r="95" customFormat="false" ht="15.75" hidden="false" customHeight="false" outlineLevel="0" collapsed="false">
      <c r="C95" s="76"/>
      <c r="D95" s="78" t="s">
        <v>1025</v>
      </c>
      <c r="E95" s="78" t="s">
        <v>699</v>
      </c>
      <c r="F95" s="79" t="n">
        <v>34.5</v>
      </c>
      <c r="G95" s="72" t="n">
        <v>13.8</v>
      </c>
      <c r="H95" s="72" t="n">
        <v>2</v>
      </c>
      <c r="I95" s="73" t="s">
        <v>923</v>
      </c>
      <c r="J95" s="72" t="n">
        <v>5.3</v>
      </c>
      <c r="K95" s="72" t="n">
        <v>5.3</v>
      </c>
      <c r="L95" s="72" t="n">
        <v>3</v>
      </c>
      <c r="M95" s="72" t="n">
        <v>5</v>
      </c>
      <c r="N95" s="72" t="n">
        <v>1</v>
      </c>
      <c r="O95" s="72" t="n">
        <v>2.5</v>
      </c>
      <c r="P95" s="72" t="n">
        <v>100</v>
      </c>
      <c r="Q95" s="72" t="n">
        <v>30</v>
      </c>
      <c r="R95" s="73" t="s">
        <v>355</v>
      </c>
      <c r="S95" s="74" t="n">
        <v>46022</v>
      </c>
      <c r="T95" s="73" t="s">
        <v>233</v>
      </c>
      <c r="U95" s="73" t="n">
        <v>117.6652</v>
      </c>
      <c r="V95" s="73"/>
      <c r="W95" s="73"/>
      <c r="X95" s="73"/>
      <c r="Y95" s="66" t="s">
        <v>211</v>
      </c>
      <c r="Z95" s="66" t="s">
        <v>47</v>
      </c>
      <c r="AA95" s="75" t="s">
        <v>967</v>
      </c>
    </row>
    <row r="96" customFormat="false" ht="15.75" hidden="false" customHeight="false" outlineLevel="0" collapsed="false">
      <c r="C96" s="76"/>
      <c r="D96" s="78" t="s">
        <v>1026</v>
      </c>
      <c r="E96" s="78" t="s">
        <v>354</v>
      </c>
      <c r="F96" s="79" t="n">
        <v>34.5</v>
      </c>
      <c r="G96" s="72" t="n">
        <v>13.8</v>
      </c>
      <c r="H96" s="72" t="n">
        <v>6</v>
      </c>
      <c r="I96" s="73" t="s">
        <v>923</v>
      </c>
      <c r="J96" s="72" t="n">
        <v>7.3</v>
      </c>
      <c r="K96" s="72" t="n">
        <v>7.3</v>
      </c>
      <c r="L96" s="72" t="n">
        <v>3</v>
      </c>
      <c r="M96" s="72" t="n">
        <v>5</v>
      </c>
      <c r="N96" s="72" t="n">
        <v>1</v>
      </c>
      <c r="O96" s="72" t="n">
        <v>2.5</v>
      </c>
      <c r="P96" s="72" t="n">
        <v>100</v>
      </c>
      <c r="Q96" s="72" t="n">
        <v>30</v>
      </c>
      <c r="R96" s="73" t="s">
        <v>355</v>
      </c>
      <c r="S96" s="74" t="n">
        <v>45856</v>
      </c>
      <c r="T96" s="73" t="s">
        <v>233</v>
      </c>
      <c r="U96" s="73" t="n">
        <v>117.6652</v>
      </c>
      <c r="V96" s="73"/>
      <c r="W96" s="73"/>
      <c r="X96" s="73"/>
      <c r="Y96" s="66" t="s">
        <v>211</v>
      </c>
      <c r="Z96" s="66" t="s">
        <v>47</v>
      </c>
      <c r="AA96" s="75" t="s">
        <v>967</v>
      </c>
    </row>
    <row r="97" customFormat="false" ht="15.75" hidden="false" customHeight="false" outlineLevel="0" collapsed="false">
      <c r="C97" s="76"/>
      <c r="D97" s="78" t="s">
        <v>1027</v>
      </c>
      <c r="E97" s="78" t="s">
        <v>366</v>
      </c>
      <c r="F97" s="79" t="n">
        <v>34.5</v>
      </c>
      <c r="G97" s="72" t="n">
        <v>13.8</v>
      </c>
      <c r="H97" s="72" t="n">
        <v>6</v>
      </c>
      <c r="I97" s="73" t="s">
        <v>923</v>
      </c>
      <c r="J97" s="72" t="n">
        <v>7.3</v>
      </c>
      <c r="K97" s="72" t="n">
        <v>7.3</v>
      </c>
      <c r="L97" s="72" t="n">
        <v>3</v>
      </c>
      <c r="M97" s="72" t="n">
        <v>5</v>
      </c>
      <c r="N97" s="72" t="n">
        <v>1</v>
      </c>
      <c r="O97" s="72" t="n">
        <v>2.5</v>
      </c>
      <c r="P97" s="72" t="n">
        <v>100</v>
      </c>
      <c r="Q97" s="72" t="n">
        <v>30</v>
      </c>
      <c r="R97" s="73" t="s">
        <v>355</v>
      </c>
      <c r="S97" s="74" t="n">
        <v>46022</v>
      </c>
      <c r="T97" s="73" t="s">
        <v>233</v>
      </c>
      <c r="U97" s="73" t="n">
        <v>117.6652</v>
      </c>
      <c r="V97" s="73"/>
      <c r="W97" s="73"/>
      <c r="X97" s="73"/>
      <c r="Y97" s="66" t="s">
        <v>211</v>
      </c>
      <c r="Z97" s="66" t="s">
        <v>47</v>
      </c>
      <c r="AA97" s="75" t="s">
        <v>967</v>
      </c>
    </row>
    <row r="98" customFormat="false" ht="15.75" hidden="false" customHeight="false" outlineLevel="0" collapsed="false">
      <c r="C98" s="76"/>
      <c r="D98" s="78" t="s">
        <v>1028</v>
      </c>
      <c r="E98" s="78" t="s">
        <v>1029</v>
      </c>
      <c r="F98" s="79" t="n">
        <v>115</v>
      </c>
      <c r="G98" s="72" t="n">
        <v>13.8</v>
      </c>
      <c r="H98" s="72" t="n">
        <v>40</v>
      </c>
      <c r="I98" s="73" t="s">
        <v>923</v>
      </c>
      <c r="J98" s="72" t="n">
        <v>8.3</v>
      </c>
      <c r="K98" s="72" t="n">
        <v>9.3</v>
      </c>
      <c r="L98" s="72" t="n">
        <v>9</v>
      </c>
      <c r="M98" s="72" t="n">
        <v>17</v>
      </c>
      <c r="N98" s="72" t="n">
        <v>1</v>
      </c>
      <c r="O98" s="72" t="n">
        <v>1.25</v>
      </c>
      <c r="P98" s="72" t="n">
        <v>130</v>
      </c>
      <c r="Q98" s="72" t="n">
        <v>30</v>
      </c>
      <c r="R98" s="73" t="s">
        <v>201</v>
      </c>
      <c r="S98" s="74"/>
      <c r="T98" s="73" t="s">
        <v>210</v>
      </c>
      <c r="U98" s="73" t="n">
        <v>93.561</v>
      </c>
      <c r="V98" s="73"/>
      <c r="W98" s="73"/>
      <c r="X98" s="73"/>
      <c r="Y98" s="66" t="s">
        <v>211</v>
      </c>
      <c r="Z98" s="66" t="s">
        <v>47</v>
      </c>
      <c r="AA98" s="75"/>
    </row>
    <row r="99" customFormat="false" ht="15.75" hidden="false" customHeight="false" outlineLevel="0" collapsed="false">
      <c r="C99" s="76"/>
      <c r="D99" s="78" t="s">
        <v>1030</v>
      </c>
      <c r="E99" s="78" t="s">
        <v>1029</v>
      </c>
      <c r="F99" s="79" t="n">
        <v>115</v>
      </c>
      <c r="G99" s="72" t="n">
        <v>13.8</v>
      </c>
      <c r="H99" s="72" t="n">
        <v>40</v>
      </c>
      <c r="I99" s="73" t="s">
        <v>923</v>
      </c>
      <c r="J99" s="72" t="n">
        <v>8.3</v>
      </c>
      <c r="K99" s="72" t="n">
        <v>9.2</v>
      </c>
      <c r="L99" s="72" t="n">
        <v>9</v>
      </c>
      <c r="M99" s="72" t="n">
        <v>17</v>
      </c>
      <c r="N99" s="72" t="n">
        <v>1</v>
      </c>
      <c r="O99" s="72" t="n">
        <v>1.25</v>
      </c>
      <c r="P99" s="72" t="n">
        <v>130</v>
      </c>
      <c r="Q99" s="72" t="n">
        <v>30</v>
      </c>
      <c r="R99" s="73" t="s">
        <v>201</v>
      </c>
      <c r="S99" s="74"/>
      <c r="T99" s="73" t="s">
        <v>210</v>
      </c>
      <c r="U99" s="73" t="s">
        <v>1031</v>
      </c>
      <c r="V99" s="73"/>
      <c r="W99" s="73"/>
      <c r="X99" s="73"/>
      <c r="Y99" s="66" t="s">
        <v>211</v>
      </c>
      <c r="Z99" s="66" t="s">
        <v>47</v>
      </c>
      <c r="AA99" s="75"/>
    </row>
    <row r="100" customFormat="false" ht="15.75" hidden="false" customHeight="false" outlineLevel="0" collapsed="false">
      <c r="C100" s="76"/>
      <c r="D100" s="78" t="s">
        <v>1032</v>
      </c>
      <c r="E100" s="78" t="s">
        <v>1029</v>
      </c>
      <c r="F100" s="79" t="n">
        <v>115</v>
      </c>
      <c r="G100" s="72" t="n">
        <v>13.8</v>
      </c>
      <c r="H100" s="72" t="n">
        <v>40</v>
      </c>
      <c r="I100" s="73" t="s">
        <v>923</v>
      </c>
      <c r="J100" s="72" t="n">
        <v>8.3</v>
      </c>
      <c r="K100" s="72" t="n">
        <v>9.2</v>
      </c>
      <c r="L100" s="72" t="n">
        <v>9</v>
      </c>
      <c r="M100" s="72" t="n">
        <v>17</v>
      </c>
      <c r="N100" s="72" t="n">
        <v>1</v>
      </c>
      <c r="O100" s="72" t="n">
        <v>1.25</v>
      </c>
      <c r="P100" s="72" t="n">
        <v>130</v>
      </c>
      <c r="Q100" s="72" t="n">
        <v>0</v>
      </c>
      <c r="R100" s="73" t="s">
        <v>201</v>
      </c>
      <c r="S100" s="74"/>
      <c r="T100" s="73" t="s">
        <v>210</v>
      </c>
      <c r="U100" s="73" t="s">
        <v>1033</v>
      </c>
      <c r="V100" s="73"/>
      <c r="W100" s="73"/>
      <c r="X100" s="73"/>
      <c r="Y100" s="66" t="s">
        <v>211</v>
      </c>
      <c r="Z100" s="66" t="s">
        <v>47</v>
      </c>
      <c r="AA100" s="75"/>
    </row>
    <row r="101" customFormat="false" ht="15.75" hidden="false" customHeight="false" outlineLevel="0" collapsed="false">
      <c r="C101" s="76"/>
      <c r="D101" s="78" t="s">
        <v>1034</v>
      </c>
      <c r="E101" s="78" t="s">
        <v>820</v>
      </c>
      <c r="F101" s="79" t="n">
        <v>33</v>
      </c>
      <c r="G101" s="72" t="n">
        <v>13.8</v>
      </c>
      <c r="H101" s="72" t="n">
        <v>12.5</v>
      </c>
      <c r="I101" s="73" t="s">
        <v>940</v>
      </c>
      <c r="J101" s="72" t="n">
        <v>7.5</v>
      </c>
      <c r="K101" s="72" t="n">
        <v>7.5</v>
      </c>
      <c r="L101" s="72" t="n">
        <v>3</v>
      </c>
      <c r="M101" s="72" t="n">
        <v>5</v>
      </c>
      <c r="N101" s="72" t="n">
        <v>1</v>
      </c>
      <c r="O101" s="72" t="n">
        <v>2.5</v>
      </c>
      <c r="P101" s="72" t="n">
        <v>100</v>
      </c>
      <c r="Q101" s="72" t="n">
        <v>30</v>
      </c>
      <c r="R101" s="73" t="s">
        <v>355</v>
      </c>
      <c r="S101" s="74" t="n">
        <v>46752</v>
      </c>
      <c r="T101" s="73" t="s">
        <v>233</v>
      </c>
      <c r="U101" s="73" t="n">
        <v>117.6652</v>
      </c>
      <c r="V101" s="73"/>
      <c r="W101" s="73"/>
      <c r="X101" s="73"/>
      <c r="Y101" s="66" t="s">
        <v>211</v>
      </c>
      <c r="Z101" s="66" t="s">
        <v>47</v>
      </c>
      <c r="AA101" s="75" t="s">
        <v>936</v>
      </c>
    </row>
    <row r="102" customFormat="false" ht="15.75" hidden="false" customHeight="false" outlineLevel="0" collapsed="false">
      <c r="C102" s="76"/>
      <c r="D102" s="78" t="s">
        <v>1035</v>
      </c>
      <c r="E102" s="78" t="s">
        <v>732</v>
      </c>
      <c r="F102" s="79" t="n">
        <v>34.5</v>
      </c>
      <c r="G102" s="72" t="n">
        <v>13.8</v>
      </c>
      <c r="H102" s="72" t="n">
        <v>3</v>
      </c>
      <c r="I102" s="73" t="s">
        <v>923</v>
      </c>
      <c r="J102" s="72" t="n">
        <v>5.5</v>
      </c>
      <c r="K102" s="72" t="n">
        <v>5.5</v>
      </c>
      <c r="L102" s="72" t="n">
        <v>3</v>
      </c>
      <c r="M102" s="72" t="n">
        <v>5</v>
      </c>
      <c r="N102" s="72" t="n">
        <v>1</v>
      </c>
      <c r="O102" s="72" t="n">
        <v>2.5</v>
      </c>
      <c r="P102" s="72" t="n">
        <v>100</v>
      </c>
      <c r="Q102" s="72" t="n">
        <v>30</v>
      </c>
      <c r="R102" s="73" t="s">
        <v>355</v>
      </c>
      <c r="S102" s="74" t="n">
        <v>46752</v>
      </c>
      <c r="T102" s="73" t="s">
        <v>233</v>
      </c>
      <c r="U102" s="73" t="n">
        <v>117.6652</v>
      </c>
      <c r="V102" s="73"/>
      <c r="W102" s="73"/>
      <c r="X102" s="73"/>
      <c r="Y102" s="66" t="s">
        <v>211</v>
      </c>
      <c r="Z102" s="66" t="s">
        <v>47</v>
      </c>
      <c r="AA102" s="75" t="s">
        <v>936</v>
      </c>
    </row>
    <row r="103" customFormat="false" ht="15.75" hidden="false" customHeight="false" outlineLevel="0" collapsed="false">
      <c r="C103" s="76"/>
      <c r="D103" s="78" t="s">
        <v>1036</v>
      </c>
      <c r="E103" s="78" t="s">
        <v>818</v>
      </c>
      <c r="F103" s="79" t="n">
        <v>33</v>
      </c>
      <c r="G103" s="72" t="n">
        <v>13.8</v>
      </c>
      <c r="H103" s="72" t="n">
        <v>12.5</v>
      </c>
      <c r="I103" s="73" t="s">
        <v>940</v>
      </c>
      <c r="J103" s="72" t="n">
        <v>7.5</v>
      </c>
      <c r="K103" s="72" t="n">
        <v>7.5</v>
      </c>
      <c r="L103" s="72" t="n">
        <v>3</v>
      </c>
      <c r="M103" s="72" t="n">
        <v>5</v>
      </c>
      <c r="N103" s="72" t="n">
        <v>1</v>
      </c>
      <c r="O103" s="72" t="n">
        <v>2.5</v>
      </c>
      <c r="P103" s="72" t="n">
        <v>100</v>
      </c>
      <c r="Q103" s="72" t="n">
        <v>30</v>
      </c>
      <c r="R103" s="73" t="s">
        <v>355</v>
      </c>
      <c r="S103" s="74" t="n">
        <v>46752</v>
      </c>
      <c r="T103" s="73" t="s">
        <v>233</v>
      </c>
      <c r="U103" s="73" t="n">
        <v>117.6652</v>
      </c>
      <c r="V103" s="73"/>
      <c r="W103" s="73"/>
      <c r="X103" s="73"/>
      <c r="Y103" s="66" t="s">
        <v>211</v>
      </c>
      <c r="Z103" s="66" t="s">
        <v>47</v>
      </c>
      <c r="AA103" s="75" t="s">
        <v>936</v>
      </c>
    </row>
    <row r="104" customFormat="false" ht="15.75" hidden="false" customHeight="false" outlineLevel="0" collapsed="false">
      <c r="C104" s="76"/>
      <c r="D104" s="78" t="s">
        <v>1037</v>
      </c>
      <c r="E104" s="78" t="s">
        <v>675</v>
      </c>
      <c r="F104" s="79" t="n">
        <v>34.5</v>
      </c>
      <c r="G104" s="72" t="n">
        <v>13.8</v>
      </c>
      <c r="H104" s="72" t="n">
        <v>1.1</v>
      </c>
      <c r="I104" s="73" t="s">
        <v>923</v>
      </c>
      <c r="J104" s="72" t="n">
        <v>4.7</v>
      </c>
      <c r="K104" s="72" t="n">
        <v>4.7</v>
      </c>
      <c r="L104" s="72" t="n">
        <v>3</v>
      </c>
      <c r="M104" s="72" t="n">
        <v>5</v>
      </c>
      <c r="N104" s="72" t="n">
        <v>1</v>
      </c>
      <c r="O104" s="72" t="n">
        <v>2.5</v>
      </c>
      <c r="P104" s="72" t="n">
        <v>0</v>
      </c>
      <c r="Q104" s="72" t="n">
        <v>30</v>
      </c>
      <c r="R104" s="73" t="s">
        <v>201</v>
      </c>
      <c r="S104" s="74"/>
      <c r="T104" s="73" t="s">
        <v>233</v>
      </c>
      <c r="U104" s="73" t="n">
        <v>29.6648</v>
      </c>
      <c r="V104" s="73"/>
      <c r="W104" s="73"/>
      <c r="X104" s="73"/>
      <c r="Y104" s="66" t="s">
        <v>211</v>
      </c>
      <c r="Z104" s="66" t="s">
        <v>47</v>
      </c>
      <c r="AA104" s="75"/>
    </row>
    <row r="105" customFormat="false" ht="15.75" hidden="false" customHeight="false" outlineLevel="0" collapsed="false">
      <c r="C105" s="76"/>
      <c r="D105" s="78" t="s">
        <v>934</v>
      </c>
      <c r="E105" s="78" t="s">
        <v>935</v>
      </c>
      <c r="F105" s="79" t="n">
        <v>34.5</v>
      </c>
      <c r="G105" s="72" t="n">
        <v>13.8</v>
      </c>
      <c r="H105" s="72" t="n">
        <v>12.5</v>
      </c>
      <c r="I105" s="73" t="s">
        <v>923</v>
      </c>
      <c r="J105" s="72" t="n">
        <v>8.6</v>
      </c>
      <c r="K105" s="72" t="n">
        <v>8.6</v>
      </c>
      <c r="L105" s="72" t="n">
        <v>3</v>
      </c>
      <c r="M105" s="72" t="n">
        <v>5</v>
      </c>
      <c r="N105" s="72" t="n">
        <v>1</v>
      </c>
      <c r="O105" s="72" t="n">
        <v>2.5</v>
      </c>
      <c r="P105" s="72" t="n">
        <v>130</v>
      </c>
      <c r="Q105" s="72" t="n">
        <v>30</v>
      </c>
      <c r="R105" s="73" t="s">
        <v>201</v>
      </c>
      <c r="S105" s="74"/>
      <c r="T105" s="73" t="s">
        <v>233</v>
      </c>
      <c r="U105" s="73" t="n">
        <v>117.6652</v>
      </c>
      <c r="V105" s="73"/>
      <c r="W105" s="73"/>
      <c r="X105" s="73"/>
      <c r="Y105" s="66" t="s">
        <v>211</v>
      </c>
      <c r="Z105" s="66" t="s">
        <v>47</v>
      </c>
      <c r="AA105" s="75" t="s">
        <v>1038</v>
      </c>
    </row>
    <row r="106" customFormat="false" ht="15.75" hidden="false" customHeight="false" outlineLevel="0" collapsed="false">
      <c r="C106" s="76"/>
      <c r="D106" s="78" t="s">
        <v>1039</v>
      </c>
      <c r="E106" s="78" t="s">
        <v>566</v>
      </c>
      <c r="F106" s="79" t="n">
        <v>34.5</v>
      </c>
      <c r="G106" s="72" t="n">
        <v>13.7</v>
      </c>
      <c r="H106" s="72" t="n">
        <v>2</v>
      </c>
      <c r="I106" s="73" t="s">
        <v>944</v>
      </c>
      <c r="J106" s="72" t="n">
        <v>5.9</v>
      </c>
      <c r="K106" s="72" t="n">
        <v>5.9</v>
      </c>
      <c r="L106" s="72" t="n">
        <v>3</v>
      </c>
      <c r="M106" s="72" t="n">
        <v>5</v>
      </c>
      <c r="N106" s="72" t="n">
        <v>1</v>
      </c>
      <c r="O106" s="72" t="n">
        <v>2.5</v>
      </c>
      <c r="P106" s="72" t="n">
        <v>128.4</v>
      </c>
      <c r="Q106" s="72" t="n">
        <v>30</v>
      </c>
      <c r="R106" s="73" t="s">
        <v>201</v>
      </c>
      <c r="S106" s="74"/>
      <c r="T106" s="73" t="s">
        <v>233</v>
      </c>
      <c r="U106" s="73" t="n">
        <v>20.4016</v>
      </c>
      <c r="V106" s="73"/>
      <c r="W106" s="73"/>
      <c r="X106" s="73"/>
      <c r="Y106" s="66" t="s">
        <v>211</v>
      </c>
      <c r="Z106" s="66" t="s">
        <v>47</v>
      </c>
      <c r="AA106" s="75"/>
    </row>
    <row r="107" customFormat="false" ht="15.75" hidden="false" customHeight="false" outlineLevel="0" collapsed="false">
      <c r="C107" s="76"/>
      <c r="D107" s="78" t="s">
        <v>966</v>
      </c>
      <c r="E107" s="78" t="s">
        <v>284</v>
      </c>
      <c r="F107" s="79" t="n">
        <v>34.5</v>
      </c>
      <c r="G107" s="72" t="n">
        <v>13.8</v>
      </c>
      <c r="H107" s="72" t="n">
        <v>12.5</v>
      </c>
      <c r="I107" s="73" t="s">
        <v>923</v>
      </c>
      <c r="J107" s="72" t="n">
        <v>8.9</v>
      </c>
      <c r="K107" s="72" t="n">
        <v>8.9</v>
      </c>
      <c r="L107" s="72" t="n">
        <v>3</v>
      </c>
      <c r="M107" s="72" t="n">
        <v>5</v>
      </c>
      <c r="N107" s="72" t="n">
        <v>1</v>
      </c>
      <c r="O107" s="72" t="n">
        <v>2.5</v>
      </c>
      <c r="P107" s="72" t="n">
        <v>131</v>
      </c>
      <c r="Q107" s="72" t="n">
        <v>30</v>
      </c>
      <c r="R107" s="73" t="s">
        <v>201</v>
      </c>
      <c r="S107" s="74"/>
      <c r="T107" s="73" t="s">
        <v>233</v>
      </c>
      <c r="U107" s="73" t="n">
        <v>233.4552</v>
      </c>
      <c r="V107" s="73"/>
      <c r="W107" s="73"/>
      <c r="X107" s="73"/>
      <c r="Y107" s="66" t="s">
        <v>211</v>
      </c>
      <c r="Z107" s="66" t="s">
        <v>47</v>
      </c>
      <c r="AA107" s="75" t="s">
        <v>1040</v>
      </c>
    </row>
    <row r="108" customFormat="false" ht="15.75" hidden="false" customHeight="false" outlineLevel="0" collapsed="false">
      <c r="C108" s="76"/>
      <c r="D108" s="78" t="s">
        <v>972</v>
      </c>
      <c r="E108" s="78" t="s">
        <v>579</v>
      </c>
      <c r="F108" s="79" t="n">
        <v>34.5</v>
      </c>
      <c r="G108" s="72" t="n">
        <v>13.8</v>
      </c>
      <c r="H108" s="72" t="n">
        <v>5</v>
      </c>
      <c r="I108" s="73" t="s">
        <v>940</v>
      </c>
      <c r="J108" s="72" t="n">
        <v>6.5</v>
      </c>
      <c r="K108" s="72" t="n">
        <v>6.5</v>
      </c>
      <c r="L108" s="72" t="n">
        <v>3</v>
      </c>
      <c r="M108" s="72" t="n">
        <v>5</v>
      </c>
      <c r="N108" s="72" t="n">
        <v>1</v>
      </c>
      <c r="O108" s="72" t="n">
        <v>2.5</v>
      </c>
      <c r="P108" s="72" t="n">
        <v>129</v>
      </c>
      <c r="Q108" s="72" t="n">
        <v>30</v>
      </c>
      <c r="R108" s="73" t="s">
        <v>201</v>
      </c>
      <c r="S108" s="74"/>
      <c r="T108" s="73" t="s">
        <v>233</v>
      </c>
      <c r="U108" s="73" t="n">
        <v>48.1912</v>
      </c>
      <c r="V108" s="73"/>
      <c r="W108" s="73"/>
      <c r="X108" s="73"/>
      <c r="Y108" s="66" t="s">
        <v>211</v>
      </c>
      <c r="Z108" s="66" t="s">
        <v>47</v>
      </c>
      <c r="AA108" s="75" t="s">
        <v>1041</v>
      </c>
    </row>
    <row r="109" customFormat="false" ht="15.75" hidden="false" customHeight="false" outlineLevel="0" collapsed="false">
      <c r="C109" s="76"/>
      <c r="D109" s="78" t="s">
        <v>975</v>
      </c>
      <c r="E109" s="78" t="s">
        <v>284</v>
      </c>
      <c r="F109" s="79" t="n">
        <v>34.5</v>
      </c>
      <c r="G109" s="72" t="n">
        <v>13.8</v>
      </c>
      <c r="H109" s="72" t="n">
        <v>12.5</v>
      </c>
      <c r="I109" s="73" t="s">
        <v>923</v>
      </c>
      <c r="J109" s="72" t="n">
        <v>8.9</v>
      </c>
      <c r="K109" s="72" t="n">
        <v>8.9</v>
      </c>
      <c r="L109" s="72" t="n">
        <v>3</v>
      </c>
      <c r="M109" s="72" t="n">
        <v>5</v>
      </c>
      <c r="N109" s="72" t="n">
        <v>1</v>
      </c>
      <c r="O109" s="72" t="n">
        <v>2.5</v>
      </c>
      <c r="P109" s="72" t="n">
        <v>131</v>
      </c>
      <c r="Q109" s="72" t="n">
        <v>30</v>
      </c>
      <c r="R109" s="73" t="s">
        <v>201</v>
      </c>
      <c r="S109" s="74"/>
      <c r="T109" s="73" t="s">
        <v>233</v>
      </c>
      <c r="U109" s="73" t="n">
        <v>117.6652</v>
      </c>
      <c r="V109" s="73"/>
      <c r="W109" s="73"/>
      <c r="X109" s="73"/>
      <c r="Y109" s="66" t="s">
        <v>211</v>
      </c>
      <c r="Z109" s="66" t="s">
        <v>47</v>
      </c>
      <c r="AA109" s="75" t="s">
        <v>1042</v>
      </c>
    </row>
    <row r="110" customFormat="false" ht="15.75" hidden="false" customHeight="false" outlineLevel="0" collapsed="false">
      <c r="C110" s="76"/>
      <c r="D110" s="78" t="s">
        <v>988</v>
      </c>
      <c r="E110" s="78" t="s">
        <v>663</v>
      </c>
      <c r="F110" s="79" t="n">
        <v>34.5</v>
      </c>
      <c r="G110" s="72" t="n">
        <v>13.8</v>
      </c>
      <c r="H110" s="72" t="n">
        <v>2</v>
      </c>
      <c r="I110" s="73" t="s">
        <v>923</v>
      </c>
      <c r="J110" s="72" t="n">
        <v>5.8</v>
      </c>
      <c r="K110" s="72" t="n">
        <v>5.8</v>
      </c>
      <c r="L110" s="72" t="n">
        <v>3</v>
      </c>
      <c r="M110" s="72" t="n">
        <v>5</v>
      </c>
      <c r="N110" s="72" t="n">
        <v>1</v>
      </c>
      <c r="O110" s="72" t="n">
        <v>2.5</v>
      </c>
      <c r="P110" s="72" t="n">
        <v>131</v>
      </c>
      <c r="Q110" s="72" t="n">
        <v>30</v>
      </c>
      <c r="R110" s="73" t="s">
        <v>201</v>
      </c>
      <c r="S110" s="74"/>
      <c r="T110" s="73" t="s">
        <v>233</v>
      </c>
      <c r="U110" s="73" t="n">
        <v>20.4016</v>
      </c>
      <c r="V110" s="73"/>
      <c r="W110" s="73"/>
      <c r="X110" s="73"/>
      <c r="Y110" s="66" t="s">
        <v>211</v>
      </c>
      <c r="Z110" s="66" t="s">
        <v>47</v>
      </c>
      <c r="AA110" s="75" t="s">
        <v>1043</v>
      </c>
    </row>
    <row r="111" customFormat="false" ht="15.75" hidden="false" customHeight="false" outlineLevel="0" collapsed="false">
      <c r="C111" s="76"/>
      <c r="D111" s="78" t="s">
        <v>1044</v>
      </c>
      <c r="E111" s="78" t="s">
        <v>316</v>
      </c>
      <c r="F111" s="79" t="n">
        <v>33</v>
      </c>
      <c r="G111" s="72" t="n">
        <v>13.8</v>
      </c>
      <c r="H111" s="72" t="n">
        <v>12.5</v>
      </c>
      <c r="I111" s="73" t="s">
        <v>940</v>
      </c>
      <c r="J111" s="72" t="n">
        <v>7.5</v>
      </c>
      <c r="K111" s="72" t="n">
        <v>7.5</v>
      </c>
      <c r="L111" s="72" t="n">
        <v>3</v>
      </c>
      <c r="M111" s="72" t="n">
        <v>5</v>
      </c>
      <c r="N111" s="72" t="n">
        <v>1</v>
      </c>
      <c r="O111" s="72" t="n">
        <v>2.5</v>
      </c>
      <c r="P111" s="72" t="n">
        <v>133</v>
      </c>
      <c r="Q111" s="72" t="n">
        <v>30</v>
      </c>
      <c r="R111" s="73" t="s">
        <v>201</v>
      </c>
      <c r="S111" s="74"/>
      <c r="T111" s="73" t="s">
        <v>233</v>
      </c>
      <c r="U111" s="73" t="n">
        <v>117.6652</v>
      </c>
      <c r="V111" s="73"/>
      <c r="W111" s="73"/>
      <c r="X111" s="73"/>
      <c r="Y111" s="66" t="s">
        <v>211</v>
      </c>
      <c r="Z111" s="66" t="s">
        <v>47</v>
      </c>
      <c r="AA111" s="75"/>
    </row>
    <row r="112" customFormat="false" ht="15" hidden="false" customHeight="false" outlineLevel="0" collapsed="false">
      <c r="C112" s="76"/>
      <c r="D112" s="78" t="s">
        <v>1010</v>
      </c>
      <c r="E112" s="78" t="s">
        <v>674</v>
      </c>
      <c r="F112" s="79" t="n">
        <v>34.5</v>
      </c>
      <c r="G112" s="72" t="n">
        <v>13.8</v>
      </c>
      <c r="H112" s="72" t="n">
        <v>1</v>
      </c>
      <c r="I112" s="73" t="s">
        <v>923</v>
      </c>
      <c r="J112" s="72" t="n">
        <v>5.8</v>
      </c>
      <c r="K112" s="72" t="n">
        <v>5.8</v>
      </c>
      <c r="L112" s="72" t="n">
        <v>3</v>
      </c>
      <c r="M112" s="72" t="n">
        <v>5</v>
      </c>
      <c r="N112" s="72" t="n">
        <v>1</v>
      </c>
      <c r="O112" s="72" t="n">
        <v>2.5</v>
      </c>
      <c r="P112" s="72" t="n">
        <v>131</v>
      </c>
      <c r="Q112" s="72" t="n">
        <v>30</v>
      </c>
      <c r="R112" s="73" t="s">
        <v>201</v>
      </c>
      <c r="S112" s="74"/>
      <c r="T112" s="73" t="s">
        <v>233</v>
      </c>
      <c r="U112" s="73" t="n">
        <v>29.6648</v>
      </c>
      <c r="V112" s="73"/>
      <c r="W112" s="73"/>
      <c r="X112" s="73"/>
      <c r="Y112" s="66" t="s">
        <v>211</v>
      </c>
      <c r="Z112" s="66" t="s">
        <v>47</v>
      </c>
      <c r="AA112" s="75" t="s">
        <v>1045</v>
      </c>
    </row>
  </sheetData>
  <mergeCells count="25">
    <mergeCell ref="C3:AA3"/>
    <mergeCell ref="C4:C5"/>
    <mergeCell ref="D4:D5"/>
    <mergeCell ref="E4:E5"/>
    <mergeCell ref="F4:F5"/>
    <mergeCell ref="G4:G5"/>
    <mergeCell ref="H4:H5"/>
    <mergeCell ref="I4:I5"/>
    <mergeCell ref="J4:J5"/>
    <mergeCell ref="K4:K5"/>
    <mergeCell ref="L4:L5"/>
    <mergeCell ref="M4:M5"/>
    <mergeCell ref="N4:N5"/>
    <mergeCell ref="O4:O5"/>
    <mergeCell ref="P4:Q4"/>
    <mergeCell ref="R4:R5"/>
    <mergeCell ref="S4:S5"/>
    <mergeCell ref="T4:T5"/>
    <mergeCell ref="U4:U5"/>
    <mergeCell ref="V4:V5"/>
    <mergeCell ref="W4:W5"/>
    <mergeCell ref="X4:X5"/>
    <mergeCell ref="Y4:Y5"/>
    <mergeCell ref="Z4:Z5"/>
    <mergeCell ref="AA4:AA5"/>
  </mergeCells>
  <dataValidations count="5">
    <dataValidation allowBlank="true" errorStyle="stop" operator="between" showDropDown="false" showErrorMessage="true" showInputMessage="true" sqref="F6:H1112 J6:Q1112 AA6:AA1112" type="decimal">
      <formula1>-10000000</formula1>
      <formula2>10000000</formula2>
    </dataValidation>
    <dataValidation allowBlank="true" errorStyle="stop" operator="greaterThan" showDropDown="false" showErrorMessage="true" showInputMessage="true" sqref="S6:S1112" type="date">
      <formula1>1</formula1>
      <formula2>0</formula2>
    </dataValidation>
    <dataValidation allowBlank="true" errorStyle="stop" operator="between" showDropDown="false" showErrorMessage="true" showInputMessage="true" sqref="R6:R1112" type="list">
      <formula1>'Listas Desplegables'!$B$25:$B$26</formula1>
      <formula2>0</formula2>
    </dataValidation>
    <dataValidation allowBlank="true" errorStyle="stop" operator="between" showDropDown="false" showErrorMessage="true" showInputMessage="true" sqref="T6:T1112" type="list">
      <formula1>'Listas Desplegables'!$B$28:$B$30</formula1>
      <formula2>0</formula2>
    </dataValidation>
    <dataValidation allowBlank="true" errorStyle="stop" operator="between" showDropDown="false" showErrorMessage="true" showInputMessage="true" sqref="Z6:Z112" type="list">
      <formula1>'Listas Desplegables'!$B$90:$B$93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2:Q192"/>
  <sheetViews>
    <sheetView showFormulas="false" showGridLines="false" showRowColHeaders="true" showZeros="true" rightToLeft="false" tabSelected="false" showOutlineSymbols="true" defaultGridColor="true" view="normal" topLeftCell="A101" colorId="64" zoomScale="100" zoomScaleNormal="100" zoomScalePageLayoutView="100" workbookViewId="0">
      <selection pane="topLeft" activeCell="D105" activeCellId="0" sqref="D105"/>
    </sheetView>
  </sheetViews>
  <sheetFormatPr defaultColWidth="11.57421875" defaultRowHeight="15" zeroHeight="false" outlineLevelRow="0" outlineLevelCol="0"/>
  <cols>
    <col collapsed="false" customWidth="true" hidden="false" outlineLevel="0" max="2" min="1" style="52" width="3"/>
    <col collapsed="false" customWidth="true" hidden="false" outlineLevel="0" max="3" min="3" style="53" width="6.7"/>
    <col collapsed="false" customWidth="true" hidden="false" outlineLevel="0" max="4" min="4" style="1" width="33"/>
    <col collapsed="false" customWidth="true" hidden="false" outlineLevel="0" max="5" min="5" style="1" width="14.57"/>
    <col collapsed="false" customWidth="true" hidden="false" outlineLevel="0" max="8" min="6" style="1" width="12.72"/>
    <col collapsed="false" customWidth="true" hidden="false" outlineLevel="0" max="9" min="9" style="1" width="30.43"/>
    <col collapsed="false" customWidth="true" hidden="false" outlineLevel="0" max="13" min="13" style="1" width="24.57"/>
    <col collapsed="false" customWidth="true" hidden="false" outlineLevel="0" max="14" min="14" style="1" width="20.43"/>
    <col collapsed="false" customWidth="true" hidden="false" outlineLevel="0" max="15" min="15" style="1" width="19.43"/>
    <col collapsed="false" customWidth="true" hidden="false" outlineLevel="0" max="16" min="16" style="1" width="37.71"/>
    <col collapsed="false" customWidth="true" hidden="false" outlineLevel="0" max="17" min="17" style="1" width="68.72"/>
  </cols>
  <sheetData>
    <row r="2" customFormat="false" ht="15.75" hidden="false" customHeight="false" outlineLevel="0" collapsed="false"/>
    <row r="3" s="57" customFormat="true" ht="15.75" hidden="false" customHeight="false" outlineLevel="0" collapsed="false">
      <c r="A3" s="55"/>
      <c r="B3" s="55"/>
      <c r="C3" s="56" t="s">
        <v>1046</v>
      </c>
      <c r="D3" s="56"/>
      <c r="E3" s="56"/>
      <c r="F3" s="56"/>
      <c r="G3" s="56"/>
      <c r="H3" s="56"/>
      <c r="I3" s="56"/>
      <c r="J3" s="56"/>
      <c r="K3" s="56"/>
      <c r="L3" s="56"/>
      <c r="M3" s="56"/>
      <c r="N3" s="56"/>
      <c r="O3" s="56"/>
      <c r="P3" s="56"/>
      <c r="Q3" s="56"/>
    </row>
    <row r="4" s="61" customFormat="true" ht="12" hidden="false" customHeight="true" outlineLevel="0" collapsed="false">
      <c r="A4" s="58"/>
      <c r="B4" s="58"/>
      <c r="C4" s="59" t="s">
        <v>194</v>
      </c>
      <c r="D4" s="60" t="str">
        <f aca="false">'Manual de Uso'!C110</f>
        <v>Nombre</v>
      </c>
      <c r="E4" s="60" t="str">
        <f aca="false">'Manual de Uso'!C111</f>
        <v>Agente Administrador</v>
      </c>
      <c r="F4" s="60" t="str">
        <f aca="false">'Manual de Uso'!C112</f>
        <v>Nivel de tensión [kV]</v>
      </c>
      <c r="G4" s="89" t="str">
        <f aca="false">'Manual de Uso'!C113</f>
        <v>Capacidad de interrupción [kA]</v>
      </c>
      <c r="H4" s="60" t="str">
        <f aca="false">'Manual de Uso'!C114</f>
        <v>Elemento limitante</v>
      </c>
      <c r="I4" s="60" t="str">
        <f aca="false">'Manual de Uso'!C115</f>
        <v>Configuración</v>
      </c>
      <c r="J4" s="60" t="str">
        <f aca="false">'Manual de Uso'!C116</f>
        <v>Tipo</v>
      </c>
      <c r="K4" s="60" t="str">
        <f aca="false">'Manual de Uso'!C117</f>
        <v>En Operación</v>
      </c>
      <c r="L4" s="60" t="str">
        <f aca="false">'Manual de Uso'!C118</f>
        <v>FPO</v>
      </c>
      <c r="M4" s="60" t="str">
        <f aca="false">'Manual de Uso'!C119</f>
        <v>Departamento</v>
      </c>
      <c r="N4" s="60" t="str">
        <f aca="false">'Manual de Uso'!C120</f>
        <v>Municipio</v>
      </c>
      <c r="O4" s="60" t="str">
        <f aca="false">'Manual de Uso'!C121</f>
        <v>Operador</v>
      </c>
      <c r="P4" s="60" t="str">
        <f aca="false">'Manual de Uso'!C122</f>
        <v>Tipo activo Uso/Conexión</v>
      </c>
      <c r="Q4" s="60" t="str">
        <f aca="false">'Manual de Uso'!C123</f>
        <v>Observaciones transportador</v>
      </c>
    </row>
    <row r="5" s="61" customFormat="true" ht="24" hidden="false" customHeight="true" outlineLevel="0" collapsed="false">
      <c r="A5" s="58"/>
      <c r="B5" s="58"/>
      <c r="C5" s="59"/>
      <c r="D5" s="60"/>
      <c r="E5" s="60"/>
      <c r="F5" s="60"/>
      <c r="G5" s="89"/>
      <c r="H5" s="60"/>
      <c r="I5" s="60"/>
      <c r="J5" s="60"/>
      <c r="K5" s="60"/>
      <c r="L5" s="60"/>
      <c r="M5" s="60"/>
      <c r="N5" s="60"/>
      <c r="O5" s="60"/>
      <c r="P5" s="60"/>
      <c r="Q5" s="60"/>
    </row>
    <row r="6" customFormat="false" ht="30.75" hidden="false" customHeight="false" outlineLevel="0" collapsed="false">
      <c r="A6" s="52" t="e">
        <f aca="false">VLOOKUP(E6,'[1]Listas Desplegables'!$H$3:$J$7,2,FALSE())</f>
        <v>#N/A</v>
      </c>
      <c r="B6" s="52" t="e">
        <f aca="false">VLOOKUP(E6,'[1]Listas Desplegables'!$H$3:$J$7,3,FALSE())</f>
        <v>#N/A</v>
      </c>
      <c r="C6" s="62" t="n">
        <v>1</v>
      </c>
      <c r="D6" s="63" t="s">
        <v>1047</v>
      </c>
      <c r="E6" s="63" t="s">
        <v>211</v>
      </c>
      <c r="F6" s="65" t="n">
        <v>230</v>
      </c>
      <c r="G6" s="70"/>
      <c r="H6" s="92" t="n">
        <v>25</v>
      </c>
      <c r="I6" s="65" t="s">
        <v>1048</v>
      </c>
      <c r="J6" s="66" t="s">
        <v>1049</v>
      </c>
      <c r="K6" s="66" t="s">
        <v>201</v>
      </c>
      <c r="L6" s="65"/>
      <c r="M6" s="66" t="s">
        <v>1050</v>
      </c>
      <c r="N6" s="66" t="s">
        <v>1051</v>
      </c>
      <c r="O6" s="66" t="s">
        <v>211</v>
      </c>
      <c r="P6" s="66" t="s">
        <v>47</v>
      </c>
      <c r="Q6" s="93" t="s">
        <v>1052</v>
      </c>
    </row>
    <row r="7" customFormat="false" ht="30.75" hidden="false" customHeight="false" outlineLevel="0" collapsed="false">
      <c r="A7" s="52" t="e">
        <f aca="false">VLOOKUP(E7,'[1]Listas Desplegables'!$H$3:$J$7,2,FALSE())</f>
        <v>#N/A</v>
      </c>
      <c r="B7" s="52" t="e">
        <f aca="false">VLOOKUP(E7,'[1]Listas Desplegables'!$H$3:$J$7,3,FALSE())</f>
        <v>#N/A</v>
      </c>
      <c r="C7" s="69" t="n">
        <v>2</v>
      </c>
      <c r="D7" s="70" t="s">
        <v>1053</v>
      </c>
      <c r="E7" s="70" t="s">
        <v>211</v>
      </c>
      <c r="F7" s="72" t="n">
        <v>115</v>
      </c>
      <c r="G7" s="70"/>
      <c r="H7" s="94" t="n">
        <v>20</v>
      </c>
      <c r="I7" s="72" t="s">
        <v>1048</v>
      </c>
      <c r="J7" s="73" t="s">
        <v>1049</v>
      </c>
      <c r="K7" s="73" t="s">
        <v>201</v>
      </c>
      <c r="L7" s="72"/>
      <c r="M7" s="73" t="s">
        <v>1050</v>
      </c>
      <c r="N7" s="73" t="s">
        <v>1051</v>
      </c>
      <c r="O7" s="66" t="s">
        <v>211</v>
      </c>
      <c r="P7" s="66" t="s">
        <v>47</v>
      </c>
      <c r="Q7" s="95" t="s">
        <v>1052</v>
      </c>
    </row>
    <row r="8" customFormat="false" ht="15.75" hidden="false" customHeight="false" outlineLevel="0" collapsed="false">
      <c r="A8" s="52" t="e">
        <f aca="false">VLOOKUP(E8,'[1]Listas Desplegables'!$H$3:$J$7,2,FALSE())</f>
        <v>#N/A</v>
      </c>
      <c r="B8" s="52" t="e">
        <f aca="false">VLOOKUP(E8,'[1]Listas Desplegables'!$H$3:$J$7,3,FALSE())</f>
        <v>#N/A</v>
      </c>
      <c r="C8" s="69" t="n">
        <v>3</v>
      </c>
      <c r="D8" s="70" t="s">
        <v>1054</v>
      </c>
      <c r="E8" s="70" t="s">
        <v>211</v>
      </c>
      <c r="F8" s="72" t="s">
        <v>1055</v>
      </c>
      <c r="G8" s="70"/>
      <c r="H8" s="94" t="n">
        <v>25</v>
      </c>
      <c r="I8" s="72" t="s">
        <v>1056</v>
      </c>
      <c r="J8" s="73" t="s">
        <v>1049</v>
      </c>
      <c r="K8" s="73" t="s">
        <v>201</v>
      </c>
      <c r="L8" s="72"/>
      <c r="M8" s="73" t="s">
        <v>1050</v>
      </c>
      <c r="N8" s="73" t="s">
        <v>1051</v>
      </c>
      <c r="O8" s="66" t="s">
        <v>211</v>
      </c>
      <c r="P8" s="66" t="s">
        <v>47</v>
      </c>
      <c r="Q8" s="95"/>
    </row>
    <row r="9" customFormat="false" ht="45.75" hidden="false" customHeight="false" outlineLevel="0" collapsed="false">
      <c r="A9" s="52" t="e">
        <f aca="false">VLOOKUP(E9,'[1]Listas Desplegables'!$H$3:$J$7,2,FALSE())</f>
        <v>#N/A</v>
      </c>
      <c r="B9" s="52" t="e">
        <f aca="false">VLOOKUP(E9,'[1]Listas Desplegables'!$H$3:$J$7,3,FALSE())</f>
        <v>#N/A</v>
      </c>
      <c r="C9" s="69" t="n">
        <v>4</v>
      </c>
      <c r="D9" s="70" t="s">
        <v>1057</v>
      </c>
      <c r="E9" s="70" t="s">
        <v>211</v>
      </c>
      <c r="F9" s="72" t="s">
        <v>1058</v>
      </c>
      <c r="G9" s="70"/>
      <c r="H9" s="94" t="n">
        <v>20</v>
      </c>
      <c r="I9" s="72" t="s">
        <v>1056</v>
      </c>
      <c r="J9" s="73" t="s">
        <v>1059</v>
      </c>
      <c r="K9" s="73" t="s">
        <v>201</v>
      </c>
      <c r="L9" s="72"/>
      <c r="M9" s="73" t="s">
        <v>1050</v>
      </c>
      <c r="N9" s="73" t="s">
        <v>1051</v>
      </c>
      <c r="O9" s="66" t="s">
        <v>211</v>
      </c>
      <c r="P9" s="66" t="s">
        <v>47</v>
      </c>
      <c r="Q9" s="95" t="s">
        <v>1060</v>
      </c>
    </row>
    <row r="10" customFormat="false" ht="30.75" hidden="false" customHeight="false" outlineLevel="0" collapsed="false">
      <c r="A10" s="52" t="e">
        <f aca="false">VLOOKUP(E10,'[1]Listas Desplegables'!$H$3:$J$7,2,FALSE())</f>
        <v>#N/A</v>
      </c>
      <c r="B10" s="52" t="e">
        <f aca="false">VLOOKUP(E10,'[1]Listas Desplegables'!$H$3:$J$7,3,FALSE())</f>
        <v>#N/A</v>
      </c>
      <c r="C10" s="69" t="n">
        <v>5</v>
      </c>
      <c r="D10" s="70" t="s">
        <v>1061</v>
      </c>
      <c r="E10" s="70" t="s">
        <v>211</v>
      </c>
      <c r="F10" s="72" t="n">
        <v>230</v>
      </c>
      <c r="G10" s="70"/>
      <c r="H10" s="94" t="n">
        <v>25</v>
      </c>
      <c r="I10" s="72" t="s">
        <v>1062</v>
      </c>
      <c r="J10" s="73" t="s">
        <v>1049</v>
      </c>
      <c r="K10" s="73" t="s">
        <v>201</v>
      </c>
      <c r="L10" s="72"/>
      <c r="M10" s="73" t="s">
        <v>1050</v>
      </c>
      <c r="N10" s="73" t="s">
        <v>1063</v>
      </c>
      <c r="O10" s="66" t="s">
        <v>211</v>
      </c>
      <c r="P10" s="66" t="s">
        <v>47</v>
      </c>
      <c r="Q10" s="95" t="s">
        <v>1052</v>
      </c>
    </row>
    <row r="11" customFormat="false" ht="30.75" hidden="false" customHeight="false" outlineLevel="0" collapsed="false">
      <c r="A11" s="52" t="e">
        <f aca="false">VLOOKUP(E11,'[1]Listas Desplegables'!$H$3:$J$7,2,FALSE())</f>
        <v>#N/A</v>
      </c>
      <c r="B11" s="52" t="e">
        <f aca="false">VLOOKUP(E11,'[1]Listas Desplegables'!$H$3:$J$7,3,FALSE())</f>
        <v>#N/A</v>
      </c>
      <c r="C11" s="69" t="n">
        <v>6</v>
      </c>
      <c r="D11" s="70" t="s">
        <v>1064</v>
      </c>
      <c r="E11" s="70" t="s">
        <v>211</v>
      </c>
      <c r="F11" s="72" t="n">
        <v>115</v>
      </c>
      <c r="G11" s="70"/>
      <c r="H11" s="94" t="n">
        <v>25</v>
      </c>
      <c r="I11" s="72" t="s">
        <v>1062</v>
      </c>
      <c r="J11" s="73" t="s">
        <v>1049</v>
      </c>
      <c r="K11" s="73" t="s">
        <v>201</v>
      </c>
      <c r="L11" s="72"/>
      <c r="M11" s="73" t="s">
        <v>1050</v>
      </c>
      <c r="N11" s="73" t="s">
        <v>1063</v>
      </c>
      <c r="O11" s="66" t="s">
        <v>211</v>
      </c>
      <c r="P11" s="66" t="s">
        <v>47</v>
      </c>
      <c r="Q11" s="95" t="s">
        <v>1052</v>
      </c>
    </row>
    <row r="12" customFormat="false" ht="15.75" hidden="false" customHeight="false" outlineLevel="0" collapsed="false">
      <c r="A12" s="52" t="e">
        <f aca="false">VLOOKUP(E12,'[1]Listas Desplegables'!$H$3:$J$7,2,FALSE())</f>
        <v>#N/A</v>
      </c>
      <c r="B12" s="52" t="e">
        <f aca="false">VLOOKUP(E12,'[1]Listas Desplegables'!$H$3:$J$7,3,FALSE())</f>
        <v>#N/A</v>
      </c>
      <c r="C12" s="69" t="n">
        <v>7</v>
      </c>
      <c r="D12" s="70" t="s">
        <v>1065</v>
      </c>
      <c r="E12" s="70" t="s">
        <v>211</v>
      </c>
      <c r="F12" s="72" t="s">
        <v>1055</v>
      </c>
      <c r="G12" s="70"/>
      <c r="H12" s="94" t="n">
        <v>25</v>
      </c>
      <c r="I12" s="72" t="s">
        <v>1056</v>
      </c>
      <c r="J12" s="73" t="s">
        <v>1049</v>
      </c>
      <c r="K12" s="73" t="s">
        <v>201</v>
      </c>
      <c r="L12" s="72"/>
      <c r="M12" s="73" t="s">
        <v>1050</v>
      </c>
      <c r="N12" s="73" t="s">
        <v>1063</v>
      </c>
      <c r="O12" s="66" t="s">
        <v>211</v>
      </c>
      <c r="P12" s="66" t="s">
        <v>47</v>
      </c>
      <c r="Q12" s="95"/>
    </row>
    <row r="13" customFormat="false" ht="15.75" hidden="false" customHeight="false" outlineLevel="0" collapsed="false">
      <c r="A13" s="52" t="e">
        <f aca="false">VLOOKUP(E13,'[1]Listas Desplegables'!$H$3:$J$7,2,FALSE())</f>
        <v>#N/A</v>
      </c>
      <c r="B13" s="52" t="e">
        <f aca="false">VLOOKUP(E13,'[1]Listas Desplegables'!$H$3:$J$7,3,FALSE())</f>
        <v>#N/A</v>
      </c>
      <c r="C13" s="69" t="n">
        <v>8</v>
      </c>
      <c r="D13" s="70" t="s">
        <v>1066</v>
      </c>
      <c r="E13" s="70"/>
      <c r="F13" s="72" t="s">
        <v>1067</v>
      </c>
      <c r="G13" s="70"/>
      <c r="H13" s="94"/>
      <c r="I13" s="72" t="s">
        <v>1056</v>
      </c>
      <c r="J13" s="73" t="s">
        <v>1049</v>
      </c>
      <c r="K13" s="73" t="s">
        <v>201</v>
      </c>
      <c r="L13" s="72"/>
      <c r="M13" s="73" t="s">
        <v>1050</v>
      </c>
      <c r="N13" s="73" t="s">
        <v>1068</v>
      </c>
      <c r="O13" s="66" t="s">
        <v>211</v>
      </c>
      <c r="P13" s="66" t="s">
        <v>47</v>
      </c>
      <c r="Q13" s="95" t="s">
        <v>1069</v>
      </c>
    </row>
    <row r="14" customFormat="false" ht="15.75" hidden="false" customHeight="false" outlineLevel="0" collapsed="false">
      <c r="A14" s="52" t="e">
        <f aca="false">VLOOKUP(E14,'[1]Listas Desplegables'!$H$3:$J$7,2,FALSE())</f>
        <v>#N/A</v>
      </c>
      <c r="B14" s="52" t="e">
        <f aca="false">VLOOKUP(E14,'[1]Listas Desplegables'!$H$3:$J$7,3,FALSE())</f>
        <v>#N/A</v>
      </c>
      <c r="C14" s="69" t="n">
        <v>9</v>
      </c>
      <c r="D14" s="70" t="s">
        <v>1070</v>
      </c>
      <c r="E14" s="70" t="s">
        <v>211</v>
      </c>
      <c r="F14" s="72" t="n">
        <v>115</v>
      </c>
      <c r="G14" s="70"/>
      <c r="H14" s="94" t="n">
        <v>31.5</v>
      </c>
      <c r="I14" s="72" t="s">
        <v>1056</v>
      </c>
      <c r="J14" s="73" t="s">
        <v>1049</v>
      </c>
      <c r="K14" s="73" t="s">
        <v>201</v>
      </c>
      <c r="L14" s="72"/>
      <c r="M14" s="73" t="s">
        <v>1050</v>
      </c>
      <c r="N14" s="73" t="s">
        <v>1068</v>
      </c>
      <c r="O14" s="66" t="s">
        <v>211</v>
      </c>
      <c r="P14" s="66" t="s">
        <v>47</v>
      </c>
      <c r="Q14" s="95"/>
    </row>
    <row r="15" customFormat="false" ht="15.75" hidden="false" customHeight="false" outlineLevel="0" collapsed="false">
      <c r="A15" s="52" t="e">
        <f aca="false">VLOOKUP(E15,'[1]Listas Desplegables'!$H$3:$J$7,2,FALSE())</f>
        <v>#N/A</v>
      </c>
      <c r="B15" s="52" t="e">
        <f aca="false">VLOOKUP(E15,'[1]Listas Desplegables'!$H$3:$J$7,3,FALSE())</f>
        <v>#N/A</v>
      </c>
      <c r="C15" s="76" t="n">
        <v>10</v>
      </c>
      <c r="D15" s="70" t="s">
        <v>1071</v>
      </c>
      <c r="E15" s="70" t="s">
        <v>211</v>
      </c>
      <c r="F15" s="72" t="s">
        <v>1055</v>
      </c>
      <c r="G15" s="70"/>
      <c r="H15" s="94" t="n">
        <v>31.5</v>
      </c>
      <c r="I15" s="72" t="s">
        <v>1056</v>
      </c>
      <c r="J15" s="73" t="s">
        <v>1059</v>
      </c>
      <c r="K15" s="73" t="s">
        <v>201</v>
      </c>
      <c r="L15" s="72"/>
      <c r="M15" s="73" t="s">
        <v>1050</v>
      </c>
      <c r="N15" s="73" t="s">
        <v>1068</v>
      </c>
      <c r="O15" s="66" t="s">
        <v>211</v>
      </c>
      <c r="P15" s="66" t="s">
        <v>47</v>
      </c>
      <c r="Q15" s="95" t="s">
        <v>1072</v>
      </c>
    </row>
    <row r="16" customFormat="false" ht="45.75" hidden="false" customHeight="false" outlineLevel="0" collapsed="false">
      <c r="A16" s="52" t="e">
        <f aca="false">VLOOKUP(E16,'[1]Listas Desplegables'!$H$3:$J$7,2,FALSE())</f>
        <v>#N/A</v>
      </c>
      <c r="B16" s="52" t="e">
        <f aca="false">VLOOKUP(E16,'[1]Listas Desplegables'!$H$3:$J$7,3,FALSE())</f>
        <v>#N/A</v>
      </c>
      <c r="C16" s="69" t="n">
        <v>11</v>
      </c>
      <c r="D16" s="70" t="s">
        <v>1073</v>
      </c>
      <c r="E16" s="70" t="s">
        <v>211</v>
      </c>
      <c r="F16" s="72" t="n">
        <v>230</v>
      </c>
      <c r="G16" s="70"/>
      <c r="H16" s="94" t="n">
        <v>40</v>
      </c>
      <c r="I16" s="72" t="s">
        <v>1074</v>
      </c>
      <c r="J16" s="73" t="s">
        <v>1059</v>
      </c>
      <c r="K16" s="73" t="s">
        <v>201</v>
      </c>
      <c r="L16" s="72"/>
      <c r="M16" s="73" t="s">
        <v>1050</v>
      </c>
      <c r="N16" s="73" t="s">
        <v>1075</v>
      </c>
      <c r="O16" s="66" t="s">
        <v>211</v>
      </c>
      <c r="P16" s="66" t="s">
        <v>47</v>
      </c>
      <c r="Q16" s="95" t="s">
        <v>1076</v>
      </c>
    </row>
    <row r="17" customFormat="false" ht="45.75" hidden="false" customHeight="false" outlineLevel="0" collapsed="false">
      <c r="A17" s="52" t="e">
        <f aca="false">VLOOKUP(E17,'[1]Listas Desplegables'!$H$3:$J$7,2,FALSE())</f>
        <v>#N/A</v>
      </c>
      <c r="B17" s="52" t="e">
        <f aca="false">VLOOKUP(E17,'[1]Listas Desplegables'!$H$3:$J$7,3,FALSE())</f>
        <v>#N/A</v>
      </c>
      <c r="C17" s="69" t="n">
        <v>12</v>
      </c>
      <c r="D17" s="70" t="s">
        <v>1077</v>
      </c>
      <c r="E17" s="70" t="s">
        <v>211</v>
      </c>
      <c r="F17" s="72" t="n">
        <v>115</v>
      </c>
      <c r="G17" s="70"/>
      <c r="H17" s="94" t="n">
        <v>40</v>
      </c>
      <c r="I17" s="72" t="s">
        <v>1048</v>
      </c>
      <c r="J17" s="73" t="s">
        <v>1059</v>
      </c>
      <c r="K17" s="73" t="s">
        <v>201</v>
      </c>
      <c r="L17" s="72"/>
      <c r="M17" s="73" t="s">
        <v>1050</v>
      </c>
      <c r="N17" s="73" t="s">
        <v>1075</v>
      </c>
      <c r="O17" s="66" t="s">
        <v>211</v>
      </c>
      <c r="P17" s="66" t="s">
        <v>47</v>
      </c>
      <c r="Q17" s="95" t="s">
        <v>1076</v>
      </c>
    </row>
    <row r="18" customFormat="false" ht="30.75" hidden="false" customHeight="false" outlineLevel="0" collapsed="false">
      <c r="A18" s="52" t="e">
        <f aca="false">VLOOKUP(E18,'[1]Listas Desplegables'!$H$3:$J$7,2,FALSE())</f>
        <v>#N/A</v>
      </c>
      <c r="B18" s="52" t="e">
        <f aca="false">VLOOKUP(E18,'[1]Listas Desplegables'!$H$3:$J$7,3,FALSE())</f>
        <v>#N/A</v>
      </c>
      <c r="C18" s="69" t="n">
        <v>13</v>
      </c>
      <c r="D18" s="70" t="s">
        <v>1078</v>
      </c>
      <c r="E18" s="70" t="s">
        <v>211</v>
      </c>
      <c r="F18" s="72" t="s">
        <v>1055</v>
      </c>
      <c r="G18" s="70"/>
      <c r="H18" s="94" t="n">
        <v>21</v>
      </c>
      <c r="I18" s="72" t="s">
        <v>1056</v>
      </c>
      <c r="J18" s="73" t="s">
        <v>1049</v>
      </c>
      <c r="K18" s="73" t="s">
        <v>201</v>
      </c>
      <c r="L18" s="72"/>
      <c r="M18" s="73" t="s">
        <v>1050</v>
      </c>
      <c r="N18" s="73" t="s">
        <v>1075</v>
      </c>
      <c r="O18" s="66" t="s">
        <v>211</v>
      </c>
      <c r="P18" s="66" t="s">
        <v>47</v>
      </c>
      <c r="Q18" s="95" t="s">
        <v>1052</v>
      </c>
    </row>
    <row r="19" customFormat="false" ht="15.75" hidden="false" customHeight="false" outlineLevel="0" collapsed="false">
      <c r="A19" s="52" t="e">
        <f aca="false">VLOOKUP(E19,'[1]Listas Desplegables'!$H$3:$J$7,2,FALSE())</f>
        <v>#N/A</v>
      </c>
      <c r="B19" s="52" t="e">
        <f aca="false">VLOOKUP(E19,'[1]Listas Desplegables'!$H$3:$J$7,3,FALSE())</f>
        <v>#N/A</v>
      </c>
      <c r="C19" s="69" t="n">
        <v>14</v>
      </c>
      <c r="D19" s="70" t="s">
        <v>1079</v>
      </c>
      <c r="E19" s="70" t="s">
        <v>211</v>
      </c>
      <c r="F19" s="72" t="n">
        <v>115</v>
      </c>
      <c r="G19" s="70"/>
      <c r="H19" s="94" t="n">
        <v>25</v>
      </c>
      <c r="I19" s="72" t="s">
        <v>1056</v>
      </c>
      <c r="J19" s="73" t="s">
        <v>1049</v>
      </c>
      <c r="K19" s="73" t="s">
        <v>201</v>
      </c>
      <c r="L19" s="72"/>
      <c r="M19" s="73" t="s">
        <v>1050</v>
      </c>
      <c r="N19" s="73" t="s">
        <v>1080</v>
      </c>
      <c r="O19" s="66" t="s">
        <v>211</v>
      </c>
      <c r="P19" s="66" t="s">
        <v>47</v>
      </c>
      <c r="Q19" s="95"/>
    </row>
    <row r="20" customFormat="false" ht="15.75" hidden="false" customHeight="false" outlineLevel="0" collapsed="false">
      <c r="A20" s="52" t="e">
        <f aca="false">VLOOKUP(E20,'[1]Listas Desplegables'!$H$3:$J$7,2,FALSE())</f>
        <v>#N/A</v>
      </c>
      <c r="B20" s="52" t="e">
        <f aca="false">VLOOKUP(E20,'[1]Listas Desplegables'!$H$3:$J$7,3,FALSE())</f>
        <v>#N/A</v>
      </c>
      <c r="C20" s="69" t="n">
        <v>15</v>
      </c>
      <c r="D20" s="70" t="s">
        <v>1081</v>
      </c>
      <c r="E20" s="70" t="s">
        <v>211</v>
      </c>
      <c r="F20" s="72" t="s">
        <v>1055</v>
      </c>
      <c r="G20" s="70"/>
      <c r="H20" s="94" t="n">
        <v>25</v>
      </c>
      <c r="I20" s="72" t="s">
        <v>1056</v>
      </c>
      <c r="J20" s="73" t="s">
        <v>1049</v>
      </c>
      <c r="K20" s="73" t="s">
        <v>201</v>
      </c>
      <c r="L20" s="72"/>
      <c r="M20" s="73" t="s">
        <v>1050</v>
      </c>
      <c r="N20" s="73" t="s">
        <v>1080</v>
      </c>
      <c r="O20" s="66" t="s">
        <v>211</v>
      </c>
      <c r="P20" s="66" t="s">
        <v>47</v>
      </c>
      <c r="Q20" s="95"/>
    </row>
    <row r="21" customFormat="false" ht="45.75" hidden="false" customHeight="false" outlineLevel="0" collapsed="false">
      <c r="A21" s="52" t="e">
        <f aca="false">VLOOKUP(E21,'[1]Listas Desplegables'!$H$3:$J$7,2,FALSE())</f>
        <v>#N/A</v>
      </c>
      <c r="B21" s="52" t="e">
        <f aca="false">VLOOKUP(E21,'[1]Listas Desplegables'!$H$3:$J$7,3,FALSE())</f>
        <v>#N/A</v>
      </c>
      <c r="C21" s="69" t="n">
        <v>16</v>
      </c>
      <c r="D21" s="70" t="s">
        <v>1082</v>
      </c>
      <c r="E21" s="70" t="s">
        <v>211</v>
      </c>
      <c r="F21" s="72" t="s">
        <v>1058</v>
      </c>
      <c r="G21" s="70"/>
      <c r="H21" s="94" t="n">
        <v>21</v>
      </c>
      <c r="I21" s="72" t="s">
        <v>1056</v>
      </c>
      <c r="J21" s="73" t="s">
        <v>1059</v>
      </c>
      <c r="K21" s="73" t="s">
        <v>201</v>
      </c>
      <c r="L21" s="72"/>
      <c r="M21" s="73" t="s">
        <v>1050</v>
      </c>
      <c r="N21" s="73" t="s">
        <v>1080</v>
      </c>
      <c r="O21" s="66" t="s">
        <v>211</v>
      </c>
      <c r="P21" s="66" t="s">
        <v>47</v>
      </c>
      <c r="Q21" s="95" t="s">
        <v>1060</v>
      </c>
    </row>
    <row r="22" customFormat="false" ht="30.75" hidden="false" customHeight="false" outlineLevel="0" collapsed="false">
      <c r="A22" s="52" t="e">
        <f aca="false">VLOOKUP(E22,'[1]Listas Desplegables'!$H$3:$J$7,2,FALSE())</f>
        <v>#N/A</v>
      </c>
      <c r="B22" s="52" t="e">
        <f aca="false">VLOOKUP(E22,'[1]Listas Desplegables'!$H$3:$J$7,3,FALSE())</f>
        <v>#N/A</v>
      </c>
      <c r="C22" s="69" t="n">
        <v>17</v>
      </c>
      <c r="D22" s="70" t="s">
        <v>1083</v>
      </c>
      <c r="E22" s="70" t="s">
        <v>211</v>
      </c>
      <c r="F22" s="72" t="n">
        <v>115</v>
      </c>
      <c r="G22" s="70"/>
      <c r="H22" s="94" t="n">
        <v>25</v>
      </c>
      <c r="I22" s="72" t="s">
        <v>1056</v>
      </c>
      <c r="J22" s="73" t="s">
        <v>1049</v>
      </c>
      <c r="K22" s="73" t="s">
        <v>201</v>
      </c>
      <c r="L22" s="72"/>
      <c r="M22" s="73" t="s">
        <v>1050</v>
      </c>
      <c r="N22" s="73" t="s">
        <v>1084</v>
      </c>
      <c r="O22" s="66" t="s">
        <v>211</v>
      </c>
      <c r="P22" s="66" t="s">
        <v>47</v>
      </c>
      <c r="Q22" s="95" t="s">
        <v>1085</v>
      </c>
    </row>
    <row r="23" customFormat="false" ht="30.75" hidden="false" customHeight="false" outlineLevel="0" collapsed="false">
      <c r="A23" s="52" t="e">
        <f aca="false">VLOOKUP(E23,'[1]Listas Desplegables'!$H$3:$J$7,2,FALSE())</f>
        <v>#N/A</v>
      </c>
      <c r="B23" s="52" t="e">
        <f aca="false">VLOOKUP(E23,'[1]Listas Desplegables'!$H$3:$J$7,3,FALSE())</f>
        <v>#N/A</v>
      </c>
      <c r="C23" s="69" t="n">
        <v>18</v>
      </c>
      <c r="D23" s="70" t="s">
        <v>1086</v>
      </c>
      <c r="E23" s="70" t="s">
        <v>211</v>
      </c>
      <c r="F23" s="72" t="s">
        <v>1055</v>
      </c>
      <c r="G23" s="70"/>
      <c r="H23" s="94" t="n">
        <v>20</v>
      </c>
      <c r="I23" s="72" t="s">
        <v>1056</v>
      </c>
      <c r="J23" s="73" t="s">
        <v>1049</v>
      </c>
      <c r="K23" s="73" t="s">
        <v>201</v>
      </c>
      <c r="L23" s="72"/>
      <c r="M23" s="73" t="s">
        <v>1050</v>
      </c>
      <c r="N23" s="73" t="s">
        <v>1084</v>
      </c>
      <c r="O23" s="66" t="s">
        <v>211</v>
      </c>
      <c r="P23" s="66" t="s">
        <v>47</v>
      </c>
      <c r="Q23" s="95" t="s">
        <v>1085</v>
      </c>
    </row>
    <row r="24" customFormat="false" ht="45.75" hidden="false" customHeight="false" outlineLevel="0" collapsed="false">
      <c r="A24" s="52" t="e">
        <f aca="false">VLOOKUP(E24,'[1]Listas Desplegables'!$H$3:$J$7,2,FALSE())</f>
        <v>#N/A</v>
      </c>
      <c r="B24" s="52" t="e">
        <f aca="false">VLOOKUP(E24,'[1]Listas Desplegables'!$H$3:$J$7,3,FALSE())</f>
        <v>#N/A</v>
      </c>
      <c r="C24" s="76" t="n">
        <v>19</v>
      </c>
      <c r="D24" s="70" t="s">
        <v>1087</v>
      </c>
      <c r="E24" s="70" t="s">
        <v>211</v>
      </c>
      <c r="F24" s="72" t="s">
        <v>1058</v>
      </c>
      <c r="G24" s="70"/>
      <c r="H24" s="94" t="n">
        <v>1.25</v>
      </c>
      <c r="I24" s="72" t="s">
        <v>1056</v>
      </c>
      <c r="J24" s="73" t="s">
        <v>1059</v>
      </c>
      <c r="K24" s="73" t="s">
        <v>201</v>
      </c>
      <c r="L24" s="72"/>
      <c r="M24" s="73" t="s">
        <v>1050</v>
      </c>
      <c r="N24" s="73" t="s">
        <v>1084</v>
      </c>
      <c r="O24" s="66" t="s">
        <v>211</v>
      </c>
      <c r="P24" s="66" t="s">
        <v>47</v>
      </c>
      <c r="Q24" s="95" t="s">
        <v>1088</v>
      </c>
    </row>
    <row r="25" customFormat="false" ht="30.75" hidden="false" customHeight="false" outlineLevel="0" collapsed="false">
      <c r="A25" s="52" t="e">
        <f aca="false">VLOOKUP(E25,'[1]Listas Desplegables'!$H$3:$J$7,2,FALSE())</f>
        <v>#N/A</v>
      </c>
      <c r="B25" s="52" t="e">
        <f aca="false">VLOOKUP(E25,'[1]Listas Desplegables'!$H$3:$J$7,3,FALSE())</f>
        <v>#N/A</v>
      </c>
      <c r="C25" s="77" t="n">
        <v>20</v>
      </c>
      <c r="D25" s="78" t="s">
        <v>1089</v>
      </c>
      <c r="E25" s="78" t="s">
        <v>211</v>
      </c>
      <c r="F25" s="80" t="n">
        <v>115</v>
      </c>
      <c r="G25" s="70"/>
      <c r="H25" s="94" t="n">
        <v>25</v>
      </c>
      <c r="I25" s="72" t="s">
        <v>1056</v>
      </c>
      <c r="J25" s="73" t="s">
        <v>1049</v>
      </c>
      <c r="K25" s="73" t="s">
        <v>201</v>
      </c>
      <c r="L25" s="72"/>
      <c r="M25" s="73" t="s">
        <v>1050</v>
      </c>
      <c r="N25" s="73" t="s">
        <v>1051</v>
      </c>
      <c r="O25" s="66" t="s">
        <v>211</v>
      </c>
      <c r="P25" s="66" t="s">
        <v>47</v>
      </c>
      <c r="Q25" s="95" t="s">
        <v>1052</v>
      </c>
    </row>
    <row r="26" customFormat="false" ht="30.75" hidden="false" customHeight="false" outlineLevel="0" collapsed="false">
      <c r="A26" s="52" t="e">
        <f aca="false">VLOOKUP(E26,'[1]Listas Desplegables'!$H$3:$J$7,2,FALSE())</f>
        <v>#N/A</v>
      </c>
      <c r="B26" s="52" t="e">
        <f aca="false">VLOOKUP(E26,'[1]Listas Desplegables'!$H$3:$J$7,3,FALSE())</f>
        <v>#N/A</v>
      </c>
      <c r="C26" s="76" t="n">
        <v>21</v>
      </c>
      <c r="D26" s="78" t="s">
        <v>1090</v>
      </c>
      <c r="E26" s="78" t="s">
        <v>211</v>
      </c>
      <c r="F26" s="80" t="s">
        <v>1055</v>
      </c>
      <c r="G26" s="70"/>
      <c r="H26" s="94" t="n">
        <v>6.5</v>
      </c>
      <c r="I26" s="72" t="s">
        <v>1056</v>
      </c>
      <c r="J26" s="73" t="s">
        <v>1049</v>
      </c>
      <c r="K26" s="73" t="s">
        <v>201</v>
      </c>
      <c r="L26" s="72"/>
      <c r="M26" s="73" t="s">
        <v>1050</v>
      </c>
      <c r="N26" s="73" t="s">
        <v>1051</v>
      </c>
      <c r="O26" s="66" t="s">
        <v>211</v>
      </c>
      <c r="P26" s="66" t="s">
        <v>47</v>
      </c>
      <c r="Q26" s="95" t="s">
        <v>1052</v>
      </c>
    </row>
    <row r="27" customFormat="false" ht="45.75" hidden="false" customHeight="false" outlineLevel="0" collapsed="false">
      <c r="A27" s="52" t="e">
        <f aca="false">VLOOKUP(E27,'[1]Listas Desplegables'!$H$3:$J$7,2,FALSE())</f>
        <v>#N/A</v>
      </c>
      <c r="B27" s="52" t="e">
        <f aca="false">VLOOKUP(E27,'[1]Listas Desplegables'!$H$3:$J$7,3,FALSE())</f>
        <v>#N/A</v>
      </c>
      <c r="C27" s="69" t="n">
        <v>22</v>
      </c>
      <c r="D27" s="78" t="s">
        <v>1091</v>
      </c>
      <c r="E27" s="78" t="s">
        <v>211</v>
      </c>
      <c r="F27" s="80" t="s">
        <v>1058</v>
      </c>
      <c r="G27" s="70"/>
      <c r="H27" s="94" t="n">
        <v>20</v>
      </c>
      <c r="I27" s="72" t="s">
        <v>1056</v>
      </c>
      <c r="J27" s="73" t="s">
        <v>1059</v>
      </c>
      <c r="K27" s="73" t="s">
        <v>201</v>
      </c>
      <c r="L27" s="72"/>
      <c r="M27" s="73" t="s">
        <v>1050</v>
      </c>
      <c r="N27" s="73" t="s">
        <v>1051</v>
      </c>
      <c r="O27" s="66" t="s">
        <v>211</v>
      </c>
      <c r="P27" s="66" t="s">
        <v>47</v>
      </c>
      <c r="Q27" s="95" t="s">
        <v>1092</v>
      </c>
    </row>
    <row r="28" customFormat="false" ht="30.75" hidden="false" customHeight="false" outlineLevel="0" collapsed="false">
      <c r="A28" s="52" t="e">
        <f aca="false">VLOOKUP(E28,'[1]Listas Desplegables'!$H$3:$J$7,2,FALSE())</f>
        <v>#N/A</v>
      </c>
      <c r="B28" s="52" t="e">
        <f aca="false">VLOOKUP(E28,'[1]Listas Desplegables'!$H$3:$J$7,3,FALSE())</f>
        <v>#N/A</v>
      </c>
      <c r="C28" s="69" t="n">
        <v>23</v>
      </c>
      <c r="D28" s="78" t="s">
        <v>1093</v>
      </c>
      <c r="E28" s="78" t="s">
        <v>211</v>
      </c>
      <c r="F28" s="80" t="n">
        <v>115</v>
      </c>
      <c r="G28" s="70"/>
      <c r="H28" s="94" t="n">
        <v>25</v>
      </c>
      <c r="I28" s="72" t="s">
        <v>1056</v>
      </c>
      <c r="J28" s="73" t="s">
        <v>1049</v>
      </c>
      <c r="K28" s="73" t="s">
        <v>201</v>
      </c>
      <c r="L28" s="72"/>
      <c r="M28" s="73" t="s">
        <v>1050</v>
      </c>
      <c r="N28" s="73" t="s">
        <v>1094</v>
      </c>
      <c r="O28" s="66" t="s">
        <v>211</v>
      </c>
      <c r="P28" s="66" t="s">
        <v>47</v>
      </c>
      <c r="Q28" s="95" t="s">
        <v>1052</v>
      </c>
    </row>
    <row r="29" customFormat="false" ht="15.75" hidden="false" customHeight="false" outlineLevel="0" collapsed="false">
      <c r="A29" s="52" t="e">
        <f aca="false">VLOOKUP(E29,'[1]Listas Desplegables'!$H$3:$J$7,2,FALSE())</f>
        <v>#N/A</v>
      </c>
      <c r="B29" s="52" t="e">
        <f aca="false">VLOOKUP(E29,'[1]Listas Desplegables'!$H$3:$J$7,3,FALSE())</f>
        <v>#N/A</v>
      </c>
      <c r="C29" s="69" t="n">
        <v>24</v>
      </c>
      <c r="D29" s="78" t="s">
        <v>1095</v>
      </c>
      <c r="E29" s="78" t="s">
        <v>211</v>
      </c>
      <c r="F29" s="80" t="s">
        <v>1055</v>
      </c>
      <c r="G29" s="70"/>
      <c r="H29" s="94" t="n">
        <v>31.5</v>
      </c>
      <c r="I29" s="72" t="s">
        <v>1056</v>
      </c>
      <c r="J29" s="73" t="s">
        <v>1059</v>
      </c>
      <c r="K29" s="73" t="s">
        <v>201</v>
      </c>
      <c r="L29" s="72"/>
      <c r="M29" s="73" t="s">
        <v>1050</v>
      </c>
      <c r="N29" s="73" t="s">
        <v>1094</v>
      </c>
      <c r="O29" s="66" t="s">
        <v>211</v>
      </c>
      <c r="P29" s="66" t="s">
        <v>47</v>
      </c>
      <c r="Q29" s="95" t="s">
        <v>1072</v>
      </c>
    </row>
    <row r="30" customFormat="false" ht="30.75" hidden="false" customHeight="false" outlineLevel="0" collapsed="false">
      <c r="A30" s="52" t="e">
        <f aca="false">VLOOKUP(E30,'[1]Listas Desplegables'!$H$3:$J$7,2,FALSE())</f>
        <v>#N/A</v>
      </c>
      <c r="B30" s="52" t="e">
        <f aca="false">VLOOKUP(E30,'[1]Listas Desplegables'!$H$3:$J$7,3,FALSE())</f>
        <v>#N/A</v>
      </c>
      <c r="C30" s="69" t="n">
        <v>25</v>
      </c>
      <c r="D30" s="78" t="s">
        <v>1096</v>
      </c>
      <c r="E30" s="78" t="s">
        <v>211</v>
      </c>
      <c r="F30" s="80" t="n">
        <v>115</v>
      </c>
      <c r="G30" s="70"/>
      <c r="H30" s="94" t="n">
        <v>25</v>
      </c>
      <c r="I30" s="72" t="s">
        <v>1056</v>
      </c>
      <c r="J30" s="73" t="s">
        <v>1049</v>
      </c>
      <c r="K30" s="73" t="s">
        <v>201</v>
      </c>
      <c r="L30" s="72"/>
      <c r="M30" s="73" t="s">
        <v>1050</v>
      </c>
      <c r="N30" s="73" t="s">
        <v>1051</v>
      </c>
      <c r="O30" s="66" t="s">
        <v>211</v>
      </c>
      <c r="P30" s="66" t="s">
        <v>47</v>
      </c>
      <c r="Q30" s="95" t="s">
        <v>1052</v>
      </c>
    </row>
    <row r="31" customFormat="false" ht="15.75" hidden="false" customHeight="false" outlineLevel="0" collapsed="false">
      <c r="A31" s="52" t="e">
        <f aca="false">VLOOKUP(E31,'[1]Listas Desplegables'!$H$3:$J$7,2,FALSE())</f>
        <v>#N/A</v>
      </c>
      <c r="B31" s="52" t="e">
        <f aca="false">VLOOKUP(E31,'[1]Listas Desplegables'!$H$3:$J$7,3,FALSE())</f>
        <v>#N/A</v>
      </c>
      <c r="C31" s="69" t="n">
        <v>26</v>
      </c>
      <c r="D31" s="78" t="s">
        <v>1097</v>
      </c>
      <c r="E31" s="78" t="s">
        <v>211</v>
      </c>
      <c r="F31" s="80" t="s">
        <v>1055</v>
      </c>
      <c r="G31" s="70"/>
      <c r="H31" s="94" t="n">
        <v>25</v>
      </c>
      <c r="I31" s="72" t="s">
        <v>1056</v>
      </c>
      <c r="J31" s="73" t="s">
        <v>1059</v>
      </c>
      <c r="K31" s="73" t="s">
        <v>201</v>
      </c>
      <c r="L31" s="72"/>
      <c r="M31" s="73" t="s">
        <v>1050</v>
      </c>
      <c r="N31" s="73" t="s">
        <v>1051</v>
      </c>
      <c r="O31" s="66" t="s">
        <v>211</v>
      </c>
      <c r="P31" s="66" t="s">
        <v>47</v>
      </c>
      <c r="Q31" s="95" t="s">
        <v>1072</v>
      </c>
    </row>
    <row r="32" customFormat="false" ht="45.75" hidden="false" customHeight="false" outlineLevel="0" collapsed="false">
      <c r="A32" s="52" t="e">
        <f aca="false">VLOOKUP(E32,'[1]Listas Desplegables'!$H$3:$J$7,2,FALSE())</f>
        <v>#N/A</v>
      </c>
      <c r="B32" s="52" t="e">
        <f aca="false">VLOOKUP(E32,'[1]Listas Desplegables'!$H$3:$J$7,3,FALSE())</f>
        <v>#N/A</v>
      </c>
      <c r="C32" s="69" t="n">
        <v>27</v>
      </c>
      <c r="D32" s="78" t="s">
        <v>1098</v>
      </c>
      <c r="E32" s="78" t="s">
        <v>211</v>
      </c>
      <c r="F32" s="80" t="s">
        <v>1058</v>
      </c>
      <c r="G32" s="70"/>
      <c r="H32" s="94" t="n">
        <v>20</v>
      </c>
      <c r="I32" s="72" t="s">
        <v>1056</v>
      </c>
      <c r="J32" s="73" t="s">
        <v>1059</v>
      </c>
      <c r="K32" s="73" t="s">
        <v>201</v>
      </c>
      <c r="L32" s="72"/>
      <c r="M32" s="73" t="s">
        <v>1050</v>
      </c>
      <c r="N32" s="73" t="s">
        <v>1051</v>
      </c>
      <c r="O32" s="66" t="s">
        <v>211</v>
      </c>
      <c r="P32" s="66" t="s">
        <v>47</v>
      </c>
      <c r="Q32" s="95" t="s">
        <v>1060</v>
      </c>
    </row>
    <row r="33" customFormat="false" ht="15.75" hidden="false" customHeight="false" outlineLevel="0" collapsed="false">
      <c r="A33" s="52" t="e">
        <f aca="false">VLOOKUP(E33,'[1]Listas Desplegables'!$H$3:$J$7,2,FALSE())</f>
        <v>#N/A</v>
      </c>
      <c r="B33" s="52" t="e">
        <f aca="false">VLOOKUP(E33,'[1]Listas Desplegables'!$H$3:$J$7,3,FALSE())</f>
        <v>#N/A</v>
      </c>
      <c r="C33" s="69" t="n">
        <v>28</v>
      </c>
      <c r="D33" s="78" t="s">
        <v>1099</v>
      </c>
      <c r="E33" s="78" t="s">
        <v>211</v>
      </c>
      <c r="F33" s="80" t="n">
        <v>115</v>
      </c>
      <c r="G33" s="70"/>
      <c r="H33" s="94" t="n">
        <v>25</v>
      </c>
      <c r="I33" s="72" t="s">
        <v>1056</v>
      </c>
      <c r="J33" s="73" t="s">
        <v>1049</v>
      </c>
      <c r="K33" s="73" t="s">
        <v>201</v>
      </c>
      <c r="L33" s="72"/>
      <c r="M33" s="73" t="s">
        <v>1050</v>
      </c>
      <c r="N33" s="73" t="s">
        <v>1100</v>
      </c>
      <c r="O33" s="66" t="s">
        <v>211</v>
      </c>
      <c r="P33" s="66" t="s">
        <v>47</v>
      </c>
      <c r="Q33" s="95"/>
    </row>
    <row r="34" customFormat="false" ht="15.75" hidden="false" customHeight="false" outlineLevel="0" collapsed="false">
      <c r="A34" s="52" t="e">
        <f aca="false">VLOOKUP(E34,'[1]Listas Desplegables'!$H$3:$J$7,2,FALSE())</f>
        <v>#N/A</v>
      </c>
      <c r="B34" s="52" t="e">
        <f aca="false">VLOOKUP(E34,'[1]Listas Desplegables'!$H$3:$J$7,3,FALSE())</f>
        <v>#N/A</v>
      </c>
      <c r="C34" s="69" t="n">
        <v>29</v>
      </c>
      <c r="D34" s="78" t="s">
        <v>1101</v>
      </c>
      <c r="E34" s="78" t="s">
        <v>211</v>
      </c>
      <c r="F34" s="80" t="s">
        <v>1055</v>
      </c>
      <c r="G34" s="70"/>
      <c r="H34" s="94" t="n">
        <v>25</v>
      </c>
      <c r="I34" s="72" t="s">
        <v>1056</v>
      </c>
      <c r="J34" s="73" t="s">
        <v>1049</v>
      </c>
      <c r="K34" s="73" t="s">
        <v>201</v>
      </c>
      <c r="L34" s="72"/>
      <c r="M34" s="73" t="s">
        <v>1050</v>
      </c>
      <c r="N34" s="73" t="s">
        <v>1100</v>
      </c>
      <c r="O34" s="66" t="s">
        <v>211</v>
      </c>
      <c r="P34" s="66" t="s">
        <v>47</v>
      </c>
      <c r="Q34" s="95"/>
    </row>
    <row r="35" customFormat="false" ht="15.75" hidden="false" customHeight="false" outlineLevel="0" collapsed="false">
      <c r="A35" s="52" t="e">
        <f aca="false">VLOOKUP(E35,'[1]Listas Desplegables'!$H$3:$J$7,2,FALSE())</f>
        <v>#N/A</v>
      </c>
      <c r="B35" s="52" t="e">
        <f aca="false">VLOOKUP(E35,'[1]Listas Desplegables'!$H$3:$J$7,3,FALSE())</f>
        <v>#N/A</v>
      </c>
      <c r="C35" s="76" t="n">
        <v>30</v>
      </c>
      <c r="D35" s="78" t="s">
        <v>1102</v>
      </c>
      <c r="E35" s="78" t="s">
        <v>211</v>
      </c>
      <c r="F35" s="80" t="s">
        <v>1058</v>
      </c>
      <c r="G35" s="70"/>
      <c r="H35" s="94" t="n">
        <v>2</v>
      </c>
      <c r="I35" s="72" t="s">
        <v>1056</v>
      </c>
      <c r="J35" s="73" t="s">
        <v>1059</v>
      </c>
      <c r="K35" s="73" t="s">
        <v>201</v>
      </c>
      <c r="L35" s="72"/>
      <c r="M35" s="73" t="s">
        <v>1050</v>
      </c>
      <c r="N35" s="73" t="s">
        <v>1100</v>
      </c>
      <c r="O35" s="66" t="s">
        <v>211</v>
      </c>
      <c r="P35" s="66" t="s">
        <v>47</v>
      </c>
      <c r="Q35" s="95" t="s">
        <v>1072</v>
      </c>
    </row>
    <row r="36" customFormat="false" ht="15.75" hidden="false" customHeight="false" outlineLevel="0" collapsed="false">
      <c r="A36" s="52" t="e">
        <f aca="false">VLOOKUP(E36,'[1]Listas Desplegables'!$H$3:$J$7,2,FALSE())</f>
        <v>#N/A</v>
      </c>
      <c r="B36" s="52" t="e">
        <f aca="false">VLOOKUP(E36,'[1]Listas Desplegables'!$H$3:$J$7,3,FALSE())</f>
        <v>#N/A</v>
      </c>
      <c r="C36" s="69" t="n">
        <v>31</v>
      </c>
      <c r="D36" s="78" t="s">
        <v>1103</v>
      </c>
      <c r="E36" s="78" t="s">
        <v>211</v>
      </c>
      <c r="F36" s="80" t="n">
        <v>115</v>
      </c>
      <c r="G36" s="70"/>
      <c r="H36" s="94" t="n">
        <v>25</v>
      </c>
      <c r="I36" s="72" t="s">
        <v>1056</v>
      </c>
      <c r="J36" s="73" t="s">
        <v>1049</v>
      </c>
      <c r="K36" s="73" t="s">
        <v>201</v>
      </c>
      <c r="L36" s="72"/>
      <c r="M36" s="73" t="s">
        <v>1104</v>
      </c>
      <c r="N36" s="73" t="s">
        <v>1105</v>
      </c>
      <c r="O36" s="66" t="s">
        <v>211</v>
      </c>
      <c r="P36" s="66" t="s">
        <v>47</v>
      </c>
      <c r="Q36" s="95"/>
    </row>
    <row r="37" customFormat="false" ht="15.75" hidden="false" customHeight="false" outlineLevel="0" collapsed="false">
      <c r="A37" s="52" t="e">
        <f aca="false">VLOOKUP(E37,'[1]Listas Desplegables'!$H$3:$J$7,2,FALSE())</f>
        <v>#N/A</v>
      </c>
      <c r="B37" s="52" t="e">
        <f aca="false">VLOOKUP(E37,'[1]Listas Desplegables'!$H$3:$J$7,3,FALSE())</f>
        <v>#N/A</v>
      </c>
      <c r="C37" s="69" t="n">
        <v>32</v>
      </c>
      <c r="D37" s="78" t="s">
        <v>1106</v>
      </c>
      <c r="E37" s="78" t="s">
        <v>211</v>
      </c>
      <c r="F37" s="80" t="s">
        <v>1055</v>
      </c>
      <c r="G37" s="70"/>
      <c r="H37" s="94" t="n">
        <v>31.5</v>
      </c>
      <c r="I37" s="72" t="s">
        <v>1056</v>
      </c>
      <c r="J37" s="73" t="s">
        <v>1059</v>
      </c>
      <c r="K37" s="73" t="s">
        <v>201</v>
      </c>
      <c r="L37" s="72"/>
      <c r="M37" s="73" t="s">
        <v>1104</v>
      </c>
      <c r="N37" s="73" t="s">
        <v>1105</v>
      </c>
      <c r="O37" s="66" t="s">
        <v>211</v>
      </c>
      <c r="P37" s="66" t="s">
        <v>47</v>
      </c>
      <c r="Q37" s="95" t="s">
        <v>1072</v>
      </c>
    </row>
    <row r="38" customFormat="false" ht="15.75" hidden="false" customHeight="false" outlineLevel="0" collapsed="false">
      <c r="A38" s="52" t="e">
        <f aca="false">VLOOKUP(E38,'[1]Listas Desplegables'!$H$3:$J$7,2,FALSE())</f>
        <v>#N/A</v>
      </c>
      <c r="B38" s="52" t="e">
        <f aca="false">VLOOKUP(E38,'[1]Listas Desplegables'!$H$3:$J$7,3,FALSE())</f>
        <v>#N/A</v>
      </c>
      <c r="C38" s="69" t="n">
        <v>33</v>
      </c>
      <c r="D38" s="78" t="s">
        <v>1107</v>
      </c>
      <c r="E38" s="78" t="s">
        <v>211</v>
      </c>
      <c r="F38" s="80" t="s">
        <v>1058</v>
      </c>
      <c r="G38" s="70"/>
      <c r="H38" s="94" t="n">
        <v>20</v>
      </c>
      <c r="I38" s="72" t="s">
        <v>1056</v>
      </c>
      <c r="J38" s="73" t="s">
        <v>1059</v>
      </c>
      <c r="K38" s="73" t="s">
        <v>201</v>
      </c>
      <c r="L38" s="72"/>
      <c r="M38" s="73" t="s">
        <v>1104</v>
      </c>
      <c r="N38" s="73" t="s">
        <v>1105</v>
      </c>
      <c r="O38" s="66" t="s">
        <v>211</v>
      </c>
      <c r="P38" s="66" t="s">
        <v>47</v>
      </c>
      <c r="Q38" s="95" t="s">
        <v>1072</v>
      </c>
    </row>
    <row r="39" customFormat="false" ht="30.75" hidden="false" customHeight="false" outlineLevel="0" collapsed="false">
      <c r="A39" s="52" t="e">
        <f aca="false">VLOOKUP(E39,'[1]Listas Desplegables'!$H$3:$J$7,2,FALSE())</f>
        <v>#N/A</v>
      </c>
      <c r="B39" s="52" t="e">
        <f aca="false">VLOOKUP(E39,'[1]Listas Desplegables'!$H$3:$J$7,3,FALSE())</f>
        <v>#N/A</v>
      </c>
      <c r="C39" s="69" t="n">
        <v>34</v>
      </c>
      <c r="D39" s="78" t="s">
        <v>1108</v>
      </c>
      <c r="E39" s="78" t="s">
        <v>211</v>
      </c>
      <c r="F39" s="80" t="n">
        <v>115</v>
      </c>
      <c r="G39" s="70"/>
      <c r="H39" s="94" t="n">
        <v>25</v>
      </c>
      <c r="I39" s="72" t="s">
        <v>1056</v>
      </c>
      <c r="J39" s="73" t="s">
        <v>1049</v>
      </c>
      <c r="K39" s="73" t="s">
        <v>201</v>
      </c>
      <c r="L39" s="72"/>
      <c r="M39" s="73" t="s">
        <v>1050</v>
      </c>
      <c r="N39" s="73" t="s">
        <v>1109</v>
      </c>
      <c r="O39" s="66" t="s">
        <v>211</v>
      </c>
      <c r="P39" s="66" t="s">
        <v>47</v>
      </c>
      <c r="Q39" s="95" t="s">
        <v>1052</v>
      </c>
    </row>
    <row r="40" customFormat="false" ht="30.75" hidden="false" customHeight="false" outlineLevel="0" collapsed="false">
      <c r="A40" s="52" t="e">
        <f aca="false">VLOOKUP(E40,'[1]Listas Desplegables'!$H$3:$J$7,2,FALSE())</f>
        <v>#N/A</v>
      </c>
      <c r="B40" s="52" t="e">
        <f aca="false">VLOOKUP(E40,'[1]Listas Desplegables'!$H$3:$J$7,3,FALSE())</f>
        <v>#N/A</v>
      </c>
      <c r="C40" s="69" t="n">
        <v>35</v>
      </c>
      <c r="D40" s="78" t="s">
        <v>1110</v>
      </c>
      <c r="E40" s="78" t="s">
        <v>211</v>
      </c>
      <c r="F40" s="80" t="s">
        <v>1055</v>
      </c>
      <c r="G40" s="70"/>
      <c r="H40" s="94" t="n">
        <v>12.5</v>
      </c>
      <c r="I40" s="72" t="s">
        <v>1056</v>
      </c>
      <c r="J40" s="73" t="s">
        <v>1049</v>
      </c>
      <c r="K40" s="73" t="s">
        <v>201</v>
      </c>
      <c r="L40" s="72"/>
      <c r="M40" s="73" t="s">
        <v>1050</v>
      </c>
      <c r="N40" s="73" t="s">
        <v>1109</v>
      </c>
      <c r="O40" s="66" t="s">
        <v>211</v>
      </c>
      <c r="P40" s="66" t="s">
        <v>47</v>
      </c>
      <c r="Q40" s="95" t="s">
        <v>1052</v>
      </c>
    </row>
    <row r="41" customFormat="false" ht="30.75" hidden="false" customHeight="false" outlineLevel="0" collapsed="false">
      <c r="A41" s="52" t="e">
        <f aca="false">VLOOKUP(E41,'[1]Listas Desplegables'!$H$3:$J$7,2,FALSE())</f>
        <v>#N/A</v>
      </c>
      <c r="B41" s="52" t="e">
        <f aca="false">VLOOKUP(E41,'[1]Listas Desplegables'!$H$3:$J$7,3,FALSE())</f>
        <v>#N/A</v>
      </c>
      <c r="C41" s="69" t="n">
        <v>36</v>
      </c>
      <c r="D41" s="78" t="s">
        <v>1111</v>
      </c>
      <c r="E41" s="78" t="s">
        <v>211</v>
      </c>
      <c r="F41" s="80" t="s">
        <v>1058</v>
      </c>
      <c r="G41" s="70"/>
      <c r="H41" s="94" t="n">
        <v>2.1</v>
      </c>
      <c r="I41" s="72" t="s">
        <v>1056</v>
      </c>
      <c r="J41" s="73" t="s">
        <v>1049</v>
      </c>
      <c r="K41" s="73" t="s">
        <v>201</v>
      </c>
      <c r="L41" s="72"/>
      <c r="M41" s="73" t="s">
        <v>1050</v>
      </c>
      <c r="N41" s="73" t="s">
        <v>1109</v>
      </c>
      <c r="O41" s="66" t="s">
        <v>211</v>
      </c>
      <c r="P41" s="66" t="s">
        <v>47</v>
      </c>
      <c r="Q41" s="95" t="s">
        <v>1052</v>
      </c>
    </row>
    <row r="42" customFormat="false" ht="30.75" hidden="false" customHeight="false" outlineLevel="0" collapsed="false">
      <c r="A42" s="52" t="e">
        <f aca="false">VLOOKUP(E42,'[1]Listas Desplegables'!$H$3:$J$7,2,FALSE())</f>
        <v>#N/A</v>
      </c>
      <c r="B42" s="52" t="e">
        <f aca="false">VLOOKUP(E42,'[1]Listas Desplegables'!$H$3:$J$7,3,FALSE())</f>
        <v>#N/A</v>
      </c>
      <c r="C42" s="69" t="n">
        <v>37</v>
      </c>
      <c r="D42" s="78" t="s">
        <v>1112</v>
      </c>
      <c r="E42" s="78" t="s">
        <v>211</v>
      </c>
      <c r="F42" s="80" t="n">
        <v>115</v>
      </c>
      <c r="G42" s="70"/>
      <c r="H42" s="94" t="n">
        <v>25</v>
      </c>
      <c r="I42" s="72" t="s">
        <v>1056</v>
      </c>
      <c r="J42" s="73" t="s">
        <v>1049</v>
      </c>
      <c r="K42" s="73" t="s">
        <v>201</v>
      </c>
      <c r="L42" s="72"/>
      <c r="M42" s="73" t="s">
        <v>1050</v>
      </c>
      <c r="N42" s="73" t="s">
        <v>1113</v>
      </c>
      <c r="O42" s="66" t="s">
        <v>211</v>
      </c>
      <c r="P42" s="66" t="s">
        <v>47</v>
      </c>
      <c r="Q42" s="95" t="s">
        <v>1052</v>
      </c>
    </row>
    <row r="43" customFormat="false" ht="15.75" hidden="false" customHeight="false" outlineLevel="0" collapsed="false">
      <c r="A43" s="52" t="e">
        <f aca="false">VLOOKUP(E43,'[1]Listas Desplegables'!$H$3:$J$7,2,FALSE())</f>
        <v>#N/A</v>
      </c>
      <c r="B43" s="52" t="e">
        <f aca="false">VLOOKUP(E43,'[1]Listas Desplegables'!$H$3:$J$7,3,FALSE())</f>
        <v>#N/A</v>
      </c>
      <c r="C43" s="69" t="n">
        <v>38</v>
      </c>
      <c r="D43" s="78" t="s">
        <v>1114</v>
      </c>
      <c r="E43" s="78" t="s">
        <v>211</v>
      </c>
      <c r="F43" s="80" t="s">
        <v>1055</v>
      </c>
      <c r="G43" s="70"/>
      <c r="H43" s="94" t="n">
        <v>25</v>
      </c>
      <c r="I43" s="72" t="s">
        <v>1056</v>
      </c>
      <c r="J43" s="73" t="s">
        <v>1049</v>
      </c>
      <c r="K43" s="73" t="s">
        <v>201</v>
      </c>
      <c r="L43" s="72"/>
      <c r="M43" s="73" t="s">
        <v>1050</v>
      </c>
      <c r="N43" s="73" t="s">
        <v>1113</v>
      </c>
      <c r="O43" s="66" t="s">
        <v>211</v>
      </c>
      <c r="P43" s="66" t="s">
        <v>47</v>
      </c>
      <c r="Q43" s="95"/>
    </row>
    <row r="44" customFormat="false" ht="45.75" hidden="false" customHeight="false" outlineLevel="0" collapsed="false">
      <c r="A44" s="52" t="e">
        <f aca="false">VLOOKUP(E44,'[1]Listas Desplegables'!$H$3:$J$7,2,FALSE())</f>
        <v>#N/A</v>
      </c>
      <c r="B44" s="52" t="e">
        <f aca="false">VLOOKUP(E44,'[1]Listas Desplegables'!$H$3:$J$7,3,FALSE())</f>
        <v>#N/A</v>
      </c>
      <c r="C44" s="76" t="n">
        <v>39</v>
      </c>
      <c r="D44" s="78" t="s">
        <v>1115</v>
      </c>
      <c r="E44" s="78" t="s">
        <v>211</v>
      </c>
      <c r="F44" s="80" t="s">
        <v>1058</v>
      </c>
      <c r="G44" s="70"/>
      <c r="H44" s="94" t="n">
        <v>10</v>
      </c>
      <c r="I44" s="72" t="s">
        <v>1056</v>
      </c>
      <c r="J44" s="73" t="s">
        <v>1059</v>
      </c>
      <c r="K44" s="73" t="s">
        <v>201</v>
      </c>
      <c r="L44" s="72"/>
      <c r="M44" s="73" t="s">
        <v>1050</v>
      </c>
      <c r="N44" s="73" t="s">
        <v>1113</v>
      </c>
      <c r="O44" s="66" t="s">
        <v>211</v>
      </c>
      <c r="P44" s="66" t="s">
        <v>47</v>
      </c>
      <c r="Q44" s="95" t="s">
        <v>1060</v>
      </c>
    </row>
    <row r="45" customFormat="false" ht="15.75" hidden="false" customHeight="false" outlineLevel="0" collapsed="false">
      <c r="A45" s="52" t="e">
        <f aca="false">VLOOKUP(E45,'[1]Listas Desplegables'!$H$3:$J$7,2,FALSE())</f>
        <v>#N/A</v>
      </c>
      <c r="B45" s="52" t="e">
        <f aca="false">VLOOKUP(E45,'[1]Listas Desplegables'!$H$3:$J$7,3,FALSE())</f>
        <v>#N/A</v>
      </c>
      <c r="C45" s="77" t="n">
        <v>40</v>
      </c>
      <c r="D45" s="78" t="s">
        <v>1116</v>
      </c>
      <c r="E45" s="78" t="s">
        <v>211</v>
      </c>
      <c r="F45" s="80" t="n">
        <v>115</v>
      </c>
      <c r="G45" s="70"/>
      <c r="H45" s="94" t="n">
        <v>25</v>
      </c>
      <c r="I45" s="72" t="s">
        <v>1056</v>
      </c>
      <c r="J45" s="73" t="s">
        <v>1049</v>
      </c>
      <c r="K45" s="73" t="s">
        <v>201</v>
      </c>
      <c r="L45" s="72"/>
      <c r="M45" s="73" t="s">
        <v>1050</v>
      </c>
      <c r="N45" s="73" t="s">
        <v>1063</v>
      </c>
      <c r="O45" s="66" t="s">
        <v>211</v>
      </c>
      <c r="P45" s="66" t="s">
        <v>47</v>
      </c>
      <c r="Q45" s="95"/>
    </row>
    <row r="46" customFormat="false" ht="15.75" hidden="false" customHeight="false" outlineLevel="0" collapsed="false">
      <c r="A46" s="52" t="e">
        <f aca="false">VLOOKUP(E46,'[1]Listas Desplegables'!$H$3:$J$7,2,FALSE())</f>
        <v>#N/A</v>
      </c>
      <c r="B46" s="52" t="e">
        <f aca="false">VLOOKUP(E46,'[1]Listas Desplegables'!$H$3:$J$7,3,FALSE())</f>
        <v>#N/A</v>
      </c>
      <c r="C46" s="76" t="n">
        <v>41</v>
      </c>
      <c r="D46" s="78" t="s">
        <v>1117</v>
      </c>
      <c r="E46" s="78" t="s">
        <v>211</v>
      </c>
      <c r="F46" s="80" t="s">
        <v>1055</v>
      </c>
      <c r="G46" s="70"/>
      <c r="H46" s="94" t="n">
        <v>25</v>
      </c>
      <c r="I46" s="72" t="s">
        <v>1056</v>
      </c>
      <c r="J46" s="73" t="s">
        <v>1059</v>
      </c>
      <c r="K46" s="73" t="s">
        <v>201</v>
      </c>
      <c r="L46" s="72"/>
      <c r="M46" s="73" t="s">
        <v>1050</v>
      </c>
      <c r="N46" s="73" t="s">
        <v>1063</v>
      </c>
      <c r="O46" s="66" t="s">
        <v>211</v>
      </c>
      <c r="P46" s="66" t="s">
        <v>47</v>
      </c>
      <c r="Q46" s="95" t="s">
        <v>1072</v>
      </c>
    </row>
    <row r="47" customFormat="false" ht="15.75" hidden="false" customHeight="false" outlineLevel="0" collapsed="false">
      <c r="A47" s="52" t="e">
        <f aca="false">VLOOKUP(E47,'[1]Listas Desplegables'!$H$3:$J$7,2,FALSE())</f>
        <v>#N/A</v>
      </c>
      <c r="B47" s="52" t="e">
        <f aca="false">VLOOKUP(E47,'[1]Listas Desplegables'!$H$3:$J$7,3,FALSE())</f>
        <v>#N/A</v>
      </c>
      <c r="C47" s="69" t="n">
        <v>42</v>
      </c>
      <c r="D47" s="78" t="s">
        <v>1118</v>
      </c>
      <c r="E47" s="78" t="s">
        <v>211</v>
      </c>
      <c r="F47" s="80" t="s">
        <v>1058</v>
      </c>
      <c r="G47" s="70"/>
      <c r="H47" s="94" t="n">
        <v>20</v>
      </c>
      <c r="I47" s="72" t="s">
        <v>1056</v>
      </c>
      <c r="J47" s="73" t="s">
        <v>1059</v>
      </c>
      <c r="K47" s="73" t="s">
        <v>201</v>
      </c>
      <c r="L47" s="72"/>
      <c r="M47" s="73" t="s">
        <v>1050</v>
      </c>
      <c r="N47" s="73" t="s">
        <v>1063</v>
      </c>
      <c r="O47" s="66" t="s">
        <v>211</v>
      </c>
      <c r="P47" s="66" t="s">
        <v>47</v>
      </c>
      <c r="Q47" s="95" t="s">
        <v>1072</v>
      </c>
    </row>
    <row r="48" customFormat="false" ht="30.75" hidden="false" customHeight="false" outlineLevel="0" collapsed="false">
      <c r="A48" s="52" t="e">
        <f aca="false">VLOOKUP(E48,'[1]Listas Desplegables'!$H$3:$J$7,2,FALSE())</f>
        <v>#N/A</v>
      </c>
      <c r="B48" s="52" t="e">
        <f aca="false">VLOOKUP(E48,'[1]Listas Desplegables'!$H$3:$J$7,3,FALSE())</f>
        <v>#N/A</v>
      </c>
      <c r="C48" s="69" t="n">
        <v>43</v>
      </c>
      <c r="D48" s="78" t="s">
        <v>1119</v>
      </c>
      <c r="E48" s="78" t="s">
        <v>211</v>
      </c>
      <c r="F48" s="80" t="n">
        <v>115</v>
      </c>
      <c r="G48" s="70"/>
      <c r="H48" s="94" t="n">
        <v>25</v>
      </c>
      <c r="I48" s="72" t="s">
        <v>1056</v>
      </c>
      <c r="J48" s="73" t="s">
        <v>1049</v>
      </c>
      <c r="K48" s="73" t="s">
        <v>201</v>
      </c>
      <c r="L48" s="72"/>
      <c r="M48" s="73" t="s">
        <v>1050</v>
      </c>
      <c r="N48" s="73" t="s">
        <v>1075</v>
      </c>
      <c r="O48" s="66" t="s">
        <v>211</v>
      </c>
      <c r="P48" s="66" t="s">
        <v>47</v>
      </c>
      <c r="Q48" s="95" t="s">
        <v>1085</v>
      </c>
    </row>
    <row r="49" customFormat="false" ht="30.75" hidden="false" customHeight="false" outlineLevel="0" collapsed="false">
      <c r="A49" s="52" t="e">
        <f aca="false">VLOOKUP(E49,'[1]Listas Desplegables'!$H$3:$J$7,2,FALSE())</f>
        <v>#N/A</v>
      </c>
      <c r="B49" s="52" t="e">
        <f aca="false">VLOOKUP(E49,'[1]Listas Desplegables'!$H$3:$J$7,3,FALSE())</f>
        <v>#N/A</v>
      </c>
      <c r="C49" s="69" t="n">
        <v>44</v>
      </c>
      <c r="D49" s="78" t="s">
        <v>1120</v>
      </c>
      <c r="E49" s="78" t="s">
        <v>211</v>
      </c>
      <c r="F49" s="80" t="s">
        <v>1055</v>
      </c>
      <c r="G49" s="70"/>
      <c r="H49" s="94" t="n">
        <v>20</v>
      </c>
      <c r="I49" s="72" t="s">
        <v>1056</v>
      </c>
      <c r="J49" s="73" t="s">
        <v>1049</v>
      </c>
      <c r="K49" s="73" t="s">
        <v>201</v>
      </c>
      <c r="L49" s="72"/>
      <c r="M49" s="73" t="s">
        <v>1050</v>
      </c>
      <c r="N49" s="73" t="s">
        <v>1075</v>
      </c>
      <c r="O49" s="66" t="s">
        <v>211</v>
      </c>
      <c r="P49" s="66" t="s">
        <v>47</v>
      </c>
      <c r="Q49" s="95" t="s">
        <v>1085</v>
      </c>
    </row>
    <row r="50" customFormat="false" ht="15.75" hidden="false" customHeight="false" outlineLevel="0" collapsed="false">
      <c r="A50" s="52" t="e">
        <f aca="false">VLOOKUP(E50,'[1]Listas Desplegables'!$H$3:$J$7,2,FALSE())</f>
        <v>#N/A</v>
      </c>
      <c r="B50" s="52" t="e">
        <f aca="false">VLOOKUP(E50,'[1]Listas Desplegables'!$H$3:$J$7,3,FALSE())</f>
        <v>#N/A</v>
      </c>
      <c r="C50" s="69" t="n">
        <v>45</v>
      </c>
      <c r="D50" s="78" t="s">
        <v>1121</v>
      </c>
      <c r="E50" s="78" t="s">
        <v>211</v>
      </c>
      <c r="F50" s="80" t="s">
        <v>1058</v>
      </c>
      <c r="G50" s="70"/>
      <c r="H50" s="94" t="n">
        <v>20</v>
      </c>
      <c r="I50" s="72" t="s">
        <v>1056</v>
      </c>
      <c r="J50" s="73" t="s">
        <v>1059</v>
      </c>
      <c r="K50" s="73" t="s">
        <v>201</v>
      </c>
      <c r="L50" s="72"/>
      <c r="M50" s="73" t="s">
        <v>1050</v>
      </c>
      <c r="N50" s="73" t="s">
        <v>1075</v>
      </c>
      <c r="O50" s="66" t="s">
        <v>211</v>
      </c>
      <c r="P50" s="66" t="s">
        <v>47</v>
      </c>
      <c r="Q50" s="95" t="s">
        <v>1072</v>
      </c>
    </row>
    <row r="51" customFormat="false" ht="15.75" hidden="false" customHeight="false" outlineLevel="0" collapsed="false">
      <c r="A51" s="52" t="e">
        <f aca="false">VLOOKUP(E51,'[1]Listas Desplegables'!$H$3:$J$7,2,FALSE())</f>
        <v>#N/A</v>
      </c>
      <c r="B51" s="52" t="e">
        <f aca="false">VLOOKUP(E51,'[1]Listas Desplegables'!$H$3:$J$7,3,FALSE())</f>
        <v>#N/A</v>
      </c>
      <c r="C51" s="69" t="n">
        <v>46</v>
      </c>
      <c r="D51" s="78" t="s">
        <v>1122</v>
      </c>
      <c r="E51" s="78" t="s">
        <v>211</v>
      </c>
      <c r="F51" s="80" t="s">
        <v>1058</v>
      </c>
      <c r="G51" s="70"/>
      <c r="H51" s="94" t="n">
        <v>12.5</v>
      </c>
      <c r="I51" s="72" t="s">
        <v>1056</v>
      </c>
      <c r="J51" s="73" t="s">
        <v>1049</v>
      </c>
      <c r="K51" s="73" t="s">
        <v>201</v>
      </c>
      <c r="L51" s="72"/>
      <c r="M51" s="73" t="s">
        <v>1050</v>
      </c>
      <c r="N51" s="73" t="s">
        <v>1123</v>
      </c>
      <c r="O51" s="66" t="s">
        <v>211</v>
      </c>
      <c r="P51" s="66" t="s">
        <v>47</v>
      </c>
      <c r="Q51" s="95"/>
    </row>
    <row r="52" customFormat="false" ht="15.75" hidden="false" customHeight="false" outlineLevel="0" collapsed="false">
      <c r="A52" s="52" t="e">
        <f aca="false">VLOOKUP(E52,'[1]Listas Desplegables'!$H$3:$J$7,2,FALSE())</f>
        <v>#N/A</v>
      </c>
      <c r="B52" s="52" t="e">
        <f aca="false">VLOOKUP(E52,'[1]Listas Desplegables'!$H$3:$J$7,3,FALSE())</f>
        <v>#N/A</v>
      </c>
      <c r="C52" s="69" t="n">
        <v>47</v>
      </c>
      <c r="D52" s="78" t="s">
        <v>1124</v>
      </c>
      <c r="E52" s="78" t="s">
        <v>211</v>
      </c>
      <c r="F52" s="80" t="s">
        <v>1055</v>
      </c>
      <c r="G52" s="70"/>
      <c r="H52" s="94" t="n">
        <v>16</v>
      </c>
      <c r="I52" s="72" t="s">
        <v>1056</v>
      </c>
      <c r="J52" s="73" t="s">
        <v>1049</v>
      </c>
      <c r="K52" s="73" t="s">
        <v>201</v>
      </c>
      <c r="L52" s="72"/>
      <c r="M52" s="73" t="s">
        <v>1050</v>
      </c>
      <c r="N52" s="73" t="s">
        <v>1123</v>
      </c>
      <c r="O52" s="66" t="s">
        <v>211</v>
      </c>
      <c r="P52" s="66" t="s">
        <v>47</v>
      </c>
      <c r="Q52" s="95"/>
    </row>
    <row r="53" customFormat="false" ht="15.75" hidden="false" customHeight="false" outlineLevel="0" collapsed="false">
      <c r="A53" s="52" t="e">
        <f aca="false">VLOOKUP(E53,'[1]Listas Desplegables'!$H$3:$J$7,2,FALSE())</f>
        <v>#N/A</v>
      </c>
      <c r="B53" s="52" t="e">
        <f aca="false">VLOOKUP(E53,'[1]Listas Desplegables'!$H$3:$J$7,3,FALSE())</f>
        <v>#N/A</v>
      </c>
      <c r="C53" s="69" t="n">
        <v>48</v>
      </c>
      <c r="D53" s="78" t="s">
        <v>1125</v>
      </c>
      <c r="E53" s="78" t="s">
        <v>211</v>
      </c>
      <c r="F53" s="80" t="s">
        <v>1058</v>
      </c>
      <c r="G53" s="70"/>
      <c r="H53" s="94" t="n">
        <v>12.5</v>
      </c>
      <c r="I53" s="72" t="s">
        <v>1056</v>
      </c>
      <c r="J53" s="73" t="s">
        <v>1049</v>
      </c>
      <c r="K53" s="73" t="s">
        <v>201</v>
      </c>
      <c r="L53" s="72"/>
      <c r="M53" s="73" t="s">
        <v>1050</v>
      </c>
      <c r="N53" s="73" t="s">
        <v>1063</v>
      </c>
      <c r="O53" s="66" t="s">
        <v>211</v>
      </c>
      <c r="P53" s="66" t="s">
        <v>47</v>
      </c>
      <c r="Q53" s="95"/>
    </row>
    <row r="54" customFormat="false" ht="15.75" hidden="false" customHeight="false" outlineLevel="0" collapsed="false">
      <c r="A54" s="52" t="e">
        <f aca="false">VLOOKUP(E54,'[1]Listas Desplegables'!$H$3:$J$7,2,FALSE())</f>
        <v>#N/A</v>
      </c>
      <c r="B54" s="52" t="e">
        <f aca="false">VLOOKUP(E54,'[1]Listas Desplegables'!$H$3:$J$7,3,FALSE())</f>
        <v>#N/A</v>
      </c>
      <c r="C54" s="69" t="n">
        <v>49</v>
      </c>
      <c r="D54" s="78" t="s">
        <v>1126</v>
      </c>
      <c r="E54" s="78" t="s">
        <v>211</v>
      </c>
      <c r="F54" s="80" t="s">
        <v>1055</v>
      </c>
      <c r="G54" s="70"/>
      <c r="H54" s="94" t="n">
        <v>16</v>
      </c>
      <c r="I54" s="72" t="s">
        <v>1056</v>
      </c>
      <c r="J54" s="73" t="s">
        <v>1049</v>
      </c>
      <c r="K54" s="73" t="s">
        <v>201</v>
      </c>
      <c r="L54" s="72"/>
      <c r="M54" s="73" t="s">
        <v>1050</v>
      </c>
      <c r="N54" s="73" t="s">
        <v>1063</v>
      </c>
      <c r="O54" s="66" t="s">
        <v>211</v>
      </c>
      <c r="P54" s="66" t="s">
        <v>47</v>
      </c>
      <c r="Q54" s="95"/>
    </row>
    <row r="55" customFormat="false" ht="15.75" hidden="false" customHeight="false" outlineLevel="0" collapsed="false">
      <c r="A55" s="52" t="e">
        <f aca="false">VLOOKUP(E55,'[1]Listas Desplegables'!$H$3:$J$7,2,FALSE())</f>
        <v>#N/A</v>
      </c>
      <c r="B55" s="52" t="e">
        <f aca="false">VLOOKUP(E55,'[1]Listas Desplegables'!$H$3:$J$7,3,FALSE())</f>
        <v>#N/A</v>
      </c>
      <c r="C55" s="76" t="n">
        <v>50</v>
      </c>
      <c r="D55" s="78" t="s">
        <v>1127</v>
      </c>
      <c r="E55" s="78" t="s">
        <v>211</v>
      </c>
      <c r="F55" s="80" t="s">
        <v>1058</v>
      </c>
      <c r="G55" s="70"/>
      <c r="H55" s="94" t="n">
        <v>10</v>
      </c>
      <c r="I55" s="72" t="s">
        <v>1056</v>
      </c>
      <c r="J55" s="73" t="s">
        <v>1049</v>
      </c>
      <c r="K55" s="73" t="s">
        <v>201</v>
      </c>
      <c r="L55" s="72"/>
      <c r="M55" s="73" t="s">
        <v>1050</v>
      </c>
      <c r="N55" s="73" t="s">
        <v>1075</v>
      </c>
      <c r="O55" s="66" t="s">
        <v>211</v>
      </c>
      <c r="P55" s="66" t="s">
        <v>47</v>
      </c>
      <c r="Q55" s="95"/>
    </row>
    <row r="56" customFormat="false" ht="15.75" hidden="false" customHeight="false" outlineLevel="0" collapsed="false">
      <c r="A56" s="52" t="e">
        <f aca="false">VLOOKUP(E56,'[1]Listas Desplegables'!$H$3:$J$7,2,FALSE())</f>
        <v>#N/A</v>
      </c>
      <c r="B56" s="52" t="e">
        <f aca="false">VLOOKUP(E56,'[1]Listas Desplegables'!$H$3:$J$7,3,FALSE())</f>
        <v>#N/A</v>
      </c>
      <c r="C56" s="76" t="n">
        <v>51</v>
      </c>
      <c r="D56" s="78" t="s">
        <v>1128</v>
      </c>
      <c r="E56" s="78" t="s">
        <v>211</v>
      </c>
      <c r="F56" s="80" t="s">
        <v>1055</v>
      </c>
      <c r="G56" s="70"/>
      <c r="H56" s="94" t="n">
        <v>20</v>
      </c>
      <c r="I56" s="72" t="s">
        <v>1056</v>
      </c>
      <c r="J56" s="73" t="s">
        <v>1049</v>
      </c>
      <c r="K56" s="73" t="s">
        <v>201</v>
      </c>
      <c r="L56" s="72"/>
      <c r="M56" s="73" t="s">
        <v>1050</v>
      </c>
      <c r="N56" s="73" t="s">
        <v>1075</v>
      </c>
      <c r="O56" s="66" t="s">
        <v>211</v>
      </c>
      <c r="P56" s="66" t="s">
        <v>47</v>
      </c>
      <c r="Q56" s="95"/>
    </row>
    <row r="57" customFormat="false" ht="45.75" hidden="false" customHeight="false" outlineLevel="0" collapsed="false">
      <c r="A57" s="52" t="e">
        <f aca="false">VLOOKUP(E57,'[1]Listas Desplegables'!$H$3:$J$7,2,FALSE())</f>
        <v>#N/A</v>
      </c>
      <c r="B57" s="52" t="e">
        <f aca="false">VLOOKUP(E57,'[1]Listas Desplegables'!$H$3:$J$7,3,FALSE())</f>
        <v>#N/A</v>
      </c>
      <c r="C57" s="76" t="s">
        <v>842</v>
      </c>
      <c r="D57" s="78" t="s">
        <v>1129</v>
      </c>
      <c r="E57" s="78" t="s">
        <v>211</v>
      </c>
      <c r="F57" s="80" t="s">
        <v>1058</v>
      </c>
      <c r="G57" s="70"/>
      <c r="H57" s="94" t="n">
        <v>16</v>
      </c>
      <c r="I57" s="72" t="s">
        <v>1056</v>
      </c>
      <c r="J57" s="73" t="s">
        <v>1059</v>
      </c>
      <c r="K57" s="73" t="s">
        <v>201</v>
      </c>
      <c r="L57" s="72"/>
      <c r="M57" s="73" t="s">
        <v>1050</v>
      </c>
      <c r="N57" s="73" t="s">
        <v>1063</v>
      </c>
      <c r="O57" s="66" t="s">
        <v>211</v>
      </c>
      <c r="P57" s="66" t="s">
        <v>47</v>
      </c>
      <c r="Q57" s="95" t="s">
        <v>1060</v>
      </c>
    </row>
    <row r="58" customFormat="false" ht="45.75" hidden="false" customHeight="false" outlineLevel="0" collapsed="false">
      <c r="C58" s="76"/>
      <c r="D58" s="78" t="s">
        <v>1130</v>
      </c>
      <c r="E58" s="78" t="s">
        <v>211</v>
      </c>
      <c r="F58" s="80" t="s">
        <v>1055</v>
      </c>
      <c r="G58" s="70"/>
      <c r="H58" s="94" t="n">
        <v>12.5</v>
      </c>
      <c r="I58" s="72" t="s">
        <v>1056</v>
      </c>
      <c r="J58" s="73" t="s">
        <v>1059</v>
      </c>
      <c r="K58" s="73" t="s">
        <v>201</v>
      </c>
      <c r="L58" s="72"/>
      <c r="M58" s="73" t="s">
        <v>1050</v>
      </c>
      <c r="N58" s="73" t="s">
        <v>1063</v>
      </c>
      <c r="O58" s="66" t="s">
        <v>211</v>
      </c>
      <c r="P58" s="66" t="s">
        <v>47</v>
      </c>
      <c r="Q58" s="95" t="s">
        <v>1060</v>
      </c>
    </row>
    <row r="59" customFormat="false" ht="45.75" hidden="false" customHeight="false" outlineLevel="0" collapsed="false">
      <c r="C59" s="76"/>
      <c r="D59" s="78" t="s">
        <v>1131</v>
      </c>
      <c r="E59" s="78" t="s">
        <v>211</v>
      </c>
      <c r="F59" s="80" t="s">
        <v>1058</v>
      </c>
      <c r="G59" s="70"/>
      <c r="H59" s="94" t="n">
        <v>1.25</v>
      </c>
      <c r="I59" s="72" t="s">
        <v>1056</v>
      </c>
      <c r="J59" s="73" t="s">
        <v>1059</v>
      </c>
      <c r="K59" s="73" t="s">
        <v>201</v>
      </c>
      <c r="L59" s="72"/>
      <c r="M59" s="73" t="s">
        <v>1050</v>
      </c>
      <c r="N59" s="73" t="s">
        <v>1063</v>
      </c>
      <c r="O59" s="66" t="s">
        <v>211</v>
      </c>
      <c r="P59" s="66" t="s">
        <v>47</v>
      </c>
      <c r="Q59" s="95" t="s">
        <v>1132</v>
      </c>
    </row>
    <row r="60" customFormat="false" ht="45.75" hidden="false" customHeight="false" outlineLevel="0" collapsed="false">
      <c r="C60" s="76"/>
      <c r="D60" s="78" t="s">
        <v>1133</v>
      </c>
      <c r="E60" s="78" t="s">
        <v>211</v>
      </c>
      <c r="F60" s="80" t="s">
        <v>1055</v>
      </c>
      <c r="G60" s="70"/>
      <c r="H60" s="94" t="n">
        <v>31.5</v>
      </c>
      <c r="I60" s="72" t="s">
        <v>1056</v>
      </c>
      <c r="J60" s="73" t="s">
        <v>1059</v>
      </c>
      <c r="K60" s="73" t="s">
        <v>201</v>
      </c>
      <c r="L60" s="72"/>
      <c r="M60" s="73" t="s">
        <v>1050</v>
      </c>
      <c r="N60" s="73" t="s">
        <v>1063</v>
      </c>
      <c r="O60" s="66" t="s">
        <v>211</v>
      </c>
      <c r="P60" s="66" t="s">
        <v>47</v>
      </c>
      <c r="Q60" s="95" t="s">
        <v>1060</v>
      </c>
    </row>
    <row r="61" customFormat="false" ht="15.75" hidden="false" customHeight="false" outlineLevel="0" collapsed="false">
      <c r="C61" s="76"/>
      <c r="D61" s="78" t="s">
        <v>1134</v>
      </c>
      <c r="E61" s="78" t="s">
        <v>211</v>
      </c>
      <c r="F61" s="80" t="s">
        <v>1058</v>
      </c>
      <c r="G61" s="70"/>
      <c r="H61" s="94" t="n">
        <v>12.5</v>
      </c>
      <c r="I61" s="72" t="s">
        <v>1056</v>
      </c>
      <c r="J61" s="73" t="s">
        <v>1059</v>
      </c>
      <c r="K61" s="73" t="s">
        <v>201</v>
      </c>
      <c r="L61" s="72"/>
      <c r="M61" s="73" t="s">
        <v>1050</v>
      </c>
      <c r="N61" s="73" t="s">
        <v>1075</v>
      </c>
      <c r="O61" s="66" t="s">
        <v>211</v>
      </c>
      <c r="P61" s="66" t="s">
        <v>47</v>
      </c>
      <c r="Q61" s="95" t="s">
        <v>1072</v>
      </c>
    </row>
    <row r="62" customFormat="false" ht="30.75" hidden="false" customHeight="false" outlineLevel="0" collapsed="false">
      <c r="C62" s="76"/>
      <c r="D62" s="78" t="s">
        <v>1135</v>
      </c>
      <c r="E62" s="78" t="s">
        <v>211</v>
      </c>
      <c r="F62" s="80" t="s">
        <v>1055</v>
      </c>
      <c r="G62" s="70"/>
      <c r="H62" s="94" t="n">
        <v>12.5</v>
      </c>
      <c r="I62" s="72" t="s">
        <v>1056</v>
      </c>
      <c r="J62" s="73" t="s">
        <v>1049</v>
      </c>
      <c r="K62" s="73" t="s">
        <v>201</v>
      </c>
      <c r="L62" s="72"/>
      <c r="M62" s="73" t="s">
        <v>1050</v>
      </c>
      <c r="N62" s="73" t="s">
        <v>1075</v>
      </c>
      <c r="O62" s="66" t="s">
        <v>211</v>
      </c>
      <c r="P62" s="66" t="s">
        <v>47</v>
      </c>
      <c r="Q62" s="95" t="s">
        <v>1085</v>
      </c>
    </row>
    <row r="63" customFormat="false" ht="15.75" hidden="false" customHeight="false" outlineLevel="0" collapsed="false">
      <c r="C63" s="76"/>
      <c r="D63" s="78" t="s">
        <v>1136</v>
      </c>
      <c r="E63" s="78" t="s">
        <v>211</v>
      </c>
      <c r="F63" s="80" t="n">
        <v>115</v>
      </c>
      <c r="G63" s="70"/>
      <c r="H63" s="94" t="n">
        <v>40</v>
      </c>
      <c r="I63" s="72" t="s">
        <v>1048</v>
      </c>
      <c r="J63" s="73" t="s">
        <v>1049</v>
      </c>
      <c r="K63" s="73" t="s">
        <v>201</v>
      </c>
      <c r="L63" s="72"/>
      <c r="M63" s="73" t="s">
        <v>1050</v>
      </c>
      <c r="N63" s="73" t="s">
        <v>1075</v>
      </c>
      <c r="O63" s="66" t="s">
        <v>211</v>
      </c>
      <c r="P63" s="66" t="s">
        <v>47</v>
      </c>
      <c r="Q63" s="95"/>
    </row>
    <row r="64" customFormat="false" ht="15.75" hidden="false" customHeight="false" outlineLevel="0" collapsed="false">
      <c r="C64" s="76"/>
      <c r="D64" s="78" t="s">
        <v>1137</v>
      </c>
      <c r="E64" s="78" t="s">
        <v>211</v>
      </c>
      <c r="F64" s="80" t="s">
        <v>1058</v>
      </c>
      <c r="G64" s="70"/>
      <c r="H64" s="94" t="n">
        <v>25</v>
      </c>
      <c r="I64" s="72" t="s">
        <v>1056</v>
      </c>
      <c r="J64" s="73" t="s">
        <v>1059</v>
      </c>
      <c r="K64" s="73" t="s">
        <v>201</v>
      </c>
      <c r="L64" s="72"/>
      <c r="M64" s="73" t="s">
        <v>1050</v>
      </c>
      <c r="N64" s="73" t="s">
        <v>1075</v>
      </c>
      <c r="O64" s="66" t="s">
        <v>211</v>
      </c>
      <c r="P64" s="66" t="s">
        <v>47</v>
      </c>
      <c r="Q64" s="95" t="s">
        <v>1072</v>
      </c>
    </row>
    <row r="65" customFormat="false" ht="45.75" hidden="false" customHeight="false" outlineLevel="0" collapsed="false">
      <c r="C65" s="76"/>
      <c r="D65" s="78" t="s">
        <v>1138</v>
      </c>
      <c r="E65" s="78" t="s">
        <v>211</v>
      </c>
      <c r="F65" s="80" t="s">
        <v>1055</v>
      </c>
      <c r="G65" s="70"/>
      <c r="H65" s="94" t="n">
        <v>31.5</v>
      </c>
      <c r="I65" s="72" t="s">
        <v>1056</v>
      </c>
      <c r="J65" s="73" t="s">
        <v>1059</v>
      </c>
      <c r="K65" s="73" t="s">
        <v>201</v>
      </c>
      <c r="L65" s="72"/>
      <c r="M65" s="73" t="s">
        <v>1050</v>
      </c>
      <c r="N65" s="73" t="s">
        <v>1075</v>
      </c>
      <c r="O65" s="66" t="s">
        <v>211</v>
      </c>
      <c r="P65" s="66" t="s">
        <v>47</v>
      </c>
      <c r="Q65" s="95" t="s">
        <v>1088</v>
      </c>
    </row>
    <row r="66" customFormat="false" ht="15.75" hidden="false" customHeight="false" outlineLevel="0" collapsed="false">
      <c r="C66" s="76"/>
      <c r="D66" s="78" t="s">
        <v>1139</v>
      </c>
      <c r="E66" s="78" t="s">
        <v>211</v>
      </c>
      <c r="F66" s="80" t="s">
        <v>1058</v>
      </c>
      <c r="G66" s="70"/>
      <c r="H66" s="94" t="n">
        <v>16</v>
      </c>
      <c r="I66" s="72" t="s">
        <v>1056</v>
      </c>
      <c r="J66" s="73" t="s">
        <v>1049</v>
      </c>
      <c r="K66" s="73" t="s">
        <v>201</v>
      </c>
      <c r="L66" s="72"/>
      <c r="M66" s="73" t="s">
        <v>1050</v>
      </c>
      <c r="N66" s="73" t="s">
        <v>1068</v>
      </c>
      <c r="O66" s="66" t="s">
        <v>211</v>
      </c>
      <c r="P66" s="66" t="s">
        <v>47</v>
      </c>
      <c r="Q66" s="95"/>
    </row>
    <row r="67" customFormat="false" ht="15.75" hidden="false" customHeight="false" outlineLevel="0" collapsed="false">
      <c r="C67" s="76"/>
      <c r="D67" s="78" t="s">
        <v>1140</v>
      </c>
      <c r="E67" s="78" t="s">
        <v>211</v>
      </c>
      <c r="F67" s="80" t="s">
        <v>1055</v>
      </c>
      <c r="G67" s="70"/>
      <c r="H67" s="94" t="n">
        <v>12.5</v>
      </c>
      <c r="I67" s="72" t="s">
        <v>1056</v>
      </c>
      <c r="J67" s="73" t="s">
        <v>1049</v>
      </c>
      <c r="K67" s="73" t="s">
        <v>201</v>
      </c>
      <c r="L67" s="72"/>
      <c r="M67" s="73" t="s">
        <v>1050</v>
      </c>
      <c r="N67" s="73" t="s">
        <v>1068</v>
      </c>
      <c r="O67" s="66" t="s">
        <v>211</v>
      </c>
      <c r="P67" s="66" t="s">
        <v>47</v>
      </c>
      <c r="Q67" s="95"/>
    </row>
    <row r="68" customFormat="false" ht="15.75" hidden="false" customHeight="false" outlineLevel="0" collapsed="false">
      <c r="C68" s="76"/>
      <c r="D68" s="78" t="s">
        <v>1141</v>
      </c>
      <c r="E68" s="78" t="s">
        <v>211</v>
      </c>
      <c r="F68" s="80" t="s">
        <v>1058</v>
      </c>
      <c r="G68" s="70"/>
      <c r="H68" s="94" t="n">
        <v>16</v>
      </c>
      <c r="I68" s="72" t="s">
        <v>1056</v>
      </c>
      <c r="J68" s="73" t="s">
        <v>1049</v>
      </c>
      <c r="K68" s="73" t="s">
        <v>201</v>
      </c>
      <c r="L68" s="72"/>
      <c r="M68" s="73" t="s">
        <v>1142</v>
      </c>
      <c r="N68" s="73" t="s">
        <v>1143</v>
      </c>
      <c r="O68" s="66" t="s">
        <v>211</v>
      </c>
      <c r="P68" s="66" t="s">
        <v>47</v>
      </c>
      <c r="Q68" s="95"/>
    </row>
    <row r="69" customFormat="false" ht="15.75" hidden="false" customHeight="false" outlineLevel="0" collapsed="false">
      <c r="C69" s="76"/>
      <c r="D69" s="78" t="s">
        <v>1144</v>
      </c>
      <c r="E69" s="78" t="s">
        <v>211</v>
      </c>
      <c r="F69" s="80" t="s">
        <v>1055</v>
      </c>
      <c r="G69" s="70"/>
      <c r="H69" s="94" t="n">
        <v>5</v>
      </c>
      <c r="I69" s="72" t="s">
        <v>1056</v>
      </c>
      <c r="J69" s="73" t="s">
        <v>1049</v>
      </c>
      <c r="K69" s="73" t="s">
        <v>201</v>
      </c>
      <c r="L69" s="72"/>
      <c r="M69" s="73" t="s">
        <v>1142</v>
      </c>
      <c r="N69" s="73" t="s">
        <v>1143</v>
      </c>
      <c r="O69" s="66" t="s">
        <v>211</v>
      </c>
      <c r="P69" s="66" t="s">
        <v>47</v>
      </c>
      <c r="Q69" s="95"/>
    </row>
    <row r="70" customFormat="false" ht="15.75" hidden="false" customHeight="false" outlineLevel="0" collapsed="false">
      <c r="C70" s="76"/>
      <c r="D70" s="78" t="s">
        <v>1145</v>
      </c>
      <c r="E70" s="78" t="s">
        <v>211</v>
      </c>
      <c r="F70" s="80" t="s">
        <v>1058</v>
      </c>
      <c r="G70" s="70"/>
      <c r="H70" s="94" t="n">
        <v>12.5</v>
      </c>
      <c r="I70" s="72" t="s">
        <v>1056</v>
      </c>
      <c r="J70" s="73" t="s">
        <v>1049</v>
      </c>
      <c r="K70" s="73" t="s">
        <v>201</v>
      </c>
      <c r="L70" s="72"/>
      <c r="M70" s="73" t="s">
        <v>1050</v>
      </c>
      <c r="N70" s="73" t="s">
        <v>1146</v>
      </c>
      <c r="O70" s="66" t="s">
        <v>211</v>
      </c>
      <c r="P70" s="66" t="s">
        <v>47</v>
      </c>
      <c r="Q70" s="95"/>
    </row>
    <row r="71" customFormat="false" ht="15.75" hidden="false" customHeight="false" outlineLevel="0" collapsed="false">
      <c r="C71" s="76"/>
      <c r="D71" s="78" t="s">
        <v>1147</v>
      </c>
      <c r="E71" s="78" t="s">
        <v>211</v>
      </c>
      <c r="F71" s="80" t="s">
        <v>1055</v>
      </c>
      <c r="G71" s="70"/>
      <c r="H71" s="94" t="n">
        <v>16</v>
      </c>
      <c r="I71" s="72" t="s">
        <v>1056</v>
      </c>
      <c r="J71" s="73" t="s">
        <v>1049</v>
      </c>
      <c r="K71" s="73" t="s">
        <v>201</v>
      </c>
      <c r="L71" s="72"/>
      <c r="M71" s="73" t="s">
        <v>1050</v>
      </c>
      <c r="N71" s="73" t="s">
        <v>1146</v>
      </c>
      <c r="O71" s="66" t="s">
        <v>211</v>
      </c>
      <c r="P71" s="66" t="s">
        <v>47</v>
      </c>
      <c r="Q71" s="95"/>
    </row>
    <row r="72" customFormat="false" ht="45.75" hidden="false" customHeight="false" outlineLevel="0" collapsed="false">
      <c r="C72" s="76"/>
      <c r="D72" s="78" t="s">
        <v>1148</v>
      </c>
      <c r="E72" s="78" t="s">
        <v>211</v>
      </c>
      <c r="F72" s="80" t="s">
        <v>1058</v>
      </c>
      <c r="G72" s="70"/>
      <c r="H72" s="94" t="n">
        <v>1</v>
      </c>
      <c r="I72" s="72" t="s">
        <v>1056</v>
      </c>
      <c r="J72" s="73" t="s">
        <v>1059</v>
      </c>
      <c r="K72" s="73" t="s">
        <v>201</v>
      </c>
      <c r="L72" s="72"/>
      <c r="M72" s="73" t="s">
        <v>1050</v>
      </c>
      <c r="N72" s="73" t="s">
        <v>1149</v>
      </c>
      <c r="O72" s="66" t="s">
        <v>211</v>
      </c>
      <c r="P72" s="66" t="s">
        <v>47</v>
      </c>
      <c r="Q72" s="95" t="s">
        <v>1060</v>
      </c>
    </row>
    <row r="73" customFormat="false" ht="45.75" hidden="false" customHeight="false" outlineLevel="0" collapsed="false">
      <c r="C73" s="76"/>
      <c r="D73" s="78" t="s">
        <v>1150</v>
      </c>
      <c r="E73" s="78" t="s">
        <v>211</v>
      </c>
      <c r="F73" s="80" t="s">
        <v>1055</v>
      </c>
      <c r="G73" s="70"/>
      <c r="H73" s="94" t="n">
        <v>6.5</v>
      </c>
      <c r="I73" s="72" t="s">
        <v>1056</v>
      </c>
      <c r="J73" s="73" t="s">
        <v>1059</v>
      </c>
      <c r="K73" s="73" t="s">
        <v>201</v>
      </c>
      <c r="L73" s="72"/>
      <c r="M73" s="73" t="s">
        <v>1050</v>
      </c>
      <c r="N73" s="73" t="s">
        <v>1149</v>
      </c>
      <c r="O73" s="66" t="s">
        <v>211</v>
      </c>
      <c r="P73" s="66" t="s">
        <v>47</v>
      </c>
      <c r="Q73" s="95" t="s">
        <v>1060</v>
      </c>
    </row>
    <row r="74" customFormat="false" ht="15.75" hidden="false" customHeight="false" outlineLevel="0" collapsed="false">
      <c r="C74" s="76"/>
      <c r="D74" s="78" t="s">
        <v>1151</v>
      </c>
      <c r="E74" s="78" t="s">
        <v>211</v>
      </c>
      <c r="F74" s="80" t="s">
        <v>1055</v>
      </c>
      <c r="G74" s="70"/>
      <c r="H74" s="94" t="n">
        <v>16</v>
      </c>
      <c r="I74" s="72" t="s">
        <v>1056</v>
      </c>
      <c r="J74" s="73" t="s">
        <v>1049</v>
      </c>
      <c r="K74" s="73" t="s">
        <v>201</v>
      </c>
      <c r="L74" s="72"/>
      <c r="M74" s="73" t="s">
        <v>1152</v>
      </c>
      <c r="N74" s="73" t="s">
        <v>1153</v>
      </c>
      <c r="O74" s="66" t="s">
        <v>211</v>
      </c>
      <c r="P74" s="66" t="s">
        <v>47</v>
      </c>
      <c r="Q74" s="95"/>
    </row>
    <row r="75" customFormat="false" ht="15.75" hidden="false" customHeight="false" outlineLevel="0" collapsed="false">
      <c r="C75" s="76"/>
      <c r="D75" s="78" t="s">
        <v>1154</v>
      </c>
      <c r="E75" s="78" t="s">
        <v>211</v>
      </c>
      <c r="F75" s="80" t="s">
        <v>1155</v>
      </c>
      <c r="G75" s="70"/>
      <c r="H75" s="94" t="n">
        <v>12.5</v>
      </c>
      <c r="I75" s="72" t="s">
        <v>1056</v>
      </c>
      <c r="J75" s="73" t="s">
        <v>1049</v>
      </c>
      <c r="K75" s="73" t="s">
        <v>201</v>
      </c>
      <c r="L75" s="72"/>
      <c r="M75" s="73" t="s">
        <v>1152</v>
      </c>
      <c r="N75" s="73" t="s">
        <v>1153</v>
      </c>
      <c r="O75" s="66" t="s">
        <v>211</v>
      </c>
      <c r="P75" s="66" t="s">
        <v>47</v>
      </c>
      <c r="Q75" s="95"/>
    </row>
    <row r="76" customFormat="false" ht="30.75" hidden="false" customHeight="false" outlineLevel="0" collapsed="false">
      <c r="C76" s="76"/>
      <c r="D76" s="78" t="s">
        <v>1156</v>
      </c>
      <c r="E76" s="78" t="s">
        <v>211</v>
      </c>
      <c r="F76" s="80" t="s">
        <v>1058</v>
      </c>
      <c r="G76" s="70"/>
      <c r="H76" s="94" t="n">
        <v>12.5</v>
      </c>
      <c r="I76" s="72" t="s">
        <v>1056</v>
      </c>
      <c r="J76" s="73" t="s">
        <v>1049</v>
      </c>
      <c r="K76" s="73" t="s">
        <v>201</v>
      </c>
      <c r="L76" s="72"/>
      <c r="M76" s="73" t="s">
        <v>1050</v>
      </c>
      <c r="N76" s="73" t="s">
        <v>1157</v>
      </c>
      <c r="O76" s="66" t="s">
        <v>211</v>
      </c>
      <c r="P76" s="66" t="s">
        <v>47</v>
      </c>
      <c r="Q76" s="95" t="s">
        <v>1052</v>
      </c>
    </row>
    <row r="77" customFormat="false" ht="30.75" hidden="false" customHeight="false" outlineLevel="0" collapsed="false">
      <c r="C77" s="76"/>
      <c r="D77" s="78" t="s">
        <v>1158</v>
      </c>
      <c r="E77" s="78" t="s">
        <v>211</v>
      </c>
      <c r="F77" s="80" t="s">
        <v>1055</v>
      </c>
      <c r="G77" s="70"/>
      <c r="H77" s="94" t="n">
        <v>12.5</v>
      </c>
      <c r="I77" s="72" t="s">
        <v>1056</v>
      </c>
      <c r="J77" s="73" t="s">
        <v>1049</v>
      </c>
      <c r="K77" s="73" t="s">
        <v>201</v>
      </c>
      <c r="L77" s="72"/>
      <c r="M77" s="73" t="s">
        <v>1050</v>
      </c>
      <c r="N77" s="73" t="s">
        <v>1157</v>
      </c>
      <c r="O77" s="66" t="s">
        <v>211</v>
      </c>
      <c r="P77" s="66" t="s">
        <v>47</v>
      </c>
      <c r="Q77" s="95" t="s">
        <v>1052</v>
      </c>
    </row>
    <row r="78" customFormat="false" ht="15.75" hidden="false" customHeight="false" outlineLevel="0" collapsed="false">
      <c r="C78" s="76"/>
      <c r="D78" s="78" t="s">
        <v>1159</v>
      </c>
      <c r="E78" s="78" t="s">
        <v>211</v>
      </c>
      <c r="F78" s="80" t="s">
        <v>1058</v>
      </c>
      <c r="G78" s="70"/>
      <c r="H78" s="94" t="n">
        <v>12.5</v>
      </c>
      <c r="I78" s="72" t="s">
        <v>1056</v>
      </c>
      <c r="J78" s="73" t="s">
        <v>1049</v>
      </c>
      <c r="K78" s="73" t="s">
        <v>201</v>
      </c>
      <c r="L78" s="72"/>
      <c r="M78" s="73" t="s">
        <v>1142</v>
      </c>
      <c r="N78" s="73" t="s">
        <v>1160</v>
      </c>
      <c r="O78" s="66" t="s">
        <v>211</v>
      </c>
      <c r="P78" s="66" t="s">
        <v>47</v>
      </c>
      <c r="Q78" s="95"/>
    </row>
    <row r="79" customFormat="false" ht="15.75" hidden="false" customHeight="false" outlineLevel="0" collapsed="false">
      <c r="C79" s="76"/>
      <c r="D79" s="78" t="s">
        <v>1161</v>
      </c>
      <c r="E79" s="78" t="s">
        <v>211</v>
      </c>
      <c r="F79" s="80" t="s">
        <v>1055</v>
      </c>
      <c r="G79" s="70"/>
      <c r="H79" s="94" t="n">
        <v>31.5</v>
      </c>
      <c r="I79" s="72" t="s">
        <v>1056</v>
      </c>
      <c r="J79" s="73" t="s">
        <v>1049</v>
      </c>
      <c r="K79" s="73" t="s">
        <v>201</v>
      </c>
      <c r="L79" s="72"/>
      <c r="M79" s="73" t="s">
        <v>1142</v>
      </c>
      <c r="N79" s="73" t="s">
        <v>1160</v>
      </c>
      <c r="O79" s="66" t="s">
        <v>211</v>
      </c>
      <c r="P79" s="66" t="s">
        <v>47</v>
      </c>
      <c r="Q79" s="95"/>
    </row>
    <row r="80" customFormat="false" ht="30.75" hidden="false" customHeight="false" outlineLevel="0" collapsed="false">
      <c r="C80" s="76"/>
      <c r="D80" s="78" t="s">
        <v>1162</v>
      </c>
      <c r="E80" s="78" t="s">
        <v>211</v>
      </c>
      <c r="F80" s="80" t="s">
        <v>1058</v>
      </c>
      <c r="G80" s="70"/>
      <c r="H80" s="94" t="n">
        <v>6</v>
      </c>
      <c r="I80" s="72" t="s">
        <v>1056</v>
      </c>
      <c r="J80" s="73" t="s">
        <v>1049</v>
      </c>
      <c r="K80" s="73" t="s">
        <v>201</v>
      </c>
      <c r="L80" s="72"/>
      <c r="M80" s="73" t="s">
        <v>1050</v>
      </c>
      <c r="N80" s="73" t="s">
        <v>1163</v>
      </c>
      <c r="O80" s="66" t="s">
        <v>211</v>
      </c>
      <c r="P80" s="66" t="s">
        <v>47</v>
      </c>
      <c r="Q80" s="95" t="s">
        <v>1052</v>
      </c>
    </row>
    <row r="81" customFormat="false" ht="15.75" hidden="false" customHeight="false" outlineLevel="0" collapsed="false">
      <c r="C81" s="76"/>
      <c r="D81" s="78" t="s">
        <v>1164</v>
      </c>
      <c r="E81" s="78" t="s">
        <v>211</v>
      </c>
      <c r="F81" s="80" t="s">
        <v>1055</v>
      </c>
      <c r="G81" s="70"/>
      <c r="H81" s="94" t="n">
        <v>10</v>
      </c>
      <c r="I81" s="72" t="s">
        <v>1056</v>
      </c>
      <c r="J81" s="73" t="s">
        <v>1049</v>
      </c>
      <c r="K81" s="73" t="s">
        <v>201</v>
      </c>
      <c r="L81" s="72"/>
      <c r="M81" s="73" t="s">
        <v>1050</v>
      </c>
      <c r="N81" s="73" t="s">
        <v>1165</v>
      </c>
      <c r="O81" s="66" t="s">
        <v>211</v>
      </c>
      <c r="P81" s="66" t="s">
        <v>47</v>
      </c>
      <c r="Q81" s="95"/>
    </row>
    <row r="82" customFormat="false" ht="15.75" hidden="false" customHeight="false" outlineLevel="0" collapsed="false">
      <c r="C82" s="76"/>
      <c r="D82" s="78" t="s">
        <v>1166</v>
      </c>
      <c r="E82" s="78" t="s">
        <v>211</v>
      </c>
      <c r="F82" s="80" t="s">
        <v>1058</v>
      </c>
      <c r="G82" s="70"/>
      <c r="H82" s="94" t="n">
        <v>12.5</v>
      </c>
      <c r="I82" s="72" t="s">
        <v>1056</v>
      </c>
      <c r="J82" s="73" t="s">
        <v>1049</v>
      </c>
      <c r="K82" s="73" t="s">
        <v>201</v>
      </c>
      <c r="L82" s="72"/>
      <c r="M82" s="73" t="s">
        <v>1050</v>
      </c>
      <c r="N82" s="73" t="s">
        <v>1167</v>
      </c>
      <c r="O82" s="66" t="s">
        <v>211</v>
      </c>
      <c r="P82" s="66" t="s">
        <v>47</v>
      </c>
      <c r="Q82" s="95"/>
    </row>
    <row r="83" customFormat="false" ht="15.75" hidden="false" customHeight="false" outlineLevel="0" collapsed="false">
      <c r="C83" s="76"/>
      <c r="D83" s="78" t="s">
        <v>1168</v>
      </c>
      <c r="E83" s="78" t="s">
        <v>211</v>
      </c>
      <c r="F83" s="80" t="s">
        <v>1055</v>
      </c>
      <c r="G83" s="70"/>
      <c r="H83" s="94" t="n">
        <v>16</v>
      </c>
      <c r="I83" s="72" t="s">
        <v>1056</v>
      </c>
      <c r="J83" s="73" t="s">
        <v>1049</v>
      </c>
      <c r="K83" s="73" t="s">
        <v>201</v>
      </c>
      <c r="L83" s="72"/>
      <c r="M83" s="73" t="s">
        <v>1050</v>
      </c>
      <c r="N83" s="73" t="s">
        <v>1167</v>
      </c>
      <c r="O83" s="66" t="s">
        <v>211</v>
      </c>
      <c r="P83" s="66" t="s">
        <v>47</v>
      </c>
      <c r="Q83" s="95"/>
    </row>
    <row r="84" customFormat="false" ht="30.75" hidden="false" customHeight="false" outlineLevel="0" collapsed="false">
      <c r="C84" s="76"/>
      <c r="D84" s="78" t="s">
        <v>1169</v>
      </c>
      <c r="E84" s="78" t="s">
        <v>211</v>
      </c>
      <c r="F84" s="80" t="s">
        <v>1058</v>
      </c>
      <c r="G84" s="70"/>
      <c r="H84" s="94" t="n">
        <v>6</v>
      </c>
      <c r="I84" s="72" t="s">
        <v>1056</v>
      </c>
      <c r="J84" s="73" t="s">
        <v>1049</v>
      </c>
      <c r="K84" s="73" t="s">
        <v>201</v>
      </c>
      <c r="L84" s="72"/>
      <c r="M84" s="73" t="s">
        <v>1050</v>
      </c>
      <c r="N84" s="73" t="s">
        <v>1170</v>
      </c>
      <c r="O84" s="66" t="s">
        <v>211</v>
      </c>
      <c r="P84" s="66" t="s">
        <v>47</v>
      </c>
      <c r="Q84" s="95" t="s">
        <v>1052</v>
      </c>
    </row>
    <row r="85" customFormat="false" ht="15.75" hidden="false" customHeight="false" outlineLevel="0" collapsed="false">
      <c r="C85" s="76"/>
      <c r="D85" s="78" t="s">
        <v>1171</v>
      </c>
      <c r="E85" s="78" t="s">
        <v>211</v>
      </c>
      <c r="F85" s="80" t="s">
        <v>1055</v>
      </c>
      <c r="G85" s="70"/>
      <c r="H85" s="94" t="n">
        <v>12.5</v>
      </c>
      <c r="I85" s="72" t="s">
        <v>1056</v>
      </c>
      <c r="J85" s="73" t="s">
        <v>1049</v>
      </c>
      <c r="K85" s="73" t="s">
        <v>201</v>
      </c>
      <c r="L85" s="72"/>
      <c r="M85" s="73" t="s">
        <v>1050</v>
      </c>
      <c r="N85" s="73" t="s">
        <v>1170</v>
      </c>
      <c r="O85" s="66" t="s">
        <v>211</v>
      </c>
      <c r="P85" s="66" t="s">
        <v>47</v>
      </c>
      <c r="Q85" s="95"/>
    </row>
    <row r="86" customFormat="false" ht="15.75" hidden="false" customHeight="false" outlineLevel="0" collapsed="false">
      <c r="C86" s="76"/>
      <c r="D86" s="78" t="s">
        <v>1172</v>
      </c>
      <c r="E86" s="78" t="s">
        <v>211</v>
      </c>
      <c r="F86" s="80" t="s">
        <v>1058</v>
      </c>
      <c r="G86" s="70"/>
      <c r="H86" s="94" t="n">
        <v>25</v>
      </c>
      <c r="I86" s="72" t="s">
        <v>1056</v>
      </c>
      <c r="J86" s="73" t="s">
        <v>1049</v>
      </c>
      <c r="K86" s="73" t="s">
        <v>201</v>
      </c>
      <c r="L86" s="72"/>
      <c r="M86" s="73" t="s">
        <v>1050</v>
      </c>
      <c r="N86" s="73" t="s">
        <v>1094</v>
      </c>
      <c r="O86" s="66" t="s">
        <v>211</v>
      </c>
      <c r="P86" s="66" t="s">
        <v>47</v>
      </c>
      <c r="Q86" s="95"/>
    </row>
    <row r="87" customFormat="false" ht="15.75" hidden="false" customHeight="false" outlineLevel="0" collapsed="false">
      <c r="C87" s="76"/>
      <c r="D87" s="78" t="s">
        <v>1173</v>
      </c>
      <c r="E87" s="78" t="s">
        <v>211</v>
      </c>
      <c r="F87" s="80" t="s">
        <v>1055</v>
      </c>
      <c r="G87" s="70"/>
      <c r="H87" s="94" t="n">
        <v>25</v>
      </c>
      <c r="I87" s="72" t="s">
        <v>1056</v>
      </c>
      <c r="J87" s="73" t="s">
        <v>1049</v>
      </c>
      <c r="K87" s="73" t="s">
        <v>201</v>
      </c>
      <c r="L87" s="72"/>
      <c r="M87" s="73" t="s">
        <v>1050</v>
      </c>
      <c r="N87" s="73" t="s">
        <v>1094</v>
      </c>
      <c r="O87" s="66" t="s">
        <v>211</v>
      </c>
      <c r="P87" s="66" t="s">
        <v>47</v>
      </c>
      <c r="Q87" s="95"/>
    </row>
    <row r="88" customFormat="false" ht="15.75" hidden="false" customHeight="false" outlineLevel="0" collapsed="false">
      <c r="C88" s="76"/>
      <c r="D88" s="78" t="s">
        <v>1174</v>
      </c>
      <c r="E88" s="78" t="s">
        <v>211</v>
      </c>
      <c r="F88" s="80" t="s">
        <v>1058</v>
      </c>
      <c r="G88" s="70"/>
      <c r="H88" s="94" t="n">
        <v>16</v>
      </c>
      <c r="I88" s="72" t="s">
        <v>1056</v>
      </c>
      <c r="J88" s="73" t="s">
        <v>1049</v>
      </c>
      <c r="K88" s="73" t="s">
        <v>201</v>
      </c>
      <c r="L88" s="72"/>
      <c r="M88" s="73" t="s">
        <v>1050</v>
      </c>
      <c r="N88" s="73" t="s">
        <v>1149</v>
      </c>
      <c r="O88" s="66" t="s">
        <v>211</v>
      </c>
      <c r="P88" s="66" t="s">
        <v>47</v>
      </c>
      <c r="Q88" s="95"/>
    </row>
    <row r="89" customFormat="false" ht="15.75" hidden="false" customHeight="false" outlineLevel="0" collapsed="false">
      <c r="C89" s="76"/>
      <c r="D89" s="78" t="s">
        <v>1175</v>
      </c>
      <c r="E89" s="78" t="s">
        <v>211</v>
      </c>
      <c r="F89" s="80" t="s">
        <v>1055</v>
      </c>
      <c r="G89" s="70"/>
      <c r="H89" s="94" t="n">
        <v>16</v>
      </c>
      <c r="I89" s="72" t="s">
        <v>1056</v>
      </c>
      <c r="J89" s="73" t="s">
        <v>1049</v>
      </c>
      <c r="K89" s="73" t="s">
        <v>201</v>
      </c>
      <c r="L89" s="72"/>
      <c r="M89" s="73" t="s">
        <v>1050</v>
      </c>
      <c r="N89" s="73" t="s">
        <v>1149</v>
      </c>
      <c r="O89" s="66" t="s">
        <v>211</v>
      </c>
      <c r="P89" s="66" t="s">
        <v>47</v>
      </c>
      <c r="Q89" s="95"/>
    </row>
    <row r="90" customFormat="false" ht="15.75" hidden="false" customHeight="false" outlineLevel="0" collapsed="false">
      <c r="C90" s="76"/>
      <c r="D90" s="78" t="s">
        <v>1176</v>
      </c>
      <c r="E90" s="78" t="s">
        <v>211</v>
      </c>
      <c r="F90" s="80" t="s">
        <v>1058</v>
      </c>
      <c r="G90" s="70"/>
      <c r="H90" s="94" t="n">
        <v>12.5</v>
      </c>
      <c r="I90" s="72" t="s">
        <v>1056</v>
      </c>
      <c r="J90" s="73" t="s">
        <v>1049</v>
      </c>
      <c r="K90" s="73" t="s">
        <v>201</v>
      </c>
      <c r="L90" s="72"/>
      <c r="M90" s="73" t="s">
        <v>1050</v>
      </c>
      <c r="N90" s="73" t="s">
        <v>1177</v>
      </c>
      <c r="O90" s="66" t="s">
        <v>211</v>
      </c>
      <c r="P90" s="66" t="s">
        <v>47</v>
      </c>
      <c r="Q90" s="95"/>
    </row>
    <row r="91" customFormat="false" ht="15.75" hidden="false" customHeight="false" outlineLevel="0" collapsed="false">
      <c r="C91" s="76"/>
      <c r="D91" s="78" t="s">
        <v>1178</v>
      </c>
      <c r="E91" s="78" t="s">
        <v>211</v>
      </c>
      <c r="F91" s="80" t="s">
        <v>1055</v>
      </c>
      <c r="G91" s="70"/>
      <c r="H91" s="94" t="n">
        <v>16</v>
      </c>
      <c r="I91" s="72" t="s">
        <v>1056</v>
      </c>
      <c r="J91" s="73" t="s">
        <v>1049</v>
      </c>
      <c r="K91" s="73" t="s">
        <v>201</v>
      </c>
      <c r="L91" s="72"/>
      <c r="M91" s="73" t="s">
        <v>1050</v>
      </c>
      <c r="N91" s="73" t="s">
        <v>1177</v>
      </c>
      <c r="O91" s="66" t="s">
        <v>211</v>
      </c>
      <c r="P91" s="66" t="s">
        <v>47</v>
      </c>
      <c r="Q91" s="95"/>
    </row>
    <row r="92" customFormat="false" ht="45.75" hidden="false" customHeight="false" outlineLevel="0" collapsed="false">
      <c r="C92" s="76"/>
      <c r="D92" s="78" t="s">
        <v>1179</v>
      </c>
      <c r="E92" s="78" t="s">
        <v>211</v>
      </c>
      <c r="F92" s="80" t="s">
        <v>1058</v>
      </c>
      <c r="G92" s="70"/>
      <c r="H92" s="94" t="n">
        <v>25</v>
      </c>
      <c r="I92" s="72" t="s">
        <v>1056</v>
      </c>
      <c r="J92" s="73" t="s">
        <v>1059</v>
      </c>
      <c r="K92" s="73" t="s">
        <v>201</v>
      </c>
      <c r="L92" s="72"/>
      <c r="M92" s="73" t="s">
        <v>1050</v>
      </c>
      <c r="N92" s="73" t="s">
        <v>1051</v>
      </c>
      <c r="O92" s="66" t="s">
        <v>211</v>
      </c>
      <c r="P92" s="66" t="s">
        <v>47</v>
      </c>
      <c r="Q92" s="95" t="s">
        <v>1060</v>
      </c>
    </row>
    <row r="93" customFormat="false" ht="45.75" hidden="false" customHeight="false" outlineLevel="0" collapsed="false">
      <c r="C93" s="76"/>
      <c r="D93" s="78" t="s">
        <v>1180</v>
      </c>
      <c r="E93" s="78" t="s">
        <v>211</v>
      </c>
      <c r="F93" s="80" t="s">
        <v>1055</v>
      </c>
      <c r="G93" s="70"/>
      <c r="H93" s="94" t="n">
        <v>25</v>
      </c>
      <c r="I93" s="72" t="s">
        <v>1056</v>
      </c>
      <c r="J93" s="73" t="s">
        <v>1059</v>
      </c>
      <c r="K93" s="73" t="s">
        <v>201</v>
      </c>
      <c r="L93" s="72"/>
      <c r="M93" s="73" t="s">
        <v>1050</v>
      </c>
      <c r="N93" s="73" t="s">
        <v>1051</v>
      </c>
      <c r="O93" s="66" t="s">
        <v>211</v>
      </c>
      <c r="P93" s="66" t="s">
        <v>47</v>
      </c>
      <c r="Q93" s="95" t="s">
        <v>1060</v>
      </c>
    </row>
    <row r="94" customFormat="false" ht="15.75" hidden="false" customHeight="false" outlineLevel="0" collapsed="false">
      <c r="C94" s="76"/>
      <c r="D94" s="78" t="s">
        <v>1181</v>
      </c>
      <c r="E94" s="78" t="s">
        <v>211</v>
      </c>
      <c r="F94" s="80" t="n">
        <v>115</v>
      </c>
      <c r="G94" s="70"/>
      <c r="H94" s="94" t="n">
        <v>40</v>
      </c>
      <c r="I94" s="72" t="s">
        <v>1056</v>
      </c>
      <c r="J94" s="73" t="s">
        <v>1049</v>
      </c>
      <c r="K94" s="73" t="s">
        <v>201</v>
      </c>
      <c r="L94" s="72"/>
      <c r="M94" s="73" t="s">
        <v>1050</v>
      </c>
      <c r="N94" s="73" t="s">
        <v>1051</v>
      </c>
      <c r="O94" s="66" t="s">
        <v>211</v>
      </c>
      <c r="P94" s="66" t="s">
        <v>47</v>
      </c>
      <c r="Q94" s="95"/>
    </row>
    <row r="95" customFormat="false" ht="30.75" hidden="false" customHeight="false" outlineLevel="0" collapsed="false">
      <c r="C95" s="76"/>
      <c r="D95" s="78" t="s">
        <v>1182</v>
      </c>
      <c r="E95" s="78" t="s">
        <v>211</v>
      </c>
      <c r="F95" s="80" t="s">
        <v>1058</v>
      </c>
      <c r="G95" s="70"/>
      <c r="H95" s="94" t="n">
        <v>10</v>
      </c>
      <c r="I95" s="72" t="s">
        <v>1056</v>
      </c>
      <c r="J95" s="73" t="s">
        <v>1049</v>
      </c>
      <c r="K95" s="73" t="s">
        <v>201</v>
      </c>
      <c r="L95" s="72"/>
      <c r="M95" s="73" t="s">
        <v>1050</v>
      </c>
      <c r="N95" s="73" t="s">
        <v>1183</v>
      </c>
      <c r="O95" s="66" t="s">
        <v>211</v>
      </c>
      <c r="P95" s="66" t="s">
        <v>47</v>
      </c>
      <c r="Q95" s="95" t="s">
        <v>1052</v>
      </c>
    </row>
    <row r="96" customFormat="false" ht="15.75" hidden="false" customHeight="false" outlineLevel="0" collapsed="false">
      <c r="C96" s="76"/>
      <c r="D96" s="78" t="s">
        <v>1184</v>
      </c>
      <c r="E96" s="78" t="s">
        <v>211</v>
      </c>
      <c r="F96" s="80" t="s">
        <v>1055</v>
      </c>
      <c r="G96" s="70"/>
      <c r="H96" s="94" t="n">
        <v>40</v>
      </c>
      <c r="I96" s="72" t="s">
        <v>1056</v>
      </c>
      <c r="J96" s="73" t="s">
        <v>1049</v>
      </c>
      <c r="K96" s="73" t="s">
        <v>201</v>
      </c>
      <c r="L96" s="72"/>
      <c r="M96" s="73" t="s">
        <v>1050</v>
      </c>
      <c r="N96" s="73" t="s">
        <v>1183</v>
      </c>
      <c r="O96" s="66" t="s">
        <v>211</v>
      </c>
      <c r="P96" s="66" t="s">
        <v>47</v>
      </c>
      <c r="Q96" s="95"/>
    </row>
    <row r="97" customFormat="false" ht="15.75" hidden="false" customHeight="false" outlineLevel="0" collapsed="false">
      <c r="C97" s="76"/>
      <c r="D97" s="78" t="s">
        <v>1185</v>
      </c>
      <c r="E97" s="78" t="s">
        <v>211</v>
      </c>
      <c r="F97" s="80" t="s">
        <v>1058</v>
      </c>
      <c r="G97" s="70"/>
      <c r="H97" s="94" t="n">
        <v>16</v>
      </c>
      <c r="I97" s="72" t="s">
        <v>1056</v>
      </c>
      <c r="J97" s="73" t="s">
        <v>1049</v>
      </c>
      <c r="K97" s="73" t="s">
        <v>201</v>
      </c>
      <c r="L97" s="72"/>
      <c r="M97" s="73" t="s">
        <v>1142</v>
      </c>
      <c r="N97" s="73" t="s">
        <v>1143</v>
      </c>
      <c r="O97" s="66" t="s">
        <v>211</v>
      </c>
      <c r="P97" s="66" t="s">
        <v>47</v>
      </c>
      <c r="Q97" s="95"/>
    </row>
    <row r="98" customFormat="false" ht="15.75" hidden="false" customHeight="false" outlineLevel="0" collapsed="false">
      <c r="C98" s="76"/>
      <c r="D98" s="78" t="s">
        <v>1186</v>
      </c>
      <c r="E98" s="78" t="s">
        <v>211</v>
      </c>
      <c r="F98" s="80" t="s">
        <v>1055</v>
      </c>
      <c r="G98" s="70"/>
      <c r="H98" s="94" t="n">
        <v>12.5</v>
      </c>
      <c r="I98" s="72" t="s">
        <v>1056</v>
      </c>
      <c r="J98" s="73" t="s">
        <v>1049</v>
      </c>
      <c r="K98" s="73" t="s">
        <v>201</v>
      </c>
      <c r="L98" s="72"/>
      <c r="M98" s="73" t="s">
        <v>1142</v>
      </c>
      <c r="N98" s="73" t="s">
        <v>1143</v>
      </c>
      <c r="O98" s="66" t="s">
        <v>211</v>
      </c>
      <c r="P98" s="66" t="s">
        <v>47</v>
      </c>
      <c r="Q98" s="95"/>
    </row>
    <row r="99" customFormat="false" ht="15.75" hidden="false" customHeight="false" outlineLevel="0" collapsed="false">
      <c r="C99" s="76"/>
      <c r="D99" s="78" t="s">
        <v>1187</v>
      </c>
      <c r="E99" s="78" t="s">
        <v>211</v>
      </c>
      <c r="F99" s="80" t="s">
        <v>1058</v>
      </c>
      <c r="G99" s="70"/>
      <c r="H99" s="94" t="n">
        <v>16</v>
      </c>
      <c r="I99" s="72" t="s">
        <v>1056</v>
      </c>
      <c r="J99" s="73" t="s">
        <v>1049</v>
      </c>
      <c r="K99" s="73" t="s">
        <v>201</v>
      </c>
      <c r="L99" s="72"/>
      <c r="M99" s="73" t="s">
        <v>1050</v>
      </c>
      <c r="N99" s="73" t="s">
        <v>1094</v>
      </c>
      <c r="O99" s="66" t="s">
        <v>211</v>
      </c>
      <c r="P99" s="66" t="s">
        <v>47</v>
      </c>
      <c r="Q99" s="95"/>
    </row>
    <row r="100" customFormat="false" ht="15.75" hidden="false" customHeight="false" outlineLevel="0" collapsed="false">
      <c r="C100" s="76"/>
      <c r="D100" s="78" t="s">
        <v>1188</v>
      </c>
      <c r="E100" s="78" t="s">
        <v>211</v>
      </c>
      <c r="F100" s="80" t="s">
        <v>1055</v>
      </c>
      <c r="G100" s="70"/>
      <c r="H100" s="94" t="n">
        <v>16</v>
      </c>
      <c r="I100" s="72" t="s">
        <v>1056</v>
      </c>
      <c r="J100" s="73" t="s">
        <v>1049</v>
      </c>
      <c r="K100" s="73" t="s">
        <v>201</v>
      </c>
      <c r="L100" s="72"/>
      <c r="M100" s="73" t="s">
        <v>1050</v>
      </c>
      <c r="N100" s="73" t="s">
        <v>1094</v>
      </c>
      <c r="O100" s="66" t="s">
        <v>211</v>
      </c>
      <c r="P100" s="66" t="s">
        <v>47</v>
      </c>
      <c r="Q100" s="95"/>
    </row>
    <row r="101" customFormat="false" ht="15.75" hidden="false" customHeight="false" outlineLevel="0" collapsed="false">
      <c r="C101" s="76"/>
      <c r="D101" s="78" t="s">
        <v>1189</v>
      </c>
      <c r="E101" s="78" t="s">
        <v>211</v>
      </c>
      <c r="F101" s="80" t="s">
        <v>1058</v>
      </c>
      <c r="G101" s="70"/>
      <c r="H101" s="94" t="n">
        <v>16</v>
      </c>
      <c r="I101" s="72" t="s">
        <v>1056</v>
      </c>
      <c r="J101" s="73" t="s">
        <v>1049</v>
      </c>
      <c r="K101" s="73" t="s">
        <v>201</v>
      </c>
      <c r="L101" s="72"/>
      <c r="M101" s="73" t="s">
        <v>1050</v>
      </c>
      <c r="N101" s="73" t="s">
        <v>1190</v>
      </c>
      <c r="O101" s="66" t="s">
        <v>211</v>
      </c>
      <c r="P101" s="66" t="s">
        <v>47</v>
      </c>
      <c r="Q101" s="95"/>
    </row>
    <row r="102" customFormat="false" ht="15.75" hidden="false" customHeight="false" outlineLevel="0" collapsed="false">
      <c r="C102" s="76"/>
      <c r="D102" s="78" t="s">
        <v>1191</v>
      </c>
      <c r="E102" s="78" t="s">
        <v>211</v>
      </c>
      <c r="F102" s="80" t="s">
        <v>1055</v>
      </c>
      <c r="G102" s="70"/>
      <c r="H102" s="94" t="n">
        <v>31.5</v>
      </c>
      <c r="I102" s="72" t="s">
        <v>1056</v>
      </c>
      <c r="J102" s="73" t="s">
        <v>1049</v>
      </c>
      <c r="K102" s="73" t="s">
        <v>201</v>
      </c>
      <c r="L102" s="72"/>
      <c r="M102" s="73" t="s">
        <v>1050</v>
      </c>
      <c r="N102" s="73" t="s">
        <v>1190</v>
      </c>
      <c r="O102" s="66" t="s">
        <v>211</v>
      </c>
      <c r="P102" s="66" t="s">
        <v>47</v>
      </c>
      <c r="Q102" s="95"/>
    </row>
    <row r="103" customFormat="false" ht="30.75" hidden="false" customHeight="false" outlineLevel="0" collapsed="false">
      <c r="C103" s="76"/>
      <c r="D103" s="78" t="s">
        <v>1192</v>
      </c>
      <c r="E103" s="78" t="s">
        <v>211</v>
      </c>
      <c r="F103" s="80" t="s">
        <v>1055</v>
      </c>
      <c r="G103" s="70"/>
      <c r="H103" s="94" t="n">
        <v>16</v>
      </c>
      <c r="I103" s="72" t="s">
        <v>1056</v>
      </c>
      <c r="J103" s="73" t="s">
        <v>1049</v>
      </c>
      <c r="K103" s="73" t="s">
        <v>201</v>
      </c>
      <c r="L103" s="72"/>
      <c r="M103" s="73" t="s">
        <v>1050</v>
      </c>
      <c r="N103" s="73" t="s">
        <v>1068</v>
      </c>
      <c r="O103" s="66" t="s">
        <v>211</v>
      </c>
      <c r="P103" s="66" t="s">
        <v>47</v>
      </c>
      <c r="Q103" s="95" t="s">
        <v>1052</v>
      </c>
    </row>
    <row r="104" customFormat="false" ht="30.75" hidden="false" customHeight="false" outlineLevel="0" collapsed="false">
      <c r="C104" s="76"/>
      <c r="D104" s="78" t="s">
        <v>1193</v>
      </c>
      <c r="E104" s="78" t="s">
        <v>211</v>
      </c>
      <c r="F104" s="80" t="s">
        <v>1058</v>
      </c>
      <c r="G104" s="70"/>
      <c r="H104" s="94" t="n">
        <v>16</v>
      </c>
      <c r="I104" s="72" t="s">
        <v>1056</v>
      </c>
      <c r="J104" s="73" t="s">
        <v>1049</v>
      </c>
      <c r="K104" s="73" t="s">
        <v>201</v>
      </c>
      <c r="L104" s="72"/>
      <c r="M104" s="73" t="s">
        <v>1050</v>
      </c>
      <c r="N104" s="73" t="s">
        <v>1068</v>
      </c>
      <c r="O104" s="66" t="s">
        <v>211</v>
      </c>
      <c r="P104" s="66" t="s">
        <v>47</v>
      </c>
      <c r="Q104" s="95" t="s">
        <v>1052</v>
      </c>
    </row>
    <row r="105" customFormat="false" ht="15.75" hidden="false" customHeight="false" outlineLevel="0" collapsed="false">
      <c r="C105" s="76"/>
      <c r="D105" s="78" t="s">
        <v>1194</v>
      </c>
      <c r="E105" s="78" t="s">
        <v>211</v>
      </c>
      <c r="F105" s="80" t="s">
        <v>1055</v>
      </c>
      <c r="G105" s="70"/>
      <c r="H105" s="94" t="n">
        <v>16</v>
      </c>
      <c r="I105" s="72" t="s">
        <v>1056</v>
      </c>
      <c r="J105" s="73" t="s">
        <v>1049</v>
      </c>
      <c r="K105" s="73" t="s">
        <v>201</v>
      </c>
      <c r="L105" s="72"/>
      <c r="M105" s="73" t="s">
        <v>1050</v>
      </c>
      <c r="N105" s="73" t="s">
        <v>1051</v>
      </c>
      <c r="O105" s="66" t="s">
        <v>211</v>
      </c>
      <c r="P105" s="66" t="s">
        <v>47</v>
      </c>
      <c r="Q105" s="95"/>
    </row>
    <row r="106" customFormat="false" ht="15.75" hidden="false" customHeight="false" outlineLevel="0" collapsed="false">
      <c r="C106" s="76"/>
      <c r="D106" s="78" t="s">
        <v>1195</v>
      </c>
      <c r="E106" s="78" t="s">
        <v>211</v>
      </c>
      <c r="F106" s="80" t="s">
        <v>1058</v>
      </c>
      <c r="G106" s="70"/>
      <c r="H106" s="94" t="n">
        <v>10</v>
      </c>
      <c r="I106" s="72" t="s">
        <v>1056</v>
      </c>
      <c r="J106" s="73" t="s">
        <v>1049</v>
      </c>
      <c r="K106" s="73" t="s">
        <v>201</v>
      </c>
      <c r="L106" s="72"/>
      <c r="M106" s="73" t="s">
        <v>1050</v>
      </c>
      <c r="N106" s="73" t="s">
        <v>1051</v>
      </c>
      <c r="O106" s="66" t="s">
        <v>211</v>
      </c>
      <c r="P106" s="66" t="s">
        <v>47</v>
      </c>
      <c r="Q106" s="95"/>
    </row>
    <row r="107" customFormat="false" ht="15.75" hidden="false" customHeight="false" outlineLevel="0" collapsed="false">
      <c r="C107" s="76"/>
      <c r="D107" s="78" t="s">
        <v>1196</v>
      </c>
      <c r="E107" s="78" t="s">
        <v>211</v>
      </c>
      <c r="F107" s="80" t="s">
        <v>1058</v>
      </c>
      <c r="G107" s="70"/>
      <c r="H107" s="94" t="n">
        <v>16</v>
      </c>
      <c r="I107" s="72" t="s">
        <v>1056</v>
      </c>
      <c r="J107" s="73" t="s">
        <v>1049</v>
      </c>
      <c r="K107" s="73" t="s">
        <v>201</v>
      </c>
      <c r="L107" s="72"/>
      <c r="M107" s="73" t="s">
        <v>1050</v>
      </c>
      <c r="N107" s="73" t="s">
        <v>1094</v>
      </c>
      <c r="O107" s="66" t="s">
        <v>211</v>
      </c>
      <c r="P107" s="66" t="s">
        <v>47</v>
      </c>
      <c r="Q107" s="95"/>
    </row>
    <row r="108" customFormat="false" ht="30.75" hidden="false" customHeight="false" outlineLevel="0" collapsed="false">
      <c r="C108" s="76"/>
      <c r="D108" s="78" t="s">
        <v>1197</v>
      </c>
      <c r="E108" s="78" t="s">
        <v>211</v>
      </c>
      <c r="F108" s="80" t="s">
        <v>1055</v>
      </c>
      <c r="G108" s="70"/>
      <c r="H108" s="94" t="n">
        <v>16</v>
      </c>
      <c r="I108" s="72" t="s">
        <v>1056</v>
      </c>
      <c r="J108" s="73" t="s">
        <v>1049</v>
      </c>
      <c r="K108" s="73" t="s">
        <v>201</v>
      </c>
      <c r="L108" s="72"/>
      <c r="M108" s="73" t="s">
        <v>1050</v>
      </c>
      <c r="N108" s="73" t="s">
        <v>1094</v>
      </c>
      <c r="O108" s="66" t="s">
        <v>211</v>
      </c>
      <c r="P108" s="66" t="s">
        <v>47</v>
      </c>
      <c r="Q108" s="95" t="s">
        <v>1052</v>
      </c>
    </row>
    <row r="109" customFormat="false" ht="15.75" hidden="false" customHeight="false" outlineLevel="0" collapsed="false">
      <c r="C109" s="76"/>
      <c r="D109" s="78" t="s">
        <v>1198</v>
      </c>
      <c r="E109" s="78" t="s">
        <v>211</v>
      </c>
      <c r="F109" s="80" t="s">
        <v>1058</v>
      </c>
      <c r="G109" s="70"/>
      <c r="H109" s="94" t="n">
        <v>16</v>
      </c>
      <c r="I109" s="72" t="s">
        <v>1056</v>
      </c>
      <c r="J109" s="73" t="s">
        <v>1049</v>
      </c>
      <c r="K109" s="73" t="s">
        <v>201</v>
      </c>
      <c r="L109" s="72"/>
      <c r="M109" s="73" t="s">
        <v>1050</v>
      </c>
      <c r="N109" s="73" t="s">
        <v>1199</v>
      </c>
      <c r="O109" s="66" t="s">
        <v>211</v>
      </c>
      <c r="P109" s="66" t="s">
        <v>47</v>
      </c>
      <c r="Q109" s="95"/>
    </row>
    <row r="110" customFormat="false" ht="15.75" hidden="false" customHeight="false" outlineLevel="0" collapsed="false">
      <c r="C110" s="76"/>
      <c r="D110" s="78" t="s">
        <v>1200</v>
      </c>
      <c r="E110" s="78" t="s">
        <v>211</v>
      </c>
      <c r="F110" s="80" t="s">
        <v>1055</v>
      </c>
      <c r="G110" s="70"/>
      <c r="H110" s="94" t="n">
        <v>10</v>
      </c>
      <c r="I110" s="72" t="s">
        <v>1056</v>
      </c>
      <c r="J110" s="73" t="s">
        <v>1049</v>
      </c>
      <c r="K110" s="73" t="s">
        <v>201</v>
      </c>
      <c r="L110" s="72"/>
      <c r="M110" s="73" t="s">
        <v>1050</v>
      </c>
      <c r="N110" s="73" t="s">
        <v>1199</v>
      </c>
      <c r="O110" s="66" t="s">
        <v>211</v>
      </c>
      <c r="P110" s="66" t="s">
        <v>47</v>
      </c>
      <c r="Q110" s="95"/>
    </row>
    <row r="111" customFormat="false" ht="15.75" hidden="false" customHeight="false" outlineLevel="0" collapsed="false">
      <c r="C111" s="76"/>
      <c r="D111" s="78" t="s">
        <v>1201</v>
      </c>
      <c r="E111" s="78" t="s">
        <v>211</v>
      </c>
      <c r="F111" s="80" t="s">
        <v>1058</v>
      </c>
      <c r="G111" s="70"/>
      <c r="H111" s="94" t="n">
        <v>16</v>
      </c>
      <c r="I111" s="72" t="s">
        <v>1056</v>
      </c>
      <c r="J111" s="73" t="s">
        <v>1049</v>
      </c>
      <c r="K111" s="73" t="s">
        <v>201</v>
      </c>
      <c r="L111" s="72"/>
      <c r="M111" s="73" t="s">
        <v>1050</v>
      </c>
      <c r="N111" s="73" t="s">
        <v>1202</v>
      </c>
      <c r="O111" s="66" t="s">
        <v>211</v>
      </c>
      <c r="P111" s="66" t="s">
        <v>47</v>
      </c>
      <c r="Q111" s="95"/>
    </row>
    <row r="112" customFormat="false" ht="15.75" hidden="false" customHeight="false" outlineLevel="0" collapsed="false">
      <c r="C112" s="76"/>
      <c r="D112" s="78" t="s">
        <v>1203</v>
      </c>
      <c r="E112" s="78" t="s">
        <v>211</v>
      </c>
      <c r="F112" s="80" t="s">
        <v>1055</v>
      </c>
      <c r="G112" s="70"/>
      <c r="H112" s="94" t="n">
        <v>12.5</v>
      </c>
      <c r="I112" s="72" t="s">
        <v>1056</v>
      </c>
      <c r="J112" s="73" t="s">
        <v>1049</v>
      </c>
      <c r="K112" s="73" t="s">
        <v>201</v>
      </c>
      <c r="L112" s="72"/>
      <c r="M112" s="73" t="s">
        <v>1050</v>
      </c>
      <c r="N112" s="73" t="s">
        <v>1202</v>
      </c>
      <c r="O112" s="66" t="s">
        <v>211</v>
      </c>
      <c r="P112" s="66" t="s">
        <v>47</v>
      </c>
      <c r="Q112" s="95"/>
    </row>
    <row r="113" customFormat="false" ht="15.75" hidden="false" customHeight="false" outlineLevel="0" collapsed="false">
      <c r="C113" s="76"/>
      <c r="D113" s="78" t="s">
        <v>1204</v>
      </c>
      <c r="E113" s="78" t="s">
        <v>211</v>
      </c>
      <c r="F113" s="80" t="s">
        <v>1058</v>
      </c>
      <c r="G113" s="70"/>
      <c r="H113" s="94" t="n">
        <v>16</v>
      </c>
      <c r="I113" s="72" t="s">
        <v>1056</v>
      </c>
      <c r="J113" s="73" t="s">
        <v>1049</v>
      </c>
      <c r="K113" s="73" t="s">
        <v>201</v>
      </c>
      <c r="L113" s="72"/>
      <c r="M113" s="73" t="s">
        <v>1050</v>
      </c>
      <c r="N113" s="73" t="s">
        <v>1205</v>
      </c>
      <c r="O113" s="66" t="s">
        <v>211</v>
      </c>
      <c r="P113" s="66" t="s">
        <v>47</v>
      </c>
      <c r="Q113" s="95"/>
    </row>
    <row r="114" customFormat="false" ht="30.75" hidden="false" customHeight="false" outlineLevel="0" collapsed="false">
      <c r="C114" s="76"/>
      <c r="D114" s="78" t="s">
        <v>1206</v>
      </c>
      <c r="E114" s="78" t="s">
        <v>211</v>
      </c>
      <c r="F114" s="80" t="s">
        <v>1055</v>
      </c>
      <c r="G114" s="70"/>
      <c r="H114" s="94" t="n">
        <v>12.5</v>
      </c>
      <c r="I114" s="72" t="s">
        <v>1056</v>
      </c>
      <c r="J114" s="73" t="s">
        <v>1049</v>
      </c>
      <c r="K114" s="73" t="s">
        <v>201</v>
      </c>
      <c r="L114" s="72"/>
      <c r="M114" s="73" t="s">
        <v>1050</v>
      </c>
      <c r="N114" s="73" t="s">
        <v>1205</v>
      </c>
      <c r="O114" s="66" t="s">
        <v>211</v>
      </c>
      <c r="P114" s="66" t="s">
        <v>47</v>
      </c>
      <c r="Q114" s="95" t="s">
        <v>1052</v>
      </c>
    </row>
    <row r="115" customFormat="false" ht="30.75" hidden="false" customHeight="false" outlineLevel="0" collapsed="false">
      <c r="C115" s="76"/>
      <c r="D115" s="78" t="s">
        <v>1207</v>
      </c>
      <c r="E115" s="78" t="s">
        <v>211</v>
      </c>
      <c r="F115" s="80" t="s">
        <v>1058</v>
      </c>
      <c r="G115" s="70"/>
      <c r="H115" s="94" t="n">
        <v>12</v>
      </c>
      <c r="I115" s="72" t="s">
        <v>1056</v>
      </c>
      <c r="J115" s="73" t="s">
        <v>1049</v>
      </c>
      <c r="K115" s="73" t="s">
        <v>201</v>
      </c>
      <c r="L115" s="72"/>
      <c r="M115" s="73" t="s">
        <v>1050</v>
      </c>
      <c r="N115" s="73" t="s">
        <v>1075</v>
      </c>
      <c r="O115" s="66" t="s">
        <v>211</v>
      </c>
      <c r="P115" s="66" t="s">
        <v>47</v>
      </c>
      <c r="Q115" s="95" t="s">
        <v>1052</v>
      </c>
    </row>
    <row r="116" customFormat="false" ht="15.75" hidden="false" customHeight="false" outlineLevel="0" collapsed="false">
      <c r="C116" s="76"/>
      <c r="D116" s="78" t="s">
        <v>1208</v>
      </c>
      <c r="E116" s="78" t="s">
        <v>211</v>
      </c>
      <c r="F116" s="80" t="s">
        <v>1055</v>
      </c>
      <c r="G116" s="70"/>
      <c r="H116" s="94" t="n">
        <v>12.5</v>
      </c>
      <c r="I116" s="72" t="s">
        <v>1056</v>
      </c>
      <c r="J116" s="73" t="s">
        <v>1049</v>
      </c>
      <c r="K116" s="73" t="s">
        <v>201</v>
      </c>
      <c r="L116" s="72"/>
      <c r="M116" s="73" t="s">
        <v>1050</v>
      </c>
      <c r="N116" s="73" t="s">
        <v>1075</v>
      </c>
      <c r="O116" s="66" t="s">
        <v>211</v>
      </c>
      <c r="P116" s="66" t="s">
        <v>47</v>
      </c>
      <c r="Q116" s="95"/>
    </row>
    <row r="117" customFormat="false" ht="15.75" hidden="false" customHeight="false" outlineLevel="0" collapsed="false">
      <c r="C117" s="76"/>
      <c r="D117" s="78" t="s">
        <v>1209</v>
      </c>
      <c r="E117" s="78" t="s">
        <v>211</v>
      </c>
      <c r="F117" s="80" t="s">
        <v>1058</v>
      </c>
      <c r="G117" s="70"/>
      <c r="H117" s="94" t="n">
        <v>12.5</v>
      </c>
      <c r="I117" s="72" t="s">
        <v>1056</v>
      </c>
      <c r="J117" s="73" t="s">
        <v>1049</v>
      </c>
      <c r="K117" s="73" t="s">
        <v>201</v>
      </c>
      <c r="L117" s="72"/>
      <c r="M117" s="73" t="s">
        <v>1050</v>
      </c>
      <c r="N117" s="73" t="s">
        <v>1149</v>
      </c>
      <c r="O117" s="66" t="s">
        <v>211</v>
      </c>
      <c r="P117" s="66" t="s">
        <v>47</v>
      </c>
      <c r="Q117" s="95"/>
    </row>
    <row r="118" customFormat="false" ht="30.75" hidden="false" customHeight="false" outlineLevel="0" collapsed="false">
      <c r="C118" s="76"/>
      <c r="D118" s="78" t="s">
        <v>1210</v>
      </c>
      <c r="E118" s="78" t="s">
        <v>211</v>
      </c>
      <c r="F118" s="80" t="s">
        <v>1055</v>
      </c>
      <c r="G118" s="70"/>
      <c r="H118" s="94" t="n">
        <v>12.5</v>
      </c>
      <c r="I118" s="72" t="s">
        <v>1056</v>
      </c>
      <c r="J118" s="73" t="s">
        <v>1049</v>
      </c>
      <c r="K118" s="73" t="s">
        <v>201</v>
      </c>
      <c r="L118" s="72"/>
      <c r="M118" s="73" t="s">
        <v>1050</v>
      </c>
      <c r="N118" s="73" t="s">
        <v>1149</v>
      </c>
      <c r="O118" s="66" t="s">
        <v>211</v>
      </c>
      <c r="P118" s="66" t="s">
        <v>47</v>
      </c>
      <c r="Q118" s="95" t="s">
        <v>1052</v>
      </c>
    </row>
    <row r="119" customFormat="false" ht="30.75" hidden="false" customHeight="false" outlineLevel="0" collapsed="false">
      <c r="C119" s="76"/>
      <c r="D119" s="78" t="s">
        <v>1211</v>
      </c>
      <c r="E119" s="78" t="s">
        <v>211</v>
      </c>
      <c r="F119" s="80" t="s">
        <v>1212</v>
      </c>
      <c r="G119" s="70"/>
      <c r="H119" s="94" t="n">
        <v>16</v>
      </c>
      <c r="I119" s="72" t="s">
        <v>1056</v>
      </c>
      <c r="J119" s="73" t="s">
        <v>1049</v>
      </c>
      <c r="K119" s="73" t="s">
        <v>201</v>
      </c>
      <c r="L119" s="72"/>
      <c r="M119" s="73" t="s">
        <v>1050</v>
      </c>
      <c r="N119" s="73" t="s">
        <v>1213</v>
      </c>
      <c r="O119" s="66" t="s">
        <v>211</v>
      </c>
      <c r="P119" s="66" t="s">
        <v>47</v>
      </c>
      <c r="Q119" s="95" t="s">
        <v>1052</v>
      </c>
    </row>
    <row r="120" customFormat="false" ht="30.75" hidden="false" customHeight="false" outlineLevel="0" collapsed="false">
      <c r="C120" s="76"/>
      <c r="D120" s="78" t="s">
        <v>1214</v>
      </c>
      <c r="E120" s="78" t="s">
        <v>211</v>
      </c>
      <c r="F120" s="80" t="s">
        <v>1055</v>
      </c>
      <c r="G120" s="70"/>
      <c r="H120" s="94" t="n">
        <v>6.5</v>
      </c>
      <c r="I120" s="72" t="s">
        <v>1056</v>
      </c>
      <c r="J120" s="73" t="s">
        <v>1049</v>
      </c>
      <c r="K120" s="73" t="s">
        <v>201</v>
      </c>
      <c r="L120" s="72"/>
      <c r="M120" s="73" t="s">
        <v>1050</v>
      </c>
      <c r="N120" s="73" t="s">
        <v>1213</v>
      </c>
      <c r="O120" s="66" t="s">
        <v>211</v>
      </c>
      <c r="P120" s="66" t="s">
        <v>47</v>
      </c>
      <c r="Q120" s="95" t="s">
        <v>1052</v>
      </c>
    </row>
    <row r="121" customFormat="false" ht="15.75" hidden="false" customHeight="false" outlineLevel="0" collapsed="false">
      <c r="C121" s="76"/>
      <c r="D121" s="78" t="s">
        <v>1215</v>
      </c>
      <c r="E121" s="78" t="s">
        <v>211</v>
      </c>
      <c r="F121" s="80" t="s">
        <v>1058</v>
      </c>
      <c r="G121" s="70"/>
      <c r="H121" s="94" t="n">
        <v>12</v>
      </c>
      <c r="I121" s="72" t="s">
        <v>1056</v>
      </c>
      <c r="J121" s="73" t="s">
        <v>1049</v>
      </c>
      <c r="K121" s="73" t="s">
        <v>201</v>
      </c>
      <c r="L121" s="72"/>
      <c r="M121" s="73" t="s">
        <v>1050</v>
      </c>
      <c r="N121" s="73" t="s">
        <v>1068</v>
      </c>
      <c r="O121" s="66" t="s">
        <v>211</v>
      </c>
      <c r="P121" s="66" t="s">
        <v>47</v>
      </c>
      <c r="Q121" s="95"/>
    </row>
    <row r="122" customFormat="false" ht="15.75" hidden="false" customHeight="false" outlineLevel="0" collapsed="false">
      <c r="C122" s="76"/>
      <c r="D122" s="78" t="s">
        <v>1216</v>
      </c>
      <c r="E122" s="78" t="s">
        <v>211</v>
      </c>
      <c r="F122" s="80" t="s">
        <v>1055</v>
      </c>
      <c r="G122" s="70"/>
      <c r="H122" s="94" t="n">
        <v>10</v>
      </c>
      <c r="I122" s="72" t="s">
        <v>1056</v>
      </c>
      <c r="J122" s="73" t="s">
        <v>1049</v>
      </c>
      <c r="K122" s="73" t="s">
        <v>201</v>
      </c>
      <c r="L122" s="72"/>
      <c r="M122" s="73" t="s">
        <v>1050</v>
      </c>
      <c r="N122" s="73" t="s">
        <v>1068</v>
      </c>
      <c r="O122" s="66" t="s">
        <v>211</v>
      </c>
      <c r="P122" s="66" t="s">
        <v>47</v>
      </c>
      <c r="Q122" s="95"/>
    </row>
    <row r="123" customFormat="false" ht="45.75" hidden="false" customHeight="false" outlineLevel="0" collapsed="false">
      <c r="C123" s="76"/>
      <c r="D123" s="78" t="s">
        <v>1217</v>
      </c>
      <c r="E123" s="78" t="s">
        <v>211</v>
      </c>
      <c r="F123" s="80" t="s">
        <v>1058</v>
      </c>
      <c r="G123" s="70"/>
      <c r="H123" s="94" t="n">
        <v>2</v>
      </c>
      <c r="I123" s="72" t="s">
        <v>1056</v>
      </c>
      <c r="J123" s="73" t="s">
        <v>1059</v>
      </c>
      <c r="K123" s="73" t="s">
        <v>201</v>
      </c>
      <c r="L123" s="72"/>
      <c r="M123" s="73" t="s">
        <v>1050</v>
      </c>
      <c r="N123" s="73" t="s">
        <v>1051</v>
      </c>
      <c r="O123" s="66" t="s">
        <v>211</v>
      </c>
      <c r="P123" s="66" t="s">
        <v>47</v>
      </c>
      <c r="Q123" s="95" t="s">
        <v>1060</v>
      </c>
    </row>
    <row r="124" customFormat="false" ht="15.75" hidden="false" customHeight="false" outlineLevel="0" collapsed="false">
      <c r="C124" s="76"/>
      <c r="D124" s="78" t="s">
        <v>1218</v>
      </c>
      <c r="E124" s="78" t="s">
        <v>211</v>
      </c>
      <c r="F124" s="80" t="s">
        <v>1055</v>
      </c>
      <c r="G124" s="70"/>
      <c r="H124" s="94" t="n">
        <v>31.5</v>
      </c>
      <c r="I124" s="72" t="s">
        <v>1056</v>
      </c>
      <c r="J124" s="73" t="s">
        <v>1059</v>
      </c>
      <c r="K124" s="73" t="s">
        <v>201</v>
      </c>
      <c r="L124" s="72"/>
      <c r="M124" s="73" t="s">
        <v>1050</v>
      </c>
      <c r="N124" s="73" t="s">
        <v>1051</v>
      </c>
      <c r="O124" s="66" t="s">
        <v>211</v>
      </c>
      <c r="P124" s="66" t="s">
        <v>47</v>
      </c>
      <c r="Q124" s="95" t="s">
        <v>1072</v>
      </c>
    </row>
    <row r="125" customFormat="false" ht="30.75" hidden="false" customHeight="false" outlineLevel="0" collapsed="false">
      <c r="C125" s="76"/>
      <c r="D125" s="78" t="s">
        <v>1219</v>
      </c>
      <c r="E125" s="78" t="s">
        <v>211</v>
      </c>
      <c r="F125" s="80" t="s">
        <v>1058</v>
      </c>
      <c r="G125" s="70"/>
      <c r="H125" s="94" t="n">
        <v>12.5</v>
      </c>
      <c r="I125" s="72" t="s">
        <v>1056</v>
      </c>
      <c r="J125" s="73" t="s">
        <v>1049</v>
      </c>
      <c r="K125" s="73" t="s">
        <v>201</v>
      </c>
      <c r="L125" s="72"/>
      <c r="M125" s="73" t="s">
        <v>1050</v>
      </c>
      <c r="N125" s="73" t="s">
        <v>1220</v>
      </c>
      <c r="O125" s="66" t="s">
        <v>211</v>
      </c>
      <c r="P125" s="66" t="s">
        <v>47</v>
      </c>
      <c r="Q125" s="95" t="s">
        <v>1052</v>
      </c>
    </row>
    <row r="126" customFormat="false" ht="15.75" hidden="false" customHeight="false" outlineLevel="0" collapsed="false">
      <c r="C126" s="76"/>
      <c r="D126" s="78" t="s">
        <v>1221</v>
      </c>
      <c r="E126" s="78" t="s">
        <v>211</v>
      </c>
      <c r="F126" s="80" t="s">
        <v>1055</v>
      </c>
      <c r="G126" s="70"/>
      <c r="H126" s="94" t="n">
        <v>12.5</v>
      </c>
      <c r="I126" s="72" t="s">
        <v>1056</v>
      </c>
      <c r="J126" s="73" t="s">
        <v>1049</v>
      </c>
      <c r="K126" s="73" t="s">
        <v>201</v>
      </c>
      <c r="L126" s="72"/>
      <c r="M126" s="73" t="s">
        <v>1050</v>
      </c>
      <c r="N126" s="73" t="s">
        <v>1220</v>
      </c>
      <c r="O126" s="66" t="s">
        <v>211</v>
      </c>
      <c r="P126" s="66" t="s">
        <v>47</v>
      </c>
      <c r="Q126" s="95"/>
    </row>
    <row r="127" customFormat="false" ht="30.75" hidden="false" customHeight="false" outlineLevel="0" collapsed="false">
      <c r="C127" s="76"/>
      <c r="D127" s="78" t="s">
        <v>1222</v>
      </c>
      <c r="E127" s="78" t="s">
        <v>211</v>
      </c>
      <c r="F127" s="80" t="s">
        <v>1058</v>
      </c>
      <c r="G127" s="70"/>
      <c r="H127" s="94" t="n">
        <v>6</v>
      </c>
      <c r="I127" s="72" t="s">
        <v>1056</v>
      </c>
      <c r="J127" s="73" t="s">
        <v>1049</v>
      </c>
      <c r="K127" s="73" t="s">
        <v>201</v>
      </c>
      <c r="L127" s="72"/>
      <c r="M127" s="73" t="s">
        <v>1050</v>
      </c>
      <c r="N127" s="73" t="s">
        <v>1205</v>
      </c>
      <c r="O127" s="66" t="s">
        <v>211</v>
      </c>
      <c r="P127" s="66" t="s">
        <v>47</v>
      </c>
      <c r="Q127" s="95" t="s">
        <v>1052</v>
      </c>
    </row>
    <row r="128" customFormat="false" ht="30.75" hidden="false" customHeight="false" outlineLevel="0" collapsed="false">
      <c r="C128" s="76"/>
      <c r="D128" s="78" t="s">
        <v>1223</v>
      </c>
      <c r="E128" s="78" t="s">
        <v>211</v>
      </c>
      <c r="F128" s="80" t="s">
        <v>1055</v>
      </c>
      <c r="G128" s="70"/>
      <c r="H128" s="94" t="n">
        <v>12.5</v>
      </c>
      <c r="I128" s="72" t="s">
        <v>1056</v>
      </c>
      <c r="J128" s="73" t="s">
        <v>1049</v>
      </c>
      <c r="K128" s="73" t="s">
        <v>201</v>
      </c>
      <c r="L128" s="72"/>
      <c r="M128" s="73" t="s">
        <v>1050</v>
      </c>
      <c r="N128" s="73" t="s">
        <v>1205</v>
      </c>
      <c r="O128" s="66" t="s">
        <v>211</v>
      </c>
      <c r="P128" s="66" t="s">
        <v>47</v>
      </c>
      <c r="Q128" s="95" t="s">
        <v>1052</v>
      </c>
    </row>
    <row r="129" customFormat="false" ht="15.75" hidden="false" customHeight="false" outlineLevel="0" collapsed="false">
      <c r="C129" s="76"/>
      <c r="D129" s="78" t="s">
        <v>1224</v>
      </c>
      <c r="E129" s="78" t="s">
        <v>211</v>
      </c>
      <c r="F129" s="80" t="s">
        <v>1058</v>
      </c>
      <c r="G129" s="70"/>
      <c r="H129" s="94" t="n">
        <v>25</v>
      </c>
      <c r="I129" s="72" t="s">
        <v>1056</v>
      </c>
      <c r="J129" s="73" t="s">
        <v>1049</v>
      </c>
      <c r="K129" s="73" t="s">
        <v>201</v>
      </c>
      <c r="L129" s="72"/>
      <c r="M129" s="73" t="s">
        <v>1050</v>
      </c>
      <c r="N129" s="73" t="s">
        <v>1075</v>
      </c>
      <c r="O129" s="66" t="s">
        <v>211</v>
      </c>
      <c r="P129" s="66" t="s">
        <v>47</v>
      </c>
      <c r="Q129" s="95"/>
    </row>
    <row r="130" customFormat="false" ht="30.75" hidden="false" customHeight="false" outlineLevel="0" collapsed="false">
      <c r="C130" s="76"/>
      <c r="D130" s="78" t="s">
        <v>1225</v>
      </c>
      <c r="E130" s="78" t="s">
        <v>211</v>
      </c>
      <c r="F130" s="80" t="s">
        <v>1055</v>
      </c>
      <c r="G130" s="70"/>
      <c r="H130" s="94" t="n">
        <v>25</v>
      </c>
      <c r="I130" s="72" t="s">
        <v>1056</v>
      </c>
      <c r="J130" s="73" t="s">
        <v>1049</v>
      </c>
      <c r="K130" s="73" t="s">
        <v>201</v>
      </c>
      <c r="L130" s="72"/>
      <c r="M130" s="73" t="s">
        <v>1050</v>
      </c>
      <c r="N130" s="73" t="s">
        <v>1075</v>
      </c>
      <c r="O130" s="66" t="s">
        <v>211</v>
      </c>
      <c r="P130" s="66" t="s">
        <v>47</v>
      </c>
      <c r="Q130" s="95" t="s">
        <v>1085</v>
      </c>
    </row>
    <row r="131" customFormat="false" ht="15.75" hidden="false" customHeight="false" outlineLevel="0" collapsed="false">
      <c r="C131" s="76"/>
      <c r="D131" s="78" t="s">
        <v>1226</v>
      </c>
      <c r="E131" s="78" t="s">
        <v>211</v>
      </c>
      <c r="F131" s="80" t="s">
        <v>1058</v>
      </c>
      <c r="G131" s="70"/>
      <c r="H131" s="94" t="n">
        <v>16</v>
      </c>
      <c r="I131" s="72" t="s">
        <v>1056</v>
      </c>
      <c r="J131" s="73" t="s">
        <v>1049</v>
      </c>
      <c r="K131" s="73" t="s">
        <v>201</v>
      </c>
      <c r="L131" s="72"/>
      <c r="M131" s="73" t="s">
        <v>1050</v>
      </c>
      <c r="N131" s="73" t="s">
        <v>1084</v>
      </c>
      <c r="O131" s="66" t="s">
        <v>211</v>
      </c>
      <c r="P131" s="66" t="s">
        <v>47</v>
      </c>
      <c r="Q131" s="95"/>
    </row>
    <row r="132" customFormat="false" ht="15.75" hidden="false" customHeight="false" outlineLevel="0" collapsed="false">
      <c r="C132" s="76"/>
      <c r="D132" s="78" t="s">
        <v>1227</v>
      </c>
      <c r="E132" s="78" t="s">
        <v>211</v>
      </c>
      <c r="F132" s="80" t="s">
        <v>1055</v>
      </c>
      <c r="G132" s="70"/>
      <c r="H132" s="94" t="n">
        <v>16</v>
      </c>
      <c r="I132" s="72" t="s">
        <v>1056</v>
      </c>
      <c r="J132" s="73" t="s">
        <v>1049</v>
      </c>
      <c r="K132" s="73" t="s">
        <v>201</v>
      </c>
      <c r="L132" s="72"/>
      <c r="M132" s="73" t="s">
        <v>1050</v>
      </c>
      <c r="N132" s="73" t="s">
        <v>1084</v>
      </c>
      <c r="O132" s="66" t="s">
        <v>211</v>
      </c>
      <c r="P132" s="66" t="s">
        <v>47</v>
      </c>
      <c r="Q132" s="95"/>
    </row>
    <row r="133" customFormat="false" ht="30.75" hidden="false" customHeight="false" outlineLevel="0" collapsed="false">
      <c r="C133" s="76"/>
      <c r="D133" s="78" t="s">
        <v>1228</v>
      </c>
      <c r="E133" s="78" t="s">
        <v>211</v>
      </c>
      <c r="F133" s="80" t="s">
        <v>1058</v>
      </c>
      <c r="G133" s="70"/>
      <c r="H133" s="94" t="n">
        <v>20</v>
      </c>
      <c r="I133" s="72" t="s">
        <v>1056</v>
      </c>
      <c r="J133" s="73" t="s">
        <v>1049</v>
      </c>
      <c r="K133" s="73" t="s">
        <v>201</v>
      </c>
      <c r="L133" s="72"/>
      <c r="M133" s="73" t="s">
        <v>1050</v>
      </c>
      <c r="N133" s="73" t="s">
        <v>1051</v>
      </c>
      <c r="O133" s="66" t="s">
        <v>211</v>
      </c>
      <c r="P133" s="66" t="s">
        <v>47</v>
      </c>
      <c r="Q133" s="95" t="s">
        <v>1052</v>
      </c>
    </row>
    <row r="134" customFormat="false" ht="30.75" hidden="false" customHeight="false" outlineLevel="0" collapsed="false">
      <c r="C134" s="76"/>
      <c r="D134" s="78" t="s">
        <v>1229</v>
      </c>
      <c r="E134" s="78" t="s">
        <v>211</v>
      </c>
      <c r="F134" s="80" t="s">
        <v>1055</v>
      </c>
      <c r="G134" s="70"/>
      <c r="H134" s="94" t="n">
        <v>1.8</v>
      </c>
      <c r="I134" s="72" t="s">
        <v>1056</v>
      </c>
      <c r="J134" s="73" t="s">
        <v>1049</v>
      </c>
      <c r="K134" s="73" t="s">
        <v>201</v>
      </c>
      <c r="L134" s="72"/>
      <c r="M134" s="73" t="s">
        <v>1050</v>
      </c>
      <c r="N134" s="73" t="s">
        <v>1051</v>
      </c>
      <c r="O134" s="66" t="s">
        <v>211</v>
      </c>
      <c r="P134" s="66" t="s">
        <v>47</v>
      </c>
      <c r="Q134" s="95" t="s">
        <v>1052</v>
      </c>
    </row>
    <row r="135" customFormat="false" ht="15.75" hidden="false" customHeight="false" outlineLevel="0" collapsed="false">
      <c r="C135" s="76"/>
      <c r="D135" s="78" t="s">
        <v>1230</v>
      </c>
      <c r="E135" s="78" t="s">
        <v>211</v>
      </c>
      <c r="F135" s="80" t="n">
        <v>115</v>
      </c>
      <c r="G135" s="70"/>
      <c r="H135" s="94" t="n">
        <v>40</v>
      </c>
      <c r="I135" s="72" t="s">
        <v>1056</v>
      </c>
      <c r="J135" s="73" t="s">
        <v>1049</v>
      </c>
      <c r="K135" s="73" t="s">
        <v>201</v>
      </c>
      <c r="L135" s="72"/>
      <c r="M135" s="73" t="s">
        <v>1050</v>
      </c>
      <c r="N135" s="73" t="s">
        <v>1051</v>
      </c>
      <c r="O135" s="66" t="s">
        <v>211</v>
      </c>
      <c r="P135" s="66" t="s">
        <v>47</v>
      </c>
      <c r="Q135" s="95"/>
    </row>
    <row r="136" customFormat="false" ht="15.75" hidden="false" customHeight="false" outlineLevel="0" collapsed="false">
      <c r="C136" s="76"/>
      <c r="D136" s="78" t="s">
        <v>1231</v>
      </c>
      <c r="E136" s="78" t="s">
        <v>211</v>
      </c>
      <c r="F136" s="80" t="s">
        <v>1058</v>
      </c>
      <c r="G136" s="70"/>
      <c r="H136" s="94" t="n">
        <v>12.5</v>
      </c>
      <c r="I136" s="72" t="s">
        <v>1056</v>
      </c>
      <c r="J136" s="73" t="s">
        <v>1049</v>
      </c>
      <c r="K136" s="73" t="s">
        <v>201</v>
      </c>
      <c r="L136" s="72"/>
      <c r="M136" s="73" t="s">
        <v>1050</v>
      </c>
      <c r="N136" s="73" t="s">
        <v>1094</v>
      </c>
      <c r="O136" s="66" t="s">
        <v>211</v>
      </c>
      <c r="P136" s="66" t="s">
        <v>47</v>
      </c>
      <c r="Q136" s="95"/>
    </row>
    <row r="137" customFormat="false" ht="15.75" hidden="false" customHeight="false" outlineLevel="0" collapsed="false">
      <c r="C137" s="76"/>
      <c r="D137" s="78" t="s">
        <v>1232</v>
      </c>
      <c r="E137" s="78" t="s">
        <v>211</v>
      </c>
      <c r="F137" s="80" t="s">
        <v>1055</v>
      </c>
      <c r="G137" s="70"/>
      <c r="H137" s="94" t="n">
        <v>16</v>
      </c>
      <c r="I137" s="72" t="s">
        <v>1056</v>
      </c>
      <c r="J137" s="73" t="s">
        <v>1049</v>
      </c>
      <c r="K137" s="73" t="s">
        <v>201</v>
      </c>
      <c r="L137" s="72"/>
      <c r="M137" s="73" t="s">
        <v>1050</v>
      </c>
      <c r="N137" s="73" t="s">
        <v>1094</v>
      </c>
      <c r="O137" s="66" t="s">
        <v>211</v>
      </c>
      <c r="P137" s="66" t="s">
        <v>47</v>
      </c>
      <c r="Q137" s="95"/>
    </row>
    <row r="138" customFormat="false" ht="15.75" hidden="false" customHeight="false" outlineLevel="0" collapsed="false">
      <c r="C138" s="76"/>
      <c r="D138" s="78" t="s">
        <v>1233</v>
      </c>
      <c r="E138" s="78" t="s">
        <v>211</v>
      </c>
      <c r="F138" s="80" t="s">
        <v>1058</v>
      </c>
      <c r="G138" s="70"/>
      <c r="H138" s="94" t="n">
        <v>12.5</v>
      </c>
      <c r="I138" s="72" t="s">
        <v>1056</v>
      </c>
      <c r="J138" s="73" t="s">
        <v>1049</v>
      </c>
      <c r="K138" s="73" t="s">
        <v>201</v>
      </c>
      <c r="L138" s="72"/>
      <c r="M138" s="73" t="s">
        <v>1050</v>
      </c>
      <c r="N138" s="73" t="s">
        <v>1080</v>
      </c>
      <c r="O138" s="66" t="s">
        <v>211</v>
      </c>
      <c r="P138" s="66" t="s">
        <v>47</v>
      </c>
      <c r="Q138" s="95"/>
    </row>
    <row r="139" customFormat="false" ht="15.75" hidden="false" customHeight="false" outlineLevel="0" collapsed="false">
      <c r="C139" s="76"/>
      <c r="D139" s="78" t="s">
        <v>1234</v>
      </c>
      <c r="E139" s="78" t="s">
        <v>211</v>
      </c>
      <c r="F139" s="80" t="s">
        <v>1055</v>
      </c>
      <c r="G139" s="70"/>
      <c r="H139" s="94" t="n">
        <v>16</v>
      </c>
      <c r="I139" s="72" t="s">
        <v>1056</v>
      </c>
      <c r="J139" s="73" t="s">
        <v>1049</v>
      </c>
      <c r="K139" s="73" t="s">
        <v>201</v>
      </c>
      <c r="L139" s="72"/>
      <c r="M139" s="73" t="s">
        <v>1050</v>
      </c>
      <c r="N139" s="73" t="s">
        <v>1080</v>
      </c>
      <c r="O139" s="66" t="s">
        <v>211</v>
      </c>
      <c r="P139" s="66" t="s">
        <v>47</v>
      </c>
      <c r="Q139" s="95"/>
    </row>
    <row r="140" customFormat="false" ht="15.75" hidden="false" customHeight="false" outlineLevel="0" collapsed="false">
      <c r="C140" s="76"/>
      <c r="D140" s="78" t="s">
        <v>1235</v>
      </c>
      <c r="E140" s="78" t="s">
        <v>211</v>
      </c>
      <c r="F140" s="80" t="s">
        <v>1058</v>
      </c>
      <c r="G140" s="70"/>
      <c r="H140" s="94" t="n">
        <v>12</v>
      </c>
      <c r="I140" s="72" t="s">
        <v>1056</v>
      </c>
      <c r="J140" s="73" t="s">
        <v>1049</v>
      </c>
      <c r="K140" s="73" t="s">
        <v>201</v>
      </c>
      <c r="L140" s="72"/>
      <c r="M140" s="73" t="s">
        <v>1050</v>
      </c>
      <c r="N140" s="73" t="s">
        <v>1165</v>
      </c>
      <c r="O140" s="66" t="s">
        <v>211</v>
      </c>
      <c r="P140" s="66" t="s">
        <v>47</v>
      </c>
      <c r="Q140" s="95"/>
    </row>
    <row r="141" customFormat="false" ht="15.75" hidden="false" customHeight="false" outlineLevel="0" collapsed="false">
      <c r="C141" s="76"/>
      <c r="D141" s="78" t="s">
        <v>593</v>
      </c>
      <c r="E141" s="78" t="s">
        <v>211</v>
      </c>
      <c r="F141" s="80" t="s">
        <v>1055</v>
      </c>
      <c r="G141" s="70"/>
      <c r="H141" s="94" t="n">
        <v>16</v>
      </c>
      <c r="I141" s="72" t="s">
        <v>1056</v>
      </c>
      <c r="J141" s="73" t="s">
        <v>1049</v>
      </c>
      <c r="K141" s="73" t="s">
        <v>201</v>
      </c>
      <c r="L141" s="72"/>
      <c r="M141" s="73" t="s">
        <v>1050</v>
      </c>
      <c r="N141" s="73" t="s">
        <v>1165</v>
      </c>
      <c r="O141" s="66" t="s">
        <v>211</v>
      </c>
      <c r="P141" s="66" t="s">
        <v>47</v>
      </c>
      <c r="Q141" s="95"/>
    </row>
    <row r="142" customFormat="false" ht="15.75" hidden="false" customHeight="false" outlineLevel="0" collapsed="false">
      <c r="C142" s="76"/>
      <c r="D142" s="78" t="s">
        <v>1236</v>
      </c>
      <c r="E142" s="78" t="s">
        <v>211</v>
      </c>
      <c r="F142" s="80" t="s">
        <v>1058</v>
      </c>
      <c r="G142" s="70"/>
      <c r="H142" s="94" t="n">
        <v>16</v>
      </c>
      <c r="I142" s="72" t="s">
        <v>1056</v>
      </c>
      <c r="J142" s="73" t="s">
        <v>1049</v>
      </c>
      <c r="K142" s="73" t="s">
        <v>201</v>
      </c>
      <c r="L142" s="72"/>
      <c r="M142" s="73" t="s">
        <v>1050</v>
      </c>
      <c r="N142" s="73" t="s">
        <v>1237</v>
      </c>
      <c r="O142" s="66" t="s">
        <v>211</v>
      </c>
      <c r="P142" s="66" t="s">
        <v>47</v>
      </c>
      <c r="Q142" s="95"/>
    </row>
    <row r="143" customFormat="false" ht="15.75" hidden="false" customHeight="false" outlineLevel="0" collapsed="false">
      <c r="C143" s="76"/>
      <c r="D143" s="78" t="s">
        <v>1238</v>
      </c>
      <c r="E143" s="78" t="s">
        <v>211</v>
      </c>
      <c r="F143" s="80" t="s">
        <v>1055</v>
      </c>
      <c r="G143" s="70"/>
      <c r="H143" s="94" t="n">
        <v>6.5</v>
      </c>
      <c r="I143" s="72" t="s">
        <v>1056</v>
      </c>
      <c r="J143" s="73" t="s">
        <v>1049</v>
      </c>
      <c r="K143" s="73" t="s">
        <v>201</v>
      </c>
      <c r="L143" s="72"/>
      <c r="M143" s="73" t="s">
        <v>1050</v>
      </c>
      <c r="N143" s="73" t="s">
        <v>1237</v>
      </c>
      <c r="O143" s="66" t="s">
        <v>211</v>
      </c>
      <c r="P143" s="66" t="s">
        <v>47</v>
      </c>
      <c r="Q143" s="95"/>
    </row>
    <row r="144" customFormat="false" ht="30.75" hidden="false" customHeight="false" outlineLevel="0" collapsed="false">
      <c r="C144" s="76"/>
      <c r="D144" s="78" t="s">
        <v>1239</v>
      </c>
      <c r="E144" s="78" t="s">
        <v>211</v>
      </c>
      <c r="F144" s="80" t="s">
        <v>1058</v>
      </c>
      <c r="G144" s="70"/>
      <c r="H144" s="94" t="n">
        <v>16</v>
      </c>
      <c r="I144" s="72" t="s">
        <v>1056</v>
      </c>
      <c r="J144" s="73" t="s">
        <v>1049</v>
      </c>
      <c r="K144" s="73" t="s">
        <v>201</v>
      </c>
      <c r="L144" s="72"/>
      <c r="M144" s="73" t="s">
        <v>1050</v>
      </c>
      <c r="N144" s="73" t="s">
        <v>1068</v>
      </c>
      <c r="O144" s="66" t="s">
        <v>211</v>
      </c>
      <c r="P144" s="66" t="s">
        <v>47</v>
      </c>
      <c r="Q144" s="95" t="s">
        <v>1052</v>
      </c>
    </row>
    <row r="145" customFormat="false" ht="15.75" hidden="false" customHeight="false" outlineLevel="0" collapsed="false">
      <c r="C145" s="76"/>
      <c r="D145" s="78" t="s">
        <v>1240</v>
      </c>
      <c r="E145" s="78" t="s">
        <v>211</v>
      </c>
      <c r="F145" s="80" t="s">
        <v>1055</v>
      </c>
      <c r="G145" s="70"/>
      <c r="H145" s="94" t="n">
        <v>16</v>
      </c>
      <c r="I145" s="72" t="s">
        <v>1056</v>
      </c>
      <c r="J145" s="73" t="s">
        <v>1049</v>
      </c>
      <c r="K145" s="73" t="s">
        <v>201</v>
      </c>
      <c r="L145" s="72"/>
      <c r="M145" s="73" t="s">
        <v>1050</v>
      </c>
      <c r="N145" s="73" t="s">
        <v>1068</v>
      </c>
      <c r="O145" s="66" t="s">
        <v>211</v>
      </c>
      <c r="P145" s="66" t="s">
        <v>47</v>
      </c>
      <c r="Q145" s="95"/>
    </row>
    <row r="146" customFormat="false" ht="15.75" hidden="false" customHeight="false" outlineLevel="0" collapsed="false">
      <c r="C146" s="76"/>
      <c r="D146" s="78" t="s">
        <v>1241</v>
      </c>
      <c r="E146" s="78" t="s">
        <v>211</v>
      </c>
      <c r="F146" s="80" t="s">
        <v>1058</v>
      </c>
      <c r="G146" s="70"/>
      <c r="H146" s="94" t="n">
        <v>12.5</v>
      </c>
      <c r="I146" s="72" t="s">
        <v>1056</v>
      </c>
      <c r="J146" s="73" t="s">
        <v>1049</v>
      </c>
      <c r="K146" s="73" t="s">
        <v>201</v>
      </c>
      <c r="L146" s="72"/>
      <c r="M146" s="73" t="s">
        <v>1104</v>
      </c>
      <c r="N146" s="73" t="s">
        <v>1242</v>
      </c>
      <c r="O146" s="66" t="s">
        <v>211</v>
      </c>
      <c r="P146" s="66" t="s">
        <v>47</v>
      </c>
      <c r="Q146" s="95"/>
    </row>
    <row r="147" customFormat="false" ht="30.75" hidden="false" customHeight="false" outlineLevel="0" collapsed="false">
      <c r="C147" s="76"/>
      <c r="D147" s="78" t="s">
        <v>1243</v>
      </c>
      <c r="E147" s="78" t="s">
        <v>211</v>
      </c>
      <c r="F147" s="80" t="s">
        <v>1055</v>
      </c>
      <c r="G147" s="70"/>
      <c r="H147" s="94" t="n">
        <v>10</v>
      </c>
      <c r="I147" s="72" t="s">
        <v>1056</v>
      </c>
      <c r="J147" s="73" t="s">
        <v>1049</v>
      </c>
      <c r="K147" s="73" t="s">
        <v>201</v>
      </c>
      <c r="L147" s="72"/>
      <c r="M147" s="73" t="s">
        <v>1104</v>
      </c>
      <c r="N147" s="73" t="s">
        <v>1242</v>
      </c>
      <c r="O147" s="66" t="s">
        <v>211</v>
      </c>
      <c r="P147" s="66" t="s">
        <v>47</v>
      </c>
      <c r="Q147" s="95" t="s">
        <v>1052</v>
      </c>
    </row>
    <row r="148" customFormat="false" ht="15.75" hidden="false" customHeight="false" outlineLevel="0" collapsed="false">
      <c r="C148" s="76"/>
      <c r="D148" s="78" t="s">
        <v>1244</v>
      </c>
      <c r="E148" s="78" t="s">
        <v>211</v>
      </c>
      <c r="F148" s="80" t="s">
        <v>1058</v>
      </c>
      <c r="G148" s="70"/>
      <c r="H148" s="94" t="n">
        <v>12.5</v>
      </c>
      <c r="I148" s="72" t="s">
        <v>1056</v>
      </c>
      <c r="J148" s="73" t="s">
        <v>1049</v>
      </c>
      <c r="K148" s="73" t="s">
        <v>201</v>
      </c>
      <c r="L148" s="72"/>
      <c r="M148" s="73" t="s">
        <v>1050</v>
      </c>
      <c r="N148" s="73" t="s">
        <v>1245</v>
      </c>
      <c r="O148" s="66" t="s">
        <v>211</v>
      </c>
      <c r="P148" s="66" t="s">
        <v>47</v>
      </c>
      <c r="Q148" s="95"/>
    </row>
    <row r="149" customFormat="false" ht="15.75" hidden="false" customHeight="false" outlineLevel="0" collapsed="false">
      <c r="C149" s="76"/>
      <c r="D149" s="78" t="s">
        <v>1246</v>
      </c>
      <c r="E149" s="78" t="s">
        <v>211</v>
      </c>
      <c r="F149" s="80" t="s">
        <v>1055</v>
      </c>
      <c r="G149" s="70"/>
      <c r="H149" s="94" t="n">
        <v>12.5</v>
      </c>
      <c r="I149" s="72" t="s">
        <v>1056</v>
      </c>
      <c r="J149" s="73" t="s">
        <v>1049</v>
      </c>
      <c r="K149" s="73" t="s">
        <v>201</v>
      </c>
      <c r="L149" s="72"/>
      <c r="M149" s="73" t="s">
        <v>1050</v>
      </c>
      <c r="N149" s="73" t="s">
        <v>1245</v>
      </c>
      <c r="O149" s="66" t="s">
        <v>211</v>
      </c>
      <c r="P149" s="66" t="s">
        <v>47</v>
      </c>
      <c r="Q149" s="95"/>
    </row>
    <row r="150" customFormat="false" ht="30.75" hidden="false" customHeight="false" outlineLevel="0" collapsed="false">
      <c r="C150" s="76"/>
      <c r="D150" s="78" t="s">
        <v>1247</v>
      </c>
      <c r="E150" s="78" t="s">
        <v>211</v>
      </c>
      <c r="F150" s="80" t="s">
        <v>1058</v>
      </c>
      <c r="G150" s="70"/>
      <c r="H150" s="94" t="n">
        <v>8</v>
      </c>
      <c r="I150" s="72" t="s">
        <v>1056</v>
      </c>
      <c r="J150" s="73" t="s">
        <v>1049</v>
      </c>
      <c r="K150" s="73" t="s">
        <v>201</v>
      </c>
      <c r="L150" s="72"/>
      <c r="M150" s="73" t="s">
        <v>1104</v>
      </c>
      <c r="N150" s="73" t="s">
        <v>1165</v>
      </c>
      <c r="O150" s="66" t="s">
        <v>211</v>
      </c>
      <c r="P150" s="66" t="s">
        <v>47</v>
      </c>
      <c r="Q150" s="95" t="s">
        <v>1052</v>
      </c>
    </row>
    <row r="151" customFormat="false" ht="15.75" hidden="false" customHeight="false" outlineLevel="0" collapsed="false">
      <c r="C151" s="76"/>
      <c r="D151" s="78" t="s">
        <v>1248</v>
      </c>
      <c r="E151" s="78" t="s">
        <v>211</v>
      </c>
      <c r="F151" s="80" t="s">
        <v>1055</v>
      </c>
      <c r="G151" s="70"/>
      <c r="H151" s="94" t="n">
        <v>10</v>
      </c>
      <c r="I151" s="72" t="s">
        <v>1056</v>
      </c>
      <c r="J151" s="73" t="s">
        <v>1049</v>
      </c>
      <c r="K151" s="73" t="s">
        <v>201</v>
      </c>
      <c r="L151" s="72"/>
      <c r="M151" s="73" t="s">
        <v>1104</v>
      </c>
      <c r="N151" s="73" t="s">
        <v>1165</v>
      </c>
      <c r="O151" s="66" t="s">
        <v>211</v>
      </c>
      <c r="P151" s="66" t="s">
        <v>47</v>
      </c>
      <c r="Q151" s="95"/>
    </row>
    <row r="152" customFormat="false" ht="15.75" hidden="false" customHeight="false" outlineLevel="0" collapsed="false">
      <c r="C152" s="76"/>
      <c r="D152" s="78" t="s">
        <v>1249</v>
      </c>
      <c r="E152" s="78" t="s">
        <v>211</v>
      </c>
      <c r="F152" s="80" t="s">
        <v>1058</v>
      </c>
      <c r="G152" s="70"/>
      <c r="H152" s="94" t="n">
        <v>12.5</v>
      </c>
      <c r="I152" s="72" t="s">
        <v>1056</v>
      </c>
      <c r="J152" s="73" t="s">
        <v>1049</v>
      </c>
      <c r="K152" s="73" t="s">
        <v>201</v>
      </c>
      <c r="L152" s="72"/>
      <c r="M152" s="73" t="s">
        <v>1050</v>
      </c>
      <c r="N152" s="73" t="s">
        <v>1084</v>
      </c>
      <c r="O152" s="66" t="s">
        <v>211</v>
      </c>
      <c r="P152" s="66" t="s">
        <v>47</v>
      </c>
      <c r="Q152" s="95"/>
    </row>
    <row r="153" customFormat="false" ht="15.75" hidden="false" customHeight="false" outlineLevel="0" collapsed="false">
      <c r="C153" s="76"/>
      <c r="D153" s="78" t="s">
        <v>1250</v>
      </c>
      <c r="E153" s="78" t="s">
        <v>211</v>
      </c>
      <c r="F153" s="80" t="s">
        <v>1055</v>
      </c>
      <c r="G153" s="70"/>
      <c r="H153" s="94" t="n">
        <v>20</v>
      </c>
      <c r="I153" s="72" t="s">
        <v>1056</v>
      </c>
      <c r="J153" s="73" t="s">
        <v>1049</v>
      </c>
      <c r="K153" s="73" t="s">
        <v>201</v>
      </c>
      <c r="L153" s="72"/>
      <c r="M153" s="73" t="s">
        <v>1050</v>
      </c>
      <c r="N153" s="73" t="s">
        <v>1084</v>
      </c>
      <c r="O153" s="66" t="s">
        <v>211</v>
      </c>
      <c r="P153" s="66" t="s">
        <v>47</v>
      </c>
      <c r="Q153" s="95"/>
    </row>
    <row r="154" customFormat="false" ht="15.75" hidden="false" customHeight="false" outlineLevel="0" collapsed="false">
      <c r="C154" s="76"/>
      <c r="D154" s="78" t="s">
        <v>1251</v>
      </c>
      <c r="E154" s="78" t="s">
        <v>211</v>
      </c>
      <c r="F154" s="80" t="s">
        <v>1058</v>
      </c>
      <c r="G154" s="70"/>
      <c r="H154" s="94" t="n">
        <v>12.5</v>
      </c>
      <c r="I154" s="72" t="s">
        <v>1056</v>
      </c>
      <c r="J154" s="73" t="s">
        <v>1049</v>
      </c>
      <c r="K154" s="73" t="s">
        <v>201</v>
      </c>
      <c r="L154" s="72"/>
      <c r="M154" s="73" t="s">
        <v>1050</v>
      </c>
      <c r="N154" s="73" t="s">
        <v>1163</v>
      </c>
      <c r="O154" s="66" t="s">
        <v>211</v>
      </c>
      <c r="P154" s="66" t="s">
        <v>47</v>
      </c>
      <c r="Q154" s="95"/>
    </row>
    <row r="155" customFormat="false" ht="15.75" hidden="false" customHeight="false" outlineLevel="0" collapsed="false">
      <c r="C155" s="76"/>
      <c r="D155" s="78" t="s">
        <v>1252</v>
      </c>
      <c r="E155" s="78" t="s">
        <v>211</v>
      </c>
      <c r="F155" s="80" t="s">
        <v>1055</v>
      </c>
      <c r="G155" s="70"/>
      <c r="H155" s="94" t="n">
        <v>12.5</v>
      </c>
      <c r="I155" s="72" t="s">
        <v>1056</v>
      </c>
      <c r="J155" s="73" t="s">
        <v>1049</v>
      </c>
      <c r="K155" s="73" t="s">
        <v>201</v>
      </c>
      <c r="L155" s="72"/>
      <c r="M155" s="73" t="s">
        <v>1050</v>
      </c>
      <c r="N155" s="73" t="s">
        <v>1163</v>
      </c>
      <c r="O155" s="66" t="s">
        <v>211</v>
      </c>
      <c r="P155" s="66" t="s">
        <v>47</v>
      </c>
      <c r="Q155" s="95"/>
    </row>
    <row r="156" customFormat="false" ht="45.75" hidden="false" customHeight="false" outlineLevel="0" collapsed="false">
      <c r="C156" s="76"/>
      <c r="D156" s="78" t="s">
        <v>1253</v>
      </c>
      <c r="E156" s="78" t="s">
        <v>211</v>
      </c>
      <c r="F156" s="80" t="s">
        <v>1058</v>
      </c>
      <c r="G156" s="70"/>
      <c r="H156" s="94" t="n">
        <v>16</v>
      </c>
      <c r="I156" s="72" t="s">
        <v>1056</v>
      </c>
      <c r="J156" s="73" t="s">
        <v>1059</v>
      </c>
      <c r="K156" s="73" t="s">
        <v>201</v>
      </c>
      <c r="L156" s="72"/>
      <c r="M156" s="73" t="s">
        <v>1050</v>
      </c>
      <c r="N156" s="73" t="s">
        <v>1254</v>
      </c>
      <c r="O156" s="66" t="s">
        <v>211</v>
      </c>
      <c r="P156" s="66" t="s">
        <v>47</v>
      </c>
      <c r="Q156" s="95" t="s">
        <v>1060</v>
      </c>
    </row>
    <row r="157" customFormat="false" ht="30.75" hidden="false" customHeight="false" outlineLevel="0" collapsed="false">
      <c r="C157" s="76"/>
      <c r="D157" s="78" t="s">
        <v>1255</v>
      </c>
      <c r="E157" s="78" t="s">
        <v>211</v>
      </c>
      <c r="F157" s="80" t="s">
        <v>1055</v>
      </c>
      <c r="G157" s="70"/>
      <c r="H157" s="94" t="n">
        <v>10</v>
      </c>
      <c r="I157" s="72" t="s">
        <v>1056</v>
      </c>
      <c r="J157" s="73" t="s">
        <v>1049</v>
      </c>
      <c r="K157" s="73" t="s">
        <v>201</v>
      </c>
      <c r="L157" s="72"/>
      <c r="M157" s="73" t="s">
        <v>1050</v>
      </c>
      <c r="N157" s="73" t="s">
        <v>1254</v>
      </c>
      <c r="O157" s="66" t="s">
        <v>211</v>
      </c>
      <c r="P157" s="66" t="s">
        <v>47</v>
      </c>
      <c r="Q157" s="95" t="s">
        <v>1052</v>
      </c>
    </row>
    <row r="158" customFormat="false" ht="15.75" hidden="false" customHeight="false" outlineLevel="0" collapsed="false">
      <c r="C158" s="76"/>
      <c r="D158" s="78" t="s">
        <v>1256</v>
      </c>
      <c r="E158" s="78" t="s">
        <v>211</v>
      </c>
      <c r="F158" s="80" t="s">
        <v>1058</v>
      </c>
      <c r="G158" s="70"/>
      <c r="H158" s="94" t="n">
        <v>16</v>
      </c>
      <c r="I158" s="72" t="s">
        <v>1056</v>
      </c>
      <c r="J158" s="73" t="s">
        <v>1049</v>
      </c>
      <c r="K158" s="73" t="s">
        <v>201</v>
      </c>
      <c r="L158" s="72"/>
      <c r="M158" s="73" t="s">
        <v>1257</v>
      </c>
      <c r="N158" s="73" t="s">
        <v>1258</v>
      </c>
      <c r="O158" s="66" t="s">
        <v>211</v>
      </c>
      <c r="P158" s="66" t="s">
        <v>47</v>
      </c>
      <c r="Q158" s="95"/>
    </row>
    <row r="159" customFormat="false" ht="15.75" hidden="false" customHeight="false" outlineLevel="0" collapsed="false">
      <c r="C159" s="76"/>
      <c r="D159" s="78" t="s">
        <v>1259</v>
      </c>
      <c r="E159" s="78" t="s">
        <v>211</v>
      </c>
      <c r="F159" s="80" t="s">
        <v>1055</v>
      </c>
      <c r="G159" s="70"/>
      <c r="H159" s="94" t="n">
        <v>12.5</v>
      </c>
      <c r="I159" s="72" t="s">
        <v>1056</v>
      </c>
      <c r="J159" s="73" t="s">
        <v>1049</v>
      </c>
      <c r="K159" s="73" t="s">
        <v>201</v>
      </c>
      <c r="L159" s="72"/>
      <c r="M159" s="73" t="s">
        <v>1257</v>
      </c>
      <c r="N159" s="73" t="s">
        <v>1258</v>
      </c>
      <c r="O159" s="66" t="s">
        <v>211</v>
      </c>
      <c r="P159" s="66" t="s">
        <v>47</v>
      </c>
      <c r="Q159" s="95"/>
    </row>
    <row r="160" customFormat="false" ht="15.75" hidden="false" customHeight="false" outlineLevel="0" collapsed="false">
      <c r="C160" s="76"/>
      <c r="D160" s="78" t="s">
        <v>1260</v>
      </c>
      <c r="E160" s="78" t="s">
        <v>211</v>
      </c>
      <c r="F160" s="80" t="s">
        <v>1058</v>
      </c>
      <c r="G160" s="70"/>
      <c r="H160" s="94" t="n">
        <v>25</v>
      </c>
      <c r="I160" s="72" t="s">
        <v>1056</v>
      </c>
      <c r="J160" s="73" t="s">
        <v>1049</v>
      </c>
      <c r="K160" s="73" t="s">
        <v>201</v>
      </c>
      <c r="L160" s="72"/>
      <c r="M160" s="73" t="s">
        <v>1050</v>
      </c>
      <c r="N160" s="73" t="s">
        <v>1051</v>
      </c>
      <c r="O160" s="66" t="s">
        <v>211</v>
      </c>
      <c r="P160" s="66" t="s">
        <v>47</v>
      </c>
      <c r="Q160" s="95"/>
    </row>
    <row r="161" customFormat="false" ht="30.75" hidden="false" customHeight="false" outlineLevel="0" collapsed="false">
      <c r="C161" s="76"/>
      <c r="D161" s="78" t="s">
        <v>1261</v>
      </c>
      <c r="E161" s="78" t="s">
        <v>211</v>
      </c>
      <c r="F161" s="80" t="s">
        <v>1055</v>
      </c>
      <c r="G161" s="70"/>
      <c r="H161" s="94" t="n">
        <v>12.5</v>
      </c>
      <c r="I161" s="72" t="s">
        <v>1056</v>
      </c>
      <c r="J161" s="73" t="s">
        <v>1049</v>
      </c>
      <c r="K161" s="73" t="s">
        <v>201</v>
      </c>
      <c r="L161" s="72"/>
      <c r="M161" s="73" t="s">
        <v>1050</v>
      </c>
      <c r="N161" s="73" t="s">
        <v>1051</v>
      </c>
      <c r="O161" s="66" t="s">
        <v>211</v>
      </c>
      <c r="P161" s="66" t="s">
        <v>47</v>
      </c>
      <c r="Q161" s="95" t="s">
        <v>1052</v>
      </c>
    </row>
    <row r="162" customFormat="false" ht="15.75" hidden="false" customHeight="false" outlineLevel="0" collapsed="false">
      <c r="C162" s="76"/>
      <c r="D162" s="78" t="s">
        <v>1262</v>
      </c>
      <c r="E162" s="78" t="s">
        <v>211</v>
      </c>
      <c r="F162" s="80" t="s">
        <v>1058</v>
      </c>
      <c r="G162" s="70"/>
      <c r="H162" s="94" t="n">
        <v>16</v>
      </c>
      <c r="I162" s="72" t="s">
        <v>1056</v>
      </c>
      <c r="J162" s="73" t="s">
        <v>1049</v>
      </c>
      <c r="K162" s="73" t="s">
        <v>201</v>
      </c>
      <c r="L162" s="72"/>
      <c r="M162" s="73" t="s">
        <v>1050</v>
      </c>
      <c r="N162" s="73" t="s">
        <v>1163</v>
      </c>
      <c r="O162" s="66" t="s">
        <v>211</v>
      </c>
      <c r="P162" s="66" t="s">
        <v>47</v>
      </c>
      <c r="Q162" s="95"/>
    </row>
    <row r="163" customFormat="false" ht="15.75" hidden="false" customHeight="false" outlineLevel="0" collapsed="false">
      <c r="C163" s="76"/>
      <c r="D163" s="78" t="s">
        <v>1263</v>
      </c>
      <c r="E163" s="78" t="s">
        <v>211</v>
      </c>
      <c r="F163" s="80" t="s">
        <v>1055</v>
      </c>
      <c r="G163" s="70"/>
      <c r="H163" s="94" t="n">
        <v>16</v>
      </c>
      <c r="I163" s="72" t="s">
        <v>1056</v>
      </c>
      <c r="J163" s="73" t="s">
        <v>1049</v>
      </c>
      <c r="K163" s="73" t="s">
        <v>201</v>
      </c>
      <c r="L163" s="72"/>
      <c r="M163" s="73" t="s">
        <v>1050</v>
      </c>
      <c r="N163" s="73" t="s">
        <v>1163</v>
      </c>
      <c r="O163" s="66" t="s">
        <v>211</v>
      </c>
      <c r="P163" s="66" t="s">
        <v>47</v>
      </c>
      <c r="Q163" s="95"/>
    </row>
    <row r="164" customFormat="false" ht="15.75" hidden="false" customHeight="false" outlineLevel="0" collapsed="false">
      <c r="C164" s="76"/>
      <c r="D164" s="78" t="s">
        <v>1264</v>
      </c>
      <c r="E164" s="78" t="s">
        <v>211</v>
      </c>
      <c r="F164" s="80" t="s">
        <v>1058</v>
      </c>
      <c r="G164" s="70"/>
      <c r="H164" s="94" t="n">
        <v>12.5</v>
      </c>
      <c r="I164" s="72" t="s">
        <v>1056</v>
      </c>
      <c r="J164" s="73" t="s">
        <v>1049</v>
      </c>
      <c r="K164" s="73" t="s">
        <v>201</v>
      </c>
      <c r="L164" s="72"/>
      <c r="M164" s="73" t="s">
        <v>1050</v>
      </c>
      <c r="N164" s="73" t="s">
        <v>1265</v>
      </c>
      <c r="O164" s="66" t="s">
        <v>211</v>
      </c>
      <c r="P164" s="66" t="s">
        <v>47</v>
      </c>
      <c r="Q164" s="95"/>
    </row>
    <row r="165" customFormat="false" ht="15.75" hidden="false" customHeight="false" outlineLevel="0" collapsed="false">
      <c r="C165" s="76"/>
      <c r="D165" s="78" t="s">
        <v>1266</v>
      </c>
      <c r="E165" s="78" t="s">
        <v>211</v>
      </c>
      <c r="F165" s="80" t="s">
        <v>1055</v>
      </c>
      <c r="G165" s="70"/>
      <c r="H165" s="94" t="n">
        <v>16</v>
      </c>
      <c r="I165" s="72" t="s">
        <v>1056</v>
      </c>
      <c r="J165" s="73" t="s">
        <v>1049</v>
      </c>
      <c r="K165" s="73" t="s">
        <v>201</v>
      </c>
      <c r="L165" s="72"/>
      <c r="M165" s="73" t="s">
        <v>1050</v>
      </c>
      <c r="N165" s="73" t="s">
        <v>1265</v>
      </c>
      <c r="O165" s="66" t="s">
        <v>211</v>
      </c>
      <c r="P165" s="66" t="s">
        <v>47</v>
      </c>
      <c r="Q165" s="95"/>
    </row>
    <row r="166" customFormat="false" ht="15.75" hidden="false" customHeight="false" outlineLevel="0" collapsed="false">
      <c r="C166" s="76"/>
      <c r="D166" s="78" t="s">
        <v>1267</v>
      </c>
      <c r="E166" s="78" t="s">
        <v>211</v>
      </c>
      <c r="F166" s="80" t="s">
        <v>1058</v>
      </c>
      <c r="G166" s="70"/>
      <c r="H166" s="94" t="n">
        <v>12.5</v>
      </c>
      <c r="I166" s="72" t="s">
        <v>1056</v>
      </c>
      <c r="J166" s="73" t="s">
        <v>1049</v>
      </c>
      <c r="K166" s="73" t="s">
        <v>201</v>
      </c>
      <c r="L166" s="72"/>
      <c r="M166" s="73" t="s">
        <v>1050</v>
      </c>
      <c r="N166" s="73" t="s">
        <v>1268</v>
      </c>
      <c r="O166" s="66" t="s">
        <v>211</v>
      </c>
      <c r="P166" s="66" t="s">
        <v>47</v>
      </c>
      <c r="Q166" s="95"/>
    </row>
    <row r="167" customFormat="false" ht="15.75" hidden="false" customHeight="false" outlineLevel="0" collapsed="false">
      <c r="C167" s="76"/>
      <c r="D167" s="78" t="s">
        <v>1269</v>
      </c>
      <c r="E167" s="78" t="s">
        <v>211</v>
      </c>
      <c r="F167" s="80" t="s">
        <v>1055</v>
      </c>
      <c r="G167" s="70"/>
      <c r="H167" s="94" t="n">
        <v>12.5</v>
      </c>
      <c r="I167" s="72" t="s">
        <v>1056</v>
      </c>
      <c r="J167" s="73" t="s">
        <v>1049</v>
      </c>
      <c r="K167" s="73" t="s">
        <v>201</v>
      </c>
      <c r="L167" s="72"/>
      <c r="M167" s="73" t="s">
        <v>1050</v>
      </c>
      <c r="N167" s="73" t="s">
        <v>1268</v>
      </c>
      <c r="O167" s="66" t="s">
        <v>211</v>
      </c>
      <c r="P167" s="66" t="s">
        <v>47</v>
      </c>
      <c r="Q167" s="95"/>
    </row>
    <row r="168" customFormat="false" ht="15.75" hidden="false" customHeight="false" outlineLevel="0" collapsed="false">
      <c r="C168" s="76"/>
      <c r="D168" s="78" t="s">
        <v>1270</v>
      </c>
      <c r="E168" s="78" t="s">
        <v>211</v>
      </c>
      <c r="F168" s="80" t="s">
        <v>1058</v>
      </c>
      <c r="G168" s="70"/>
      <c r="H168" s="94" t="n">
        <v>20</v>
      </c>
      <c r="I168" s="72" t="s">
        <v>1056</v>
      </c>
      <c r="J168" s="73" t="s">
        <v>1049</v>
      </c>
      <c r="K168" s="73" t="s">
        <v>201</v>
      </c>
      <c r="L168" s="72"/>
      <c r="M168" s="73" t="s">
        <v>1142</v>
      </c>
      <c r="N168" s="73" t="s">
        <v>1143</v>
      </c>
      <c r="O168" s="66" t="s">
        <v>211</v>
      </c>
      <c r="P168" s="66" t="s">
        <v>47</v>
      </c>
      <c r="Q168" s="95"/>
    </row>
    <row r="169" customFormat="false" ht="15.75" hidden="false" customHeight="false" outlineLevel="0" collapsed="false">
      <c r="C169" s="76"/>
      <c r="D169" s="78" t="s">
        <v>1271</v>
      </c>
      <c r="E169" s="78" t="s">
        <v>211</v>
      </c>
      <c r="F169" s="80" t="s">
        <v>1055</v>
      </c>
      <c r="G169" s="70"/>
      <c r="H169" s="94" t="n">
        <v>20</v>
      </c>
      <c r="I169" s="72" t="s">
        <v>1056</v>
      </c>
      <c r="J169" s="73" t="s">
        <v>1049</v>
      </c>
      <c r="K169" s="73" t="s">
        <v>201</v>
      </c>
      <c r="L169" s="72"/>
      <c r="M169" s="73" t="s">
        <v>1142</v>
      </c>
      <c r="N169" s="73" t="s">
        <v>1143</v>
      </c>
      <c r="O169" s="66" t="s">
        <v>211</v>
      </c>
      <c r="P169" s="66" t="s">
        <v>47</v>
      </c>
      <c r="Q169" s="95"/>
    </row>
    <row r="170" customFormat="false" ht="15.75" hidden="false" customHeight="false" outlineLevel="0" collapsed="false">
      <c r="C170" s="76"/>
      <c r="D170" s="78" t="s">
        <v>1272</v>
      </c>
      <c r="E170" s="78" t="s">
        <v>211</v>
      </c>
      <c r="F170" s="80" t="s">
        <v>1058</v>
      </c>
      <c r="G170" s="70"/>
      <c r="H170" s="94" t="n">
        <v>16</v>
      </c>
      <c r="I170" s="72" t="s">
        <v>1056</v>
      </c>
      <c r="J170" s="73" t="s">
        <v>1049</v>
      </c>
      <c r="K170" s="73" t="s">
        <v>201</v>
      </c>
      <c r="L170" s="72"/>
      <c r="M170" s="73" t="s">
        <v>1050</v>
      </c>
      <c r="N170" s="73" t="s">
        <v>1063</v>
      </c>
      <c r="O170" s="66" t="s">
        <v>211</v>
      </c>
      <c r="P170" s="66" t="s">
        <v>47</v>
      </c>
      <c r="Q170" s="95"/>
    </row>
    <row r="171" customFormat="false" ht="15.75" hidden="false" customHeight="false" outlineLevel="0" collapsed="false">
      <c r="C171" s="76"/>
      <c r="D171" s="78" t="s">
        <v>1273</v>
      </c>
      <c r="E171" s="78" t="s">
        <v>211</v>
      </c>
      <c r="F171" s="80" t="s">
        <v>1055</v>
      </c>
      <c r="G171" s="70"/>
      <c r="H171" s="94" t="n">
        <v>16</v>
      </c>
      <c r="I171" s="72" t="s">
        <v>1056</v>
      </c>
      <c r="J171" s="73" t="s">
        <v>1049</v>
      </c>
      <c r="K171" s="73" t="s">
        <v>201</v>
      </c>
      <c r="L171" s="72"/>
      <c r="M171" s="73" t="s">
        <v>1050</v>
      </c>
      <c r="N171" s="73" t="s">
        <v>1063</v>
      </c>
      <c r="O171" s="66" t="s">
        <v>211</v>
      </c>
      <c r="P171" s="66" t="s">
        <v>47</v>
      </c>
      <c r="Q171" s="95"/>
    </row>
    <row r="172" customFormat="false" ht="15.75" hidden="false" customHeight="false" outlineLevel="0" collapsed="false">
      <c r="C172" s="76"/>
      <c r="D172" s="78" t="s">
        <v>1274</v>
      </c>
      <c r="E172" s="78" t="s">
        <v>211</v>
      </c>
      <c r="F172" s="80" t="s">
        <v>1058</v>
      </c>
      <c r="G172" s="70"/>
      <c r="H172" s="94" t="n">
        <v>16</v>
      </c>
      <c r="I172" s="72" t="s">
        <v>1056</v>
      </c>
      <c r="J172" s="73" t="s">
        <v>1049</v>
      </c>
      <c r="K172" s="73" t="s">
        <v>201</v>
      </c>
      <c r="L172" s="72"/>
      <c r="M172" s="73" t="s">
        <v>1050</v>
      </c>
      <c r="N172" s="73" t="s">
        <v>1183</v>
      </c>
      <c r="O172" s="66" t="s">
        <v>211</v>
      </c>
      <c r="P172" s="66" t="s">
        <v>47</v>
      </c>
      <c r="Q172" s="95"/>
    </row>
    <row r="173" customFormat="false" ht="30.75" hidden="false" customHeight="false" outlineLevel="0" collapsed="false">
      <c r="C173" s="76"/>
      <c r="D173" s="78" t="s">
        <v>1275</v>
      </c>
      <c r="E173" s="78" t="s">
        <v>211</v>
      </c>
      <c r="F173" s="80" t="s">
        <v>1055</v>
      </c>
      <c r="G173" s="70"/>
      <c r="H173" s="94" t="n">
        <v>16</v>
      </c>
      <c r="I173" s="72" t="s">
        <v>1056</v>
      </c>
      <c r="J173" s="73" t="s">
        <v>1049</v>
      </c>
      <c r="K173" s="73" t="s">
        <v>201</v>
      </c>
      <c r="L173" s="72"/>
      <c r="M173" s="73" t="s">
        <v>1050</v>
      </c>
      <c r="N173" s="73" t="s">
        <v>1183</v>
      </c>
      <c r="O173" s="66" t="s">
        <v>211</v>
      </c>
      <c r="P173" s="66" t="s">
        <v>47</v>
      </c>
      <c r="Q173" s="95" t="s">
        <v>1052</v>
      </c>
    </row>
    <row r="174" customFormat="false" ht="15.75" hidden="false" customHeight="false" outlineLevel="0" collapsed="false">
      <c r="C174" s="76"/>
      <c r="D174" s="78" t="s">
        <v>1276</v>
      </c>
      <c r="E174" s="78" t="s">
        <v>211</v>
      </c>
      <c r="F174" s="80" t="s">
        <v>1055</v>
      </c>
      <c r="G174" s="70"/>
      <c r="H174" s="94" t="n">
        <v>31.5</v>
      </c>
      <c r="I174" s="72" t="s">
        <v>1056</v>
      </c>
      <c r="J174" s="73" t="s">
        <v>1049</v>
      </c>
      <c r="K174" s="73" t="s">
        <v>201</v>
      </c>
      <c r="L174" s="72"/>
      <c r="M174" s="73" t="s">
        <v>1050</v>
      </c>
      <c r="N174" s="73" t="s">
        <v>1063</v>
      </c>
      <c r="O174" s="66" t="s">
        <v>211</v>
      </c>
      <c r="P174" s="66" t="s">
        <v>47</v>
      </c>
      <c r="Q174" s="95"/>
    </row>
    <row r="175" customFormat="false" ht="15.75" hidden="false" customHeight="false" outlineLevel="0" collapsed="false">
      <c r="C175" s="76"/>
      <c r="D175" s="78" t="s">
        <v>1277</v>
      </c>
      <c r="E175" s="78" t="s">
        <v>211</v>
      </c>
      <c r="F175" s="80" t="n">
        <v>115</v>
      </c>
      <c r="G175" s="70"/>
      <c r="H175" s="94" t="n">
        <v>40</v>
      </c>
      <c r="I175" s="72" t="s">
        <v>1056</v>
      </c>
      <c r="J175" s="73" t="s">
        <v>1049</v>
      </c>
      <c r="K175" s="73" t="s">
        <v>201</v>
      </c>
      <c r="L175" s="72"/>
      <c r="M175" s="73" t="s">
        <v>1050</v>
      </c>
      <c r="N175" s="73" t="s">
        <v>1063</v>
      </c>
      <c r="O175" s="66" t="s">
        <v>211</v>
      </c>
      <c r="P175" s="66" t="s">
        <v>47</v>
      </c>
      <c r="Q175" s="95"/>
    </row>
    <row r="176" customFormat="false" ht="30.75" hidden="false" customHeight="false" outlineLevel="0" collapsed="false">
      <c r="C176" s="76"/>
      <c r="D176" s="78" t="s">
        <v>1278</v>
      </c>
      <c r="E176" s="78" t="s">
        <v>211</v>
      </c>
      <c r="F176" s="80" t="s">
        <v>1058</v>
      </c>
      <c r="G176" s="70"/>
      <c r="H176" s="94" t="n">
        <v>25</v>
      </c>
      <c r="I176" s="72" t="s">
        <v>1056</v>
      </c>
      <c r="J176" s="73" t="s">
        <v>1049</v>
      </c>
      <c r="K176" s="73" t="s">
        <v>201</v>
      </c>
      <c r="L176" s="72"/>
      <c r="M176" s="73" t="s">
        <v>1050</v>
      </c>
      <c r="N176" s="73" t="s">
        <v>1063</v>
      </c>
      <c r="O176" s="66" t="s">
        <v>211</v>
      </c>
      <c r="P176" s="66" t="s">
        <v>47</v>
      </c>
      <c r="Q176" s="95" t="s">
        <v>1052</v>
      </c>
    </row>
    <row r="177" customFormat="false" ht="15.75" hidden="false" customHeight="false" outlineLevel="0" collapsed="false">
      <c r="C177" s="76"/>
      <c r="D177" s="78" t="s">
        <v>1279</v>
      </c>
      <c r="E177" s="78" t="s">
        <v>211</v>
      </c>
      <c r="F177" s="80" t="s">
        <v>1280</v>
      </c>
      <c r="G177" s="70"/>
      <c r="H177" s="94"/>
      <c r="I177" s="72" t="s">
        <v>1056</v>
      </c>
      <c r="J177" s="73" t="s">
        <v>1049</v>
      </c>
      <c r="K177" s="73" t="s">
        <v>201</v>
      </c>
      <c r="L177" s="72"/>
      <c r="M177" s="73" t="s">
        <v>1050</v>
      </c>
      <c r="N177" s="73" t="s">
        <v>1109</v>
      </c>
      <c r="O177" s="66" t="s">
        <v>211</v>
      </c>
      <c r="P177" s="66" t="s">
        <v>47</v>
      </c>
      <c r="Q177" s="95"/>
    </row>
    <row r="178" customFormat="false" ht="15.75" hidden="false" customHeight="false" outlineLevel="0" collapsed="false">
      <c r="C178" s="76"/>
      <c r="D178" s="78" t="s">
        <v>1281</v>
      </c>
      <c r="E178" s="78" t="s">
        <v>211</v>
      </c>
      <c r="F178" s="80" t="s">
        <v>1058</v>
      </c>
      <c r="G178" s="70"/>
      <c r="H178" s="94"/>
      <c r="I178" s="72" t="s">
        <v>1056</v>
      </c>
      <c r="J178" s="73" t="s">
        <v>1049</v>
      </c>
      <c r="K178" s="73" t="s">
        <v>201</v>
      </c>
      <c r="L178" s="72"/>
      <c r="M178" s="73" t="s">
        <v>1050</v>
      </c>
      <c r="N178" s="73" t="s">
        <v>1109</v>
      </c>
      <c r="O178" s="66" t="s">
        <v>211</v>
      </c>
      <c r="P178" s="66" t="s">
        <v>47</v>
      </c>
      <c r="Q178" s="95"/>
    </row>
    <row r="179" customFormat="false" ht="15.75" hidden="false" customHeight="false" outlineLevel="0" collapsed="false">
      <c r="C179" s="76"/>
      <c r="D179" s="78" t="s">
        <v>1282</v>
      </c>
      <c r="E179" s="78" t="s">
        <v>211</v>
      </c>
      <c r="F179" s="80" t="n">
        <v>115</v>
      </c>
      <c r="G179" s="70"/>
      <c r="H179" s="94" t="n">
        <v>40</v>
      </c>
      <c r="I179" s="72" t="s">
        <v>1056</v>
      </c>
      <c r="J179" s="73" t="s">
        <v>1059</v>
      </c>
      <c r="K179" s="73" t="s">
        <v>201</v>
      </c>
      <c r="L179" s="72"/>
      <c r="M179" s="73" t="s">
        <v>1050</v>
      </c>
      <c r="N179" s="73" t="s">
        <v>1068</v>
      </c>
      <c r="O179" s="66" t="s">
        <v>211</v>
      </c>
      <c r="P179" s="66" t="s">
        <v>47</v>
      </c>
      <c r="Q179" s="96"/>
    </row>
    <row r="180" customFormat="false" ht="15.75" hidden="false" customHeight="false" outlineLevel="0" collapsed="false">
      <c r="C180" s="76"/>
      <c r="D180" s="78" t="s">
        <v>1283</v>
      </c>
      <c r="E180" s="78" t="s">
        <v>211</v>
      </c>
      <c r="F180" s="80" t="s">
        <v>1055</v>
      </c>
      <c r="G180" s="70"/>
      <c r="H180" s="94" t="n">
        <v>31.5</v>
      </c>
      <c r="I180" s="72" t="s">
        <v>1056</v>
      </c>
      <c r="J180" s="73" t="s">
        <v>1059</v>
      </c>
      <c r="K180" s="73" t="s">
        <v>201</v>
      </c>
      <c r="L180" s="72"/>
      <c r="M180" s="73" t="s">
        <v>1050</v>
      </c>
      <c r="N180" s="73" t="s">
        <v>1068</v>
      </c>
      <c r="O180" s="66" t="s">
        <v>211</v>
      </c>
      <c r="P180" s="66" t="s">
        <v>47</v>
      </c>
      <c r="Q180" s="95" t="s">
        <v>1284</v>
      </c>
    </row>
    <row r="181" customFormat="false" ht="15.75" hidden="false" customHeight="false" outlineLevel="0" collapsed="false">
      <c r="C181" s="76"/>
      <c r="D181" s="78" t="s">
        <v>366</v>
      </c>
      <c r="E181" s="78" t="s">
        <v>211</v>
      </c>
      <c r="F181" s="80" t="s">
        <v>1055</v>
      </c>
      <c r="G181" s="70"/>
      <c r="H181" s="94"/>
      <c r="I181" s="72" t="s">
        <v>1056</v>
      </c>
      <c r="J181" s="73" t="s">
        <v>1049</v>
      </c>
      <c r="K181" s="73" t="s">
        <v>355</v>
      </c>
      <c r="L181" s="72" t="n">
        <v>46021</v>
      </c>
      <c r="M181" s="73" t="s">
        <v>1050</v>
      </c>
      <c r="N181" s="73" t="s">
        <v>1285</v>
      </c>
      <c r="O181" s="66" t="s">
        <v>211</v>
      </c>
      <c r="P181" s="66" t="s">
        <v>47</v>
      </c>
      <c r="Q181" s="96" t="s">
        <v>1286</v>
      </c>
    </row>
    <row r="182" customFormat="false" ht="15.75" hidden="false" customHeight="false" outlineLevel="0" collapsed="false">
      <c r="C182" s="76"/>
      <c r="D182" s="78" t="s">
        <v>1287</v>
      </c>
      <c r="E182" s="78" t="s">
        <v>211</v>
      </c>
      <c r="F182" s="80" t="s">
        <v>1058</v>
      </c>
      <c r="G182" s="70"/>
      <c r="H182" s="94"/>
      <c r="I182" s="72" t="s">
        <v>1056</v>
      </c>
      <c r="J182" s="73" t="s">
        <v>1049</v>
      </c>
      <c r="K182" s="73" t="s">
        <v>355</v>
      </c>
      <c r="L182" s="72" t="n">
        <v>46021</v>
      </c>
      <c r="M182" s="73" t="s">
        <v>1050</v>
      </c>
      <c r="N182" s="73" t="s">
        <v>1285</v>
      </c>
      <c r="O182" s="66" t="s">
        <v>211</v>
      </c>
      <c r="P182" s="66" t="s">
        <v>47</v>
      </c>
      <c r="Q182" s="96" t="s">
        <v>1286</v>
      </c>
    </row>
    <row r="183" customFormat="false" ht="15.75" hidden="false" customHeight="false" outlineLevel="0" collapsed="false">
      <c r="C183" s="76"/>
      <c r="D183" s="78" t="s">
        <v>354</v>
      </c>
      <c r="E183" s="78" t="s">
        <v>211</v>
      </c>
      <c r="F183" s="80" t="s">
        <v>1055</v>
      </c>
      <c r="G183" s="70"/>
      <c r="H183" s="94"/>
      <c r="I183" s="72" t="s">
        <v>1056</v>
      </c>
      <c r="J183" s="73" t="s">
        <v>1049</v>
      </c>
      <c r="K183" s="73" t="s">
        <v>355</v>
      </c>
      <c r="L183" s="72" t="n">
        <v>45491</v>
      </c>
      <c r="M183" s="73" t="s">
        <v>1050</v>
      </c>
      <c r="N183" s="73" t="s">
        <v>1288</v>
      </c>
      <c r="O183" s="66" t="s">
        <v>211</v>
      </c>
      <c r="P183" s="66" t="s">
        <v>47</v>
      </c>
      <c r="Q183" s="96" t="s">
        <v>1286</v>
      </c>
    </row>
    <row r="184" customFormat="false" ht="15.75" hidden="false" customHeight="false" outlineLevel="0" collapsed="false">
      <c r="C184" s="76"/>
      <c r="D184" s="78" t="s">
        <v>1289</v>
      </c>
      <c r="E184" s="78" t="s">
        <v>211</v>
      </c>
      <c r="F184" s="80" t="s">
        <v>1058</v>
      </c>
      <c r="G184" s="70"/>
      <c r="H184" s="94"/>
      <c r="I184" s="72" t="s">
        <v>1056</v>
      </c>
      <c r="J184" s="73" t="s">
        <v>1049</v>
      </c>
      <c r="K184" s="73" t="s">
        <v>355</v>
      </c>
      <c r="L184" s="72" t="n">
        <v>45491</v>
      </c>
      <c r="M184" s="73" t="s">
        <v>1050</v>
      </c>
      <c r="N184" s="73" t="s">
        <v>1288</v>
      </c>
      <c r="O184" s="66" t="s">
        <v>211</v>
      </c>
      <c r="P184" s="66" t="s">
        <v>47</v>
      </c>
      <c r="Q184" s="96" t="s">
        <v>1286</v>
      </c>
    </row>
    <row r="185" customFormat="false" ht="15.75" hidden="false" customHeight="false" outlineLevel="0" collapsed="false">
      <c r="C185" s="76"/>
      <c r="D185" s="78" t="s">
        <v>1290</v>
      </c>
      <c r="E185" s="78" t="s">
        <v>211</v>
      </c>
      <c r="F185" s="80" t="n">
        <v>115</v>
      </c>
      <c r="G185" s="70"/>
      <c r="H185" s="94" t="n">
        <v>31.5</v>
      </c>
      <c r="I185" s="72" t="s">
        <v>1056</v>
      </c>
      <c r="J185" s="73" t="s">
        <v>1049</v>
      </c>
      <c r="K185" s="73" t="s">
        <v>201</v>
      </c>
      <c r="L185" s="72"/>
      <c r="M185" s="73" t="s">
        <v>1050</v>
      </c>
      <c r="N185" s="73" t="s">
        <v>1265</v>
      </c>
      <c r="O185" s="66" t="s">
        <v>211</v>
      </c>
      <c r="P185" s="66" t="s">
        <v>47</v>
      </c>
      <c r="Q185" s="96"/>
    </row>
    <row r="186" customFormat="false" ht="15.75" hidden="false" customHeight="false" outlineLevel="0" collapsed="false">
      <c r="C186" s="76"/>
      <c r="D186" s="78" t="s">
        <v>1291</v>
      </c>
      <c r="E186" s="78" t="s">
        <v>211</v>
      </c>
      <c r="F186" s="80" t="n">
        <v>115</v>
      </c>
      <c r="G186" s="70"/>
      <c r="H186" s="94" t="n">
        <v>31.5</v>
      </c>
      <c r="I186" s="72" t="s">
        <v>1056</v>
      </c>
      <c r="J186" s="73" t="s">
        <v>1049</v>
      </c>
      <c r="K186" s="73" t="s">
        <v>201</v>
      </c>
      <c r="L186" s="72"/>
      <c r="M186" s="73" t="s">
        <v>1050</v>
      </c>
      <c r="N186" s="73" t="s">
        <v>1220</v>
      </c>
      <c r="O186" s="66" t="s">
        <v>211</v>
      </c>
      <c r="P186" s="66" t="s">
        <v>47</v>
      </c>
      <c r="Q186" s="96"/>
    </row>
    <row r="187" customFormat="false" ht="15.75" hidden="false" customHeight="false" outlineLevel="0" collapsed="false">
      <c r="C187" s="76"/>
      <c r="D187" s="78" t="s">
        <v>1292</v>
      </c>
      <c r="E187" s="78" t="s">
        <v>211</v>
      </c>
      <c r="F187" s="80" t="n">
        <v>34.5</v>
      </c>
      <c r="G187" s="70"/>
      <c r="H187" s="94"/>
      <c r="I187" s="72" t="s">
        <v>1056</v>
      </c>
      <c r="J187" s="73" t="s">
        <v>1049</v>
      </c>
      <c r="K187" s="73" t="s">
        <v>355</v>
      </c>
      <c r="L187" s="72" t="n">
        <v>46752</v>
      </c>
      <c r="M187" s="73" t="s">
        <v>1050</v>
      </c>
      <c r="N187" s="73" t="s">
        <v>1068</v>
      </c>
      <c r="O187" s="66" t="s">
        <v>211</v>
      </c>
      <c r="P187" s="66" t="s">
        <v>47</v>
      </c>
      <c r="Q187" s="96" t="s">
        <v>1286</v>
      </c>
    </row>
    <row r="188" customFormat="false" ht="15.75" hidden="false" customHeight="false" outlineLevel="0" collapsed="false">
      <c r="C188" s="76"/>
      <c r="D188" s="78" t="s">
        <v>1293</v>
      </c>
      <c r="E188" s="78" t="s">
        <v>211</v>
      </c>
      <c r="F188" s="80" t="n">
        <v>13.8</v>
      </c>
      <c r="G188" s="70"/>
      <c r="H188" s="94"/>
      <c r="I188" s="72" t="s">
        <v>1056</v>
      </c>
      <c r="J188" s="73" t="s">
        <v>1049</v>
      </c>
      <c r="K188" s="73" t="s">
        <v>355</v>
      </c>
      <c r="L188" s="72" t="n">
        <v>46752</v>
      </c>
      <c r="M188" s="73" t="s">
        <v>1050</v>
      </c>
      <c r="N188" s="73" t="s">
        <v>1068</v>
      </c>
      <c r="O188" s="66" t="s">
        <v>211</v>
      </c>
      <c r="P188" s="66" t="s">
        <v>47</v>
      </c>
      <c r="Q188" s="96" t="s">
        <v>1286</v>
      </c>
    </row>
    <row r="189" customFormat="false" ht="15.75" hidden="false" customHeight="false" outlineLevel="0" collapsed="false">
      <c r="C189" s="76"/>
      <c r="D189" s="78" t="s">
        <v>820</v>
      </c>
      <c r="E189" s="78" t="s">
        <v>211</v>
      </c>
      <c r="F189" s="80" t="n">
        <v>34.5</v>
      </c>
      <c r="G189" s="70"/>
      <c r="H189" s="94"/>
      <c r="I189" s="72" t="s">
        <v>1056</v>
      </c>
      <c r="J189" s="73" t="s">
        <v>1049</v>
      </c>
      <c r="K189" s="73" t="s">
        <v>355</v>
      </c>
      <c r="L189" s="72" t="n">
        <v>46752</v>
      </c>
      <c r="M189" s="73" t="s">
        <v>1050</v>
      </c>
      <c r="N189" s="73" t="s">
        <v>1068</v>
      </c>
      <c r="O189" s="66" t="s">
        <v>211</v>
      </c>
      <c r="P189" s="66" t="s">
        <v>47</v>
      </c>
      <c r="Q189" s="96" t="s">
        <v>1286</v>
      </c>
    </row>
    <row r="190" customFormat="false" ht="15.75" hidden="false" customHeight="false" outlineLevel="0" collapsed="false">
      <c r="C190" s="76"/>
      <c r="D190" s="78" t="s">
        <v>1294</v>
      </c>
      <c r="E190" s="78" t="s">
        <v>211</v>
      </c>
      <c r="F190" s="80" t="n">
        <v>13.8</v>
      </c>
      <c r="G190" s="70"/>
      <c r="H190" s="94"/>
      <c r="I190" s="72" t="s">
        <v>1056</v>
      </c>
      <c r="J190" s="73" t="s">
        <v>1049</v>
      </c>
      <c r="K190" s="73" t="s">
        <v>355</v>
      </c>
      <c r="L190" s="72" t="n">
        <v>46752</v>
      </c>
      <c r="M190" s="73" t="s">
        <v>1050</v>
      </c>
      <c r="N190" s="73" t="s">
        <v>1068</v>
      </c>
      <c r="O190" s="66" t="s">
        <v>211</v>
      </c>
      <c r="P190" s="66" t="s">
        <v>47</v>
      </c>
      <c r="Q190" s="96" t="s">
        <v>1286</v>
      </c>
    </row>
    <row r="191" customFormat="false" ht="15.75" hidden="false" customHeight="false" outlineLevel="0" collapsed="false">
      <c r="C191" s="76"/>
      <c r="D191" s="78" t="s">
        <v>1295</v>
      </c>
      <c r="E191" s="78" t="s">
        <v>211</v>
      </c>
      <c r="F191" s="80" t="n">
        <v>230</v>
      </c>
      <c r="G191" s="70"/>
      <c r="H191" s="94"/>
      <c r="I191" s="72" t="s">
        <v>1074</v>
      </c>
      <c r="J191" s="73" t="s">
        <v>1059</v>
      </c>
      <c r="K191" s="73" t="s">
        <v>355</v>
      </c>
      <c r="L191" s="72" t="n">
        <v>47118</v>
      </c>
      <c r="M191" s="73" t="s">
        <v>1050</v>
      </c>
      <c r="N191" s="73" t="s">
        <v>1254</v>
      </c>
      <c r="O191" s="66" t="s">
        <v>211</v>
      </c>
      <c r="P191" s="66" t="s">
        <v>47</v>
      </c>
      <c r="Q191" s="97" t="s">
        <v>1286</v>
      </c>
    </row>
    <row r="192" customFormat="false" ht="15" hidden="false" customHeight="false" outlineLevel="0" collapsed="false">
      <c r="C192" s="76"/>
      <c r="D192" s="78" t="s">
        <v>1296</v>
      </c>
      <c r="E192" s="78" t="s">
        <v>211</v>
      </c>
      <c r="F192" s="80" t="n">
        <v>115</v>
      </c>
      <c r="G192" s="70"/>
      <c r="H192" s="94"/>
      <c r="I192" s="72" t="s">
        <v>1297</v>
      </c>
      <c r="J192" s="73" t="s">
        <v>1059</v>
      </c>
      <c r="K192" s="73" t="s">
        <v>355</v>
      </c>
      <c r="L192" s="72" t="n">
        <v>47118</v>
      </c>
      <c r="M192" s="73" t="s">
        <v>1050</v>
      </c>
      <c r="N192" s="73" t="s">
        <v>1254</v>
      </c>
      <c r="O192" s="66" t="s">
        <v>211</v>
      </c>
      <c r="P192" s="66" t="s">
        <v>47</v>
      </c>
      <c r="Q192" s="97" t="s">
        <v>1286</v>
      </c>
    </row>
  </sheetData>
  <mergeCells count="16">
    <mergeCell ref="C3:Q3"/>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s>
  <dataValidations count="6">
    <dataValidation allowBlank="true" errorStyle="stop" operator="between" showDropDown="false" showErrorMessage="true" showInputMessage="true" sqref="F1:H3 F6:F192 H6:I192 F193:H1192" type="decimal">
      <formula1>-1000000000</formula1>
      <formula2>100000000000</formula2>
    </dataValidation>
    <dataValidation allowBlank="true" errorStyle="stop" operator="greaterThan" showDropDown="false" showErrorMessage="true" showInputMessage="true" sqref="L1:L3 M6:M192 L193:L1192" type="date">
      <formula1>1</formula1>
      <formula2>0</formula2>
    </dataValidation>
    <dataValidation allowBlank="true" errorStyle="stop" operator="between" showDropDown="false" showErrorMessage="true" showInputMessage="true" sqref="J1:J3 K6:K192 J193:J1192" type="list">
      <formula1>'Listas Desplegables'!$B$44:$B$46</formula1>
      <formula2>0</formula2>
    </dataValidation>
    <dataValidation allowBlank="true" errorStyle="stop" operator="between" showDropDown="false" showErrorMessage="true" showInputMessage="true" sqref="K1:K3 L6:L192 K193:K1192" type="list">
      <formula1>'Listas Desplegables'!$B$48:$B$49</formula1>
      <formula2>0</formula2>
    </dataValidation>
    <dataValidation allowBlank="true" errorStyle="stop" operator="between" showDropDown="false" showErrorMessage="true" showInputMessage="true" sqref="I1:I3 J6:J192 I193:I1192" type="list">
      <formula1>'Listas Desplegables'!$B$34:$B$42</formula1>
      <formula2>0</formula2>
    </dataValidation>
    <dataValidation allowBlank="true" errorStyle="stop" operator="between" showDropDown="false" showErrorMessage="true" showInputMessage="true" sqref="P6:P192" type="list">
      <formula1>'Listas Desplegables'!$B$90:$B$93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Z378"/>
  <sheetViews>
    <sheetView showFormulas="false" showGridLines="false" showRowColHeaders="true" showZeros="true" rightToLeft="false" tabSelected="true" showOutlineSymbols="true" defaultGridColor="true" view="normal" topLeftCell="E1" colorId="64" zoomScale="100" zoomScaleNormal="100" zoomScalePageLayoutView="100" workbookViewId="0">
      <pane xSplit="0" ySplit="4" topLeftCell="A154" activePane="bottomLeft" state="frozen"/>
      <selection pane="topLeft" activeCell="E1" activeCellId="0" sqref="E1"/>
      <selection pane="bottomLeft" activeCell="H158" activeCellId="0" sqref="H158"/>
    </sheetView>
  </sheetViews>
  <sheetFormatPr defaultColWidth="11.57421875" defaultRowHeight="15" zeroHeight="false" outlineLevelRow="0" outlineLevelCol="0"/>
  <cols>
    <col collapsed="false" customWidth="true" hidden="false" outlineLevel="0" max="2" min="1" style="52" width="3"/>
    <col collapsed="false" customWidth="true" hidden="false" outlineLevel="0" max="3" min="3" style="53" width="6.7"/>
    <col collapsed="false" customWidth="true" hidden="false" outlineLevel="0" max="4" min="4" style="1" width="13.51"/>
    <col collapsed="false" customWidth="true" hidden="false" outlineLevel="0" max="5" min="5" style="1" width="20.14"/>
    <col collapsed="false" customWidth="true" hidden="false" outlineLevel="0" max="6" min="6" style="1" width="6.02"/>
    <col collapsed="false" customWidth="true" hidden="false" outlineLevel="0" max="7" min="7" style="1" width="12.72"/>
    <col collapsed="false" customWidth="true" hidden="false" outlineLevel="0" max="8" min="8" style="1" width="24.16"/>
    <col collapsed="false" customWidth="true" hidden="false" outlineLevel="0" max="9" min="9" style="1" width="10.96"/>
    <col collapsed="false" customWidth="true" hidden="false" outlineLevel="0" max="10" min="10" style="54" width="3.62"/>
    <col collapsed="false" customWidth="true" hidden="false" outlineLevel="0" max="11" min="11" style="1" width="10.88"/>
    <col collapsed="false" customWidth="true" hidden="false" outlineLevel="0" max="12" min="12" style="1" width="9.07"/>
    <col collapsed="false" customWidth="true" hidden="false" outlineLevel="0" max="25" min="13" style="1" width="12.72"/>
    <col collapsed="false" customWidth="true" hidden="false" outlineLevel="0" max="26" min="26" style="1" width="29.43"/>
  </cols>
  <sheetData>
    <row r="1" customFormat="false" ht="6" hidden="false" customHeight="true" outlineLevel="0" collapsed="false"/>
    <row r="2" customFormat="false" ht="6.6" hidden="false" customHeight="true" outlineLevel="0" collapsed="false"/>
    <row r="3" s="57" customFormat="true" ht="7.2" hidden="false" customHeight="true" outlineLevel="0" collapsed="false">
      <c r="A3" s="55"/>
      <c r="B3" s="55"/>
      <c r="C3" s="56" t="s">
        <v>1298</v>
      </c>
      <c r="D3" s="56"/>
      <c r="E3" s="56"/>
      <c r="F3" s="56"/>
      <c r="G3" s="56"/>
      <c r="H3" s="56"/>
      <c r="I3" s="56"/>
      <c r="J3" s="56"/>
      <c r="K3" s="56"/>
      <c r="L3" s="56"/>
      <c r="M3" s="56"/>
      <c r="N3" s="56"/>
      <c r="O3" s="56"/>
      <c r="P3" s="56"/>
      <c r="Q3" s="56"/>
      <c r="R3" s="56"/>
      <c r="S3" s="56"/>
      <c r="T3" s="56"/>
      <c r="U3" s="56"/>
      <c r="V3" s="56"/>
      <c r="W3" s="56"/>
      <c r="X3" s="56"/>
      <c r="Y3" s="56"/>
      <c r="Z3" s="56"/>
    </row>
    <row r="4" s="61" customFormat="true" ht="30.7" hidden="false" customHeight="true" outlineLevel="0" collapsed="false">
      <c r="A4" s="58"/>
      <c r="B4" s="58"/>
      <c r="C4" s="59" t="s">
        <v>194</v>
      </c>
      <c r="D4" s="60" t="str">
        <f aca="false">'Manual de Uso'!C124</f>
        <v>Nombre</v>
      </c>
      <c r="E4" s="60" t="str">
        <f aca="false">'Manual de Uso'!C125</f>
        <v>Subestación</v>
      </c>
      <c r="F4" s="60" t="str">
        <f aca="false">'Manual de Uso'!C126</f>
        <v>Nivel de tensión [kV]</v>
      </c>
      <c r="G4" s="60" t="str">
        <f aca="false">'Manual de Uso'!C127</f>
        <v>Tipo</v>
      </c>
      <c r="H4" s="60" t="str">
        <f aca="false">'Manual de Uso'!C128</f>
        <v>Atendida Subestación Nivel IV</v>
      </c>
      <c r="I4" s="60" t="str">
        <f aca="false">'Manual de Uso'!C129</f>
        <v>En Operación</v>
      </c>
      <c r="J4" s="90" t="str">
        <f aca="false">'Manual de Uso'!C130</f>
        <v>FPO</v>
      </c>
      <c r="K4" s="60" t="str">
        <f aca="false">'Manual de Uso'!C131</f>
        <v>Demanda Mínima</v>
      </c>
      <c r="L4" s="60"/>
      <c r="M4" s="60" t="str">
        <f aca="false">'Manual de Uso'!C132</f>
        <v>Demanda Media</v>
      </c>
      <c r="N4" s="60"/>
      <c r="O4" s="60" t="str">
        <f aca="false">'Manual de Uso'!C133</f>
        <v>Demanda Máxima</v>
      </c>
      <c r="P4" s="60"/>
      <c r="Q4" s="90" t="s">
        <v>1299</v>
      </c>
      <c r="R4" s="90"/>
      <c r="S4" s="90"/>
      <c r="T4" s="90" t="s">
        <v>1300</v>
      </c>
      <c r="U4" s="90"/>
      <c r="V4" s="90"/>
      <c r="W4" s="90" t="s">
        <v>1301</v>
      </c>
      <c r="X4" s="90"/>
      <c r="Y4" s="90"/>
      <c r="Z4" s="60" t="str">
        <f aca="false">'Manual de Uso'!C137</f>
        <v>Observaciones transportador</v>
      </c>
    </row>
    <row r="5" s="61" customFormat="true" ht="11.4" hidden="false" customHeight="true" outlineLevel="0" collapsed="false">
      <c r="A5" s="58"/>
      <c r="B5" s="58"/>
      <c r="C5" s="59"/>
      <c r="D5" s="60"/>
      <c r="E5" s="60"/>
      <c r="F5" s="60"/>
      <c r="G5" s="60"/>
      <c r="H5" s="60"/>
      <c r="I5" s="60"/>
      <c r="J5" s="90"/>
      <c r="K5" s="98" t="s">
        <v>1302</v>
      </c>
      <c r="L5" s="98" t="s">
        <v>1303</v>
      </c>
      <c r="M5" s="98" t="s">
        <v>1302</v>
      </c>
      <c r="N5" s="98" t="s">
        <v>1303</v>
      </c>
      <c r="O5" s="98" t="s">
        <v>1302</v>
      </c>
      <c r="P5" s="98" t="s">
        <v>1303</v>
      </c>
      <c r="Q5" s="99" t="str">
        <f aca="false">'Manual de Uso'!C134</f>
        <v>Traslados de carga Año</v>
      </c>
      <c r="R5" s="99" t="str">
        <f aca="false">'Manual de Uso'!C135</f>
        <v>Porcentaje</v>
      </c>
      <c r="S5" s="99" t="str">
        <f aca="false">'Manual de Uso'!C136</f>
        <v>Subestación destino traslado</v>
      </c>
      <c r="T5" s="100" t="s">
        <v>151</v>
      </c>
      <c r="U5" s="100" t="s">
        <v>153</v>
      </c>
      <c r="V5" s="100" t="s">
        <v>155</v>
      </c>
      <c r="W5" s="100" t="s">
        <v>151</v>
      </c>
      <c r="X5" s="100" t="s">
        <v>153</v>
      </c>
      <c r="Y5" s="100" t="s">
        <v>155</v>
      </c>
      <c r="Z5" s="60"/>
    </row>
    <row r="6" customFormat="false" ht="15.75" hidden="false" customHeight="false" outlineLevel="0" collapsed="false">
      <c r="A6" s="52" t="e">
        <f aca="false">VLOOKUP(#REF!,'[1]Listas Desplegables'!$H$3:$J$7,2,FALSE())</f>
        <v>#VALUE!</v>
      </c>
      <c r="B6" s="52" t="e">
        <f aca="false">VLOOKUP(#REF!,'[1]Listas Desplegables'!$H$3:$J$7,3,FALSE())</f>
        <v>#VALUE!</v>
      </c>
      <c r="C6" s="62" t="n">
        <v>1</v>
      </c>
      <c r="D6" s="63" t="s">
        <v>1304</v>
      </c>
      <c r="E6" s="63" t="s">
        <v>1305</v>
      </c>
      <c r="F6" s="101" t="n">
        <f aca="false">VLOOKUP(D6,'[2]5. Demanda'!$D$4:$F$357,3,FALSE())</f>
        <v>13.8</v>
      </c>
      <c r="G6" s="63" t="str">
        <f aca="false">VLOOKUP($D6,'[2]5. Demanda'!$D$4:$J$357,4,FALSE())</f>
        <v>residencial</v>
      </c>
      <c r="H6" s="63" t="str">
        <f aca="false">VLOOKUP($D6,'[2]5. Demanda'!$D$4:$J$357,5,FALSE())</f>
        <v>Bucaramanga 115 kV</v>
      </c>
      <c r="I6" s="63" t="str">
        <f aca="false">VLOOKUP($D6,'[2]5. Demanda'!$D$4:$J$357,6,FALSE())</f>
        <v>Sí</v>
      </c>
      <c r="J6" s="102" t="str">
        <f aca="false">IF(VLOOKUP($D6,'[2]5. Demanda'!$D$4:$J$357,7,FALSE())=0,"",VLOOKUP($D6,'[2]5. Demanda'!$D$4:$J$357,7,FALSE()))</f>
        <v/>
      </c>
      <c r="K6" s="101" t="n">
        <v>0.313249233227217</v>
      </c>
      <c r="L6" s="101" t="n">
        <v>0.133443614560828</v>
      </c>
      <c r="M6" s="101" t="n">
        <v>0.353251594987302</v>
      </c>
      <c r="N6" s="101" t="n">
        <v>0.15048454931186</v>
      </c>
      <c r="O6" s="101" t="n">
        <v>0.491223861531814</v>
      </c>
      <c r="P6" s="101" t="n">
        <v>0.209260488736091</v>
      </c>
      <c r="Q6" s="65"/>
      <c r="R6" s="65"/>
      <c r="S6" s="65"/>
      <c r="T6" s="65"/>
      <c r="U6" s="65"/>
      <c r="V6" s="65"/>
      <c r="W6" s="65"/>
      <c r="X6" s="65"/>
      <c r="Y6" s="65"/>
      <c r="Z6" s="68"/>
    </row>
    <row r="7" customFormat="false" ht="15.75" hidden="false" customHeight="false" outlineLevel="0" collapsed="false">
      <c r="A7" s="52" t="e">
        <f aca="false">VLOOKUP(#REF!,'[1]Listas Desplegables'!$H$3:$J$7,2,FALSE())</f>
        <v>#VALUE!</v>
      </c>
      <c r="B7" s="52" t="e">
        <f aca="false">VLOOKUP(#REF!,'[1]Listas Desplegables'!$H$3:$J$7,3,FALSE())</f>
        <v>#VALUE!</v>
      </c>
      <c r="C7" s="69" t="n">
        <v>2</v>
      </c>
      <c r="D7" s="70" t="s">
        <v>1306</v>
      </c>
      <c r="E7" s="63" t="s">
        <v>1305</v>
      </c>
      <c r="F7" s="101" t="n">
        <f aca="false">VLOOKUP(D7,'[2]5. Demanda'!$D$4:$F$357,3,FALSE())</f>
        <v>13.8</v>
      </c>
      <c r="G7" s="63" t="str">
        <f aca="false">VLOOKUP(D7,'[2]5. Demanda'!D$4:J$357,4,FALSE())</f>
        <v>residencial</v>
      </c>
      <c r="H7" s="63" t="str">
        <f aca="false">VLOOKUP($D7,'[2]5. Demanda'!$D$4:$J$357,5,FALSE())</f>
        <v>Bucaramanga 115 kV</v>
      </c>
      <c r="I7" s="63" t="str">
        <f aca="false">VLOOKUP($D7,'[2]5. Demanda'!$D$4:$J$357,6,FALSE())</f>
        <v>Sí</v>
      </c>
      <c r="J7" s="102" t="str">
        <f aca="false">IF(VLOOKUP($D7,'[2]5. Demanda'!$D$4:$J$357,7,FALSE())=0,"",VLOOKUP($D7,'[2]5. Demanda'!$D$4:$J$357,7,FALSE()))</f>
        <v/>
      </c>
      <c r="K7" s="71" t="n">
        <v>0.913104845932594</v>
      </c>
      <c r="L7" s="71" t="n">
        <v>0.388981035512609</v>
      </c>
      <c r="M7" s="71" t="n">
        <v>1.27057817159142</v>
      </c>
      <c r="N7" s="71" t="n">
        <v>0.541264034559545</v>
      </c>
      <c r="O7" s="71" t="n">
        <v>1.5048391470136</v>
      </c>
      <c r="P7" s="71" t="n">
        <v>0.64105879219972</v>
      </c>
      <c r="Q7" s="72"/>
      <c r="R7" s="72"/>
      <c r="S7" s="72"/>
      <c r="T7" s="72"/>
      <c r="U7" s="72"/>
      <c r="V7" s="72"/>
      <c r="W7" s="72"/>
      <c r="X7" s="72"/>
      <c r="Y7" s="72"/>
      <c r="Z7" s="75"/>
    </row>
    <row r="8" customFormat="false" ht="15.75" hidden="false" customHeight="false" outlineLevel="0" collapsed="false">
      <c r="A8" s="52" t="e">
        <f aca="false">VLOOKUP(#REF!,'[1]Listas Desplegables'!$H$3:$J$7,2,FALSE())</f>
        <v>#VALUE!</v>
      </c>
      <c r="B8" s="52" t="e">
        <f aca="false">VLOOKUP(#REF!,'[1]Listas Desplegables'!$H$3:$J$7,3,FALSE())</f>
        <v>#VALUE!</v>
      </c>
      <c r="C8" s="69" t="n">
        <v>3</v>
      </c>
      <c r="D8" s="70" t="s">
        <v>1307</v>
      </c>
      <c r="E8" s="63" t="s">
        <v>1308</v>
      </c>
      <c r="F8" s="101" t="n">
        <f aca="false">VLOOKUP(D8,'[2]5. Demanda'!$D$4:$F$357,3,FALSE())</f>
        <v>13.8</v>
      </c>
      <c r="G8" s="63" t="str">
        <f aca="false">VLOOKUP(D8,'[2]5. Demanda'!D$4:J$357,4,FALSE())</f>
        <v>residencial</v>
      </c>
      <c r="H8" s="63" t="str">
        <f aca="false">VLOOKUP($D8,'[2]5. Demanda'!$D$4:$J$357,5,FALSE())</f>
        <v>Bucaramanga 115 kV</v>
      </c>
      <c r="I8" s="63" t="str">
        <f aca="false">VLOOKUP($D8,'[2]5. Demanda'!$D$4:$J$357,6,FALSE())</f>
        <v>Sí</v>
      </c>
      <c r="J8" s="102" t="str">
        <f aca="false">IF(VLOOKUP($D8,'[2]5. Demanda'!$D$4:$J$357,7,FALSE())=0,"",VLOOKUP($D8,'[2]5. Demanda'!$D$4:$J$357,7,FALSE()))</f>
        <v/>
      </c>
      <c r="K8" s="71" t="n">
        <v>0.810729144655185</v>
      </c>
      <c r="L8" s="71" t="n">
        <v>0.34536916939274</v>
      </c>
      <c r="M8" s="71" t="n">
        <v>1.09100054170401</v>
      </c>
      <c r="N8" s="71" t="n">
        <v>0.464764284569542</v>
      </c>
      <c r="O8" s="71" t="n">
        <v>1.36958234028019</v>
      </c>
      <c r="P8" s="71" t="n">
        <v>0.583439633811009</v>
      </c>
      <c r="Q8" s="72"/>
      <c r="R8" s="72"/>
      <c r="S8" s="72"/>
      <c r="T8" s="72"/>
      <c r="U8" s="72"/>
      <c r="V8" s="72"/>
      <c r="W8" s="72"/>
      <c r="X8" s="72"/>
      <c r="Y8" s="72"/>
      <c r="Z8" s="75"/>
    </row>
    <row r="9" customFormat="false" ht="15.75" hidden="false" customHeight="false" outlineLevel="0" collapsed="false">
      <c r="A9" s="52" t="e">
        <f aca="false">VLOOKUP(#REF!,'[1]Listas Desplegables'!$H$3:$J$7,2,FALSE())</f>
        <v>#VALUE!</v>
      </c>
      <c r="B9" s="52" t="e">
        <f aca="false">VLOOKUP(#REF!,'[1]Listas Desplegables'!$H$3:$J$7,3,FALSE())</f>
        <v>#VALUE!</v>
      </c>
      <c r="C9" s="69" t="n">
        <v>4</v>
      </c>
      <c r="D9" s="70" t="s">
        <v>1309</v>
      </c>
      <c r="E9" s="63" t="s">
        <v>1310</v>
      </c>
      <c r="F9" s="101" t="n">
        <f aca="false">VLOOKUP(D9,'[2]5. Demanda'!$D$4:$F$357,3,FALSE())</f>
        <v>13.8</v>
      </c>
      <c r="G9" s="63" t="str">
        <f aca="false">VLOOKUP(D9,'[2]5. Demanda'!D$4:J$357,4,FALSE())</f>
        <v>residencial</v>
      </c>
      <c r="H9" s="63" t="str">
        <f aca="false">VLOOKUP($D9,'[2]5. Demanda'!$D$4:$J$357,5,FALSE())</f>
        <v>Palenque 115 kV
Real de Minas 115 kV</v>
      </c>
      <c r="I9" s="63" t="str">
        <f aca="false">VLOOKUP($D9,'[2]5. Demanda'!$D$4:$J$357,6,FALSE())</f>
        <v>Sí</v>
      </c>
      <c r="J9" s="102" t="str">
        <f aca="false">IF(VLOOKUP($D9,'[2]5. Demanda'!$D$4:$J$357,7,FALSE())=0,"",VLOOKUP($D9,'[2]5. Demanda'!$D$4:$J$357,7,FALSE()))</f>
        <v/>
      </c>
      <c r="K9" s="71" t="n">
        <v>0.836403018366349</v>
      </c>
      <c r="L9" s="71" t="n">
        <v>0.356306193795002</v>
      </c>
      <c r="M9" s="71" t="n">
        <v>1.01195790193508</v>
      </c>
      <c r="N9" s="71" t="n">
        <v>0.43109226102928</v>
      </c>
      <c r="O9" s="71" t="n">
        <v>1.14005496863638</v>
      </c>
      <c r="P9" s="71" t="n">
        <v>0.485661382936314</v>
      </c>
      <c r="Q9" s="72"/>
      <c r="R9" s="72"/>
      <c r="S9" s="72"/>
      <c r="T9" s="72"/>
      <c r="U9" s="72"/>
      <c r="V9" s="72"/>
      <c r="W9" s="72"/>
      <c r="X9" s="72"/>
      <c r="Y9" s="72"/>
      <c r="Z9" s="75"/>
    </row>
    <row r="10" customFormat="false" ht="15.75" hidden="false" customHeight="false" outlineLevel="0" collapsed="false">
      <c r="A10" s="52" t="e">
        <f aca="false">VLOOKUP(#REF!,'[1]Listas Desplegables'!$H$3:$J$7,2,FALSE())</f>
        <v>#VALUE!</v>
      </c>
      <c r="B10" s="52" t="e">
        <f aca="false">VLOOKUP(#REF!,'[1]Listas Desplegables'!$H$3:$J$7,3,FALSE())</f>
        <v>#VALUE!</v>
      </c>
      <c r="C10" s="69" t="n">
        <v>5</v>
      </c>
      <c r="D10" s="70" t="s">
        <v>1311</v>
      </c>
      <c r="E10" s="63" t="s">
        <v>1310</v>
      </c>
      <c r="F10" s="101" t="n">
        <f aca="false">VLOOKUP(D10,'[2]5. Demanda'!$D$4:$F$357,3,FALSE())</f>
        <v>13.8</v>
      </c>
      <c r="G10" s="63" t="str">
        <f aca="false">VLOOKUP(D10,'[2]5. Demanda'!D$4:J$357,4,FALSE())</f>
        <v>residencial</v>
      </c>
      <c r="H10" s="63" t="str">
        <f aca="false">VLOOKUP($D10,'[2]5. Demanda'!$D$4:$J$357,5,FALSE())</f>
        <v>Palenque 115 kV
Real de Minas 115 kV</v>
      </c>
      <c r="I10" s="63" t="str">
        <f aca="false">VLOOKUP($D10,'[2]5. Demanda'!$D$4:$J$357,6,FALSE())</f>
        <v>Sí</v>
      </c>
      <c r="J10" s="102" t="str">
        <f aca="false">IF(VLOOKUP($D10,'[2]5. Demanda'!$D$4:$J$357,7,FALSE())=0,"",VLOOKUP($D10,'[2]5. Demanda'!$D$4:$J$357,7,FALSE()))</f>
        <v/>
      </c>
      <c r="K10" s="71" t="n">
        <v>0.365793460500277</v>
      </c>
      <c r="L10" s="71" t="n">
        <v>0.155827361647407</v>
      </c>
      <c r="M10" s="71" t="n">
        <v>0.378776692313553</v>
      </c>
      <c r="N10" s="71" t="n">
        <v>0.161358195239546</v>
      </c>
      <c r="O10" s="71" t="n">
        <v>0.494823192560011</v>
      </c>
      <c r="P10" s="71" t="n">
        <v>0.210793797333387</v>
      </c>
      <c r="Q10" s="72"/>
      <c r="R10" s="72"/>
      <c r="S10" s="72"/>
      <c r="T10" s="72"/>
      <c r="U10" s="72"/>
      <c r="V10" s="72"/>
      <c r="W10" s="72"/>
      <c r="X10" s="72"/>
      <c r="Y10" s="72"/>
      <c r="Z10" s="75"/>
    </row>
    <row r="11" customFormat="false" ht="15.75" hidden="false" customHeight="false" outlineLevel="0" collapsed="false">
      <c r="A11" s="52" t="e">
        <f aca="false">VLOOKUP(#REF!,'[1]Listas Desplegables'!$H$3:$J$7,2,FALSE())</f>
        <v>#VALUE!</v>
      </c>
      <c r="B11" s="52" t="e">
        <f aca="false">VLOOKUP(#REF!,'[1]Listas Desplegables'!$H$3:$J$7,3,FALSE())</f>
        <v>#VALUE!</v>
      </c>
      <c r="C11" s="69" t="n">
        <v>6</v>
      </c>
      <c r="D11" s="70" t="s">
        <v>1312</v>
      </c>
      <c r="E11" s="63" t="s">
        <v>1313</v>
      </c>
      <c r="F11" s="101" t="n">
        <f aca="false">VLOOKUP(D11,'[2]5. Demanda'!$D$4:$F$357,3,FALSE())</f>
        <v>13.8</v>
      </c>
      <c r="G11" s="63" t="str">
        <f aca="false">VLOOKUP(D11,'[2]5. Demanda'!D$4:J$357,4,FALSE())</f>
        <v>residencial</v>
      </c>
      <c r="H11" s="63" t="str">
        <f aca="false">VLOOKUP($D11,'[2]5. Demanda'!$D$4:$J$357,5,FALSE())</f>
        <v>Bucaramanga 115 kV</v>
      </c>
      <c r="I11" s="63" t="str">
        <f aca="false">VLOOKUP($D11,'[2]5. Demanda'!$D$4:$J$357,6,FALSE())</f>
        <v>Sí</v>
      </c>
      <c r="J11" s="102" t="str">
        <f aca="false">IF(VLOOKUP($D11,'[2]5. Demanda'!$D$4:$J$357,7,FALSE())=0,"",VLOOKUP($D11,'[2]5. Demanda'!$D$4:$J$357,7,FALSE()))</f>
        <v/>
      </c>
      <c r="K11" s="71" t="n">
        <v>0.753240854345531</v>
      </c>
      <c r="L11" s="71" t="n">
        <v>0.320879260272107</v>
      </c>
      <c r="M11" s="71" t="n">
        <v>0.990164959480672</v>
      </c>
      <c r="N11" s="71" t="n">
        <v>0.421808506419344</v>
      </c>
      <c r="O11" s="71" t="n">
        <v>1.19137526970959</v>
      </c>
      <c r="P11" s="71" t="n">
        <v>0.507523739645075</v>
      </c>
      <c r="Q11" s="72"/>
      <c r="R11" s="72"/>
      <c r="S11" s="72"/>
      <c r="T11" s="72"/>
      <c r="U11" s="72"/>
      <c r="V11" s="72"/>
      <c r="W11" s="72"/>
      <c r="X11" s="72"/>
      <c r="Y11" s="72"/>
      <c r="Z11" s="75"/>
    </row>
    <row r="12" customFormat="false" ht="15.75" hidden="false" customHeight="false" outlineLevel="0" collapsed="false">
      <c r="A12" s="52" t="e">
        <f aca="false">VLOOKUP(#REF!,'[1]Listas Desplegables'!$H$3:$J$7,2,FALSE())</f>
        <v>#VALUE!</v>
      </c>
      <c r="B12" s="52" t="e">
        <f aca="false">VLOOKUP(#REF!,'[1]Listas Desplegables'!$H$3:$J$7,3,FALSE())</f>
        <v>#VALUE!</v>
      </c>
      <c r="C12" s="69" t="n">
        <v>7</v>
      </c>
      <c r="D12" s="70" t="s">
        <v>1314</v>
      </c>
      <c r="E12" s="63" t="s">
        <v>1313</v>
      </c>
      <c r="F12" s="101" t="n">
        <f aca="false">VLOOKUP(D12,'[2]5. Demanda'!$D$4:$F$357,3,FALSE())</f>
        <v>13.8</v>
      </c>
      <c r="G12" s="63" t="str">
        <f aca="false">VLOOKUP(D12,'[2]5. Demanda'!D$4:J$357,4,FALSE())</f>
        <v>residencial</v>
      </c>
      <c r="H12" s="63" t="str">
        <f aca="false">VLOOKUP($D12,'[2]5. Demanda'!$D$4:$J$357,5,FALSE())</f>
        <v>Bucaramanga 115 kV</v>
      </c>
      <c r="I12" s="63" t="str">
        <f aca="false">VLOOKUP($D12,'[2]5. Demanda'!$D$4:$J$357,6,FALSE())</f>
        <v>Sí</v>
      </c>
      <c r="J12" s="102" t="str">
        <f aca="false">IF(VLOOKUP($D12,'[2]5. Demanda'!$D$4:$J$357,7,FALSE())=0,"",VLOOKUP($D12,'[2]5. Demanda'!$D$4:$J$357,7,FALSE()))</f>
        <v/>
      </c>
      <c r="K12" s="71" t="n">
        <v>2.44027760093756</v>
      </c>
      <c r="L12" s="71" t="n">
        <v>1.03955390487654</v>
      </c>
      <c r="M12" s="71" t="n">
        <v>3.7908606117792</v>
      </c>
      <c r="N12" s="71" t="n">
        <v>1.61489985823894</v>
      </c>
      <c r="O12" s="71" t="n">
        <v>4.32685432724547</v>
      </c>
      <c r="P12" s="71" t="n">
        <v>1.84323222488779</v>
      </c>
      <c r="Q12" s="72"/>
      <c r="R12" s="72"/>
      <c r="S12" s="72"/>
      <c r="T12" s="72"/>
      <c r="U12" s="72"/>
      <c r="V12" s="72"/>
      <c r="W12" s="72"/>
      <c r="X12" s="72"/>
      <c r="Y12" s="72"/>
      <c r="Z12" s="75"/>
    </row>
    <row r="13" customFormat="false" ht="15.75" hidden="false" customHeight="false" outlineLevel="0" collapsed="false">
      <c r="A13" s="52" t="e">
        <f aca="false">VLOOKUP(#REF!,'[1]Listas Desplegables'!$H$3:$J$7,2,FALSE())</f>
        <v>#VALUE!</v>
      </c>
      <c r="B13" s="52" t="e">
        <f aca="false">VLOOKUP(#REF!,'[1]Listas Desplegables'!$H$3:$J$7,3,FALSE())</f>
        <v>#VALUE!</v>
      </c>
      <c r="C13" s="69" t="n">
        <v>8</v>
      </c>
      <c r="D13" s="70" t="s">
        <v>1315</v>
      </c>
      <c r="E13" s="63" t="s">
        <v>1313</v>
      </c>
      <c r="F13" s="101" t="n">
        <f aca="false">VLOOKUP(D13,'[2]5. Demanda'!$D$4:$F$357,3,FALSE())</f>
        <v>13.8</v>
      </c>
      <c r="G13" s="63" t="str">
        <f aca="false">VLOOKUP(D13,'[2]5. Demanda'!D$4:J$357,4,FALSE())</f>
        <v>residencial</v>
      </c>
      <c r="H13" s="63" t="str">
        <f aca="false">VLOOKUP($D13,'[2]5. Demanda'!$D$4:$J$357,5,FALSE())</f>
        <v>Bucaramanga 115 kV</v>
      </c>
      <c r="I13" s="63" t="str">
        <f aca="false">VLOOKUP($D13,'[2]5. Demanda'!$D$4:$J$357,6,FALSE())</f>
        <v>Sí</v>
      </c>
      <c r="J13" s="102" t="str">
        <f aca="false">IF(VLOOKUP($D13,'[2]5. Demanda'!$D$4:$J$357,7,FALSE())=0,"",VLOOKUP($D13,'[2]5. Demanda'!$D$4:$J$357,7,FALSE()))</f>
        <v/>
      </c>
      <c r="K13" s="71" t="n">
        <v>1.66535841056315</v>
      </c>
      <c r="L13" s="71" t="n">
        <v>0.709439712127328</v>
      </c>
      <c r="M13" s="71" t="n">
        <v>2.53383287869154</v>
      </c>
      <c r="N13" s="71" t="n">
        <v>1.07940828630986</v>
      </c>
      <c r="O13" s="71" t="n">
        <v>2.94520095535493</v>
      </c>
      <c r="P13" s="71" t="n">
        <v>1.25465035314385</v>
      </c>
      <c r="Q13" s="72"/>
      <c r="R13" s="72"/>
      <c r="S13" s="72"/>
      <c r="T13" s="72"/>
      <c r="U13" s="72"/>
      <c r="V13" s="72"/>
      <c r="W13" s="72"/>
      <c r="X13" s="72"/>
      <c r="Y13" s="72"/>
      <c r="Z13" s="75"/>
    </row>
    <row r="14" customFormat="false" ht="15.75" hidden="false" customHeight="false" outlineLevel="0" collapsed="false">
      <c r="A14" s="52" t="e">
        <f aca="false">VLOOKUP(#REF!,'[1]Listas Desplegables'!$H$3:$J$7,2,FALSE())</f>
        <v>#VALUE!</v>
      </c>
      <c r="B14" s="52" t="e">
        <f aca="false">VLOOKUP(#REF!,'[1]Listas Desplegables'!$H$3:$J$7,3,FALSE())</f>
        <v>#VALUE!</v>
      </c>
      <c r="C14" s="69" t="n">
        <v>9</v>
      </c>
      <c r="D14" s="70" t="s">
        <v>1316</v>
      </c>
      <c r="E14" s="63" t="s">
        <v>1317</v>
      </c>
      <c r="F14" s="101" t="n">
        <f aca="false">VLOOKUP(D14,'[2]5. Demanda'!$D$4:$F$357,3,FALSE())</f>
        <v>13.8</v>
      </c>
      <c r="G14" s="63" t="str">
        <f aca="false">VLOOKUP(D14,'[2]5. Demanda'!D$4:J$357,4,FALSE())</f>
        <v>residencial</v>
      </c>
      <c r="H14" s="63" t="str">
        <f aca="false">VLOOKUP($D14,'[2]5. Demanda'!$D$4:$J$357,5,FALSE())</f>
        <v>Bucaramanga 115 kV</v>
      </c>
      <c r="I14" s="63" t="str">
        <f aca="false">VLOOKUP($D14,'[2]5. Demanda'!$D$4:$J$357,6,FALSE())</f>
        <v>Sí</v>
      </c>
      <c r="J14" s="102" t="str">
        <f aca="false">IF(VLOOKUP($D14,'[2]5. Demanda'!$D$4:$J$357,7,FALSE())=0,"",VLOOKUP($D14,'[2]5. Demanda'!$D$4:$J$357,7,FALSE()))</f>
        <v/>
      </c>
      <c r="K14" s="71" t="n">
        <v>0.957105164613814</v>
      </c>
      <c r="L14" s="71" t="n">
        <v>0.407725092780234</v>
      </c>
      <c r="M14" s="71" t="n">
        <v>1.24441052045616</v>
      </c>
      <c r="N14" s="71" t="n">
        <v>0.530116661855449</v>
      </c>
      <c r="O14" s="71" t="n">
        <v>1.44785542045869</v>
      </c>
      <c r="P14" s="71" t="n">
        <v>0.616783826338536</v>
      </c>
      <c r="Q14" s="72"/>
      <c r="R14" s="72"/>
      <c r="S14" s="72"/>
      <c r="T14" s="72"/>
      <c r="U14" s="72"/>
      <c r="V14" s="72"/>
      <c r="W14" s="72"/>
      <c r="X14" s="72"/>
      <c r="Y14" s="72"/>
      <c r="Z14" s="75"/>
    </row>
    <row r="15" customFormat="false" ht="15.75" hidden="false" customHeight="false" outlineLevel="0" collapsed="false">
      <c r="A15" s="52" t="e">
        <f aca="false">VLOOKUP(#REF!,'[1]Listas Desplegables'!$H$3:$J$7,2,FALSE())</f>
        <v>#VALUE!</v>
      </c>
      <c r="B15" s="52" t="e">
        <f aca="false">VLOOKUP(#REF!,'[1]Listas Desplegables'!$H$3:$J$7,3,FALSE())</f>
        <v>#VALUE!</v>
      </c>
      <c r="C15" s="76" t="n">
        <v>10</v>
      </c>
      <c r="D15" s="70" t="s">
        <v>1318</v>
      </c>
      <c r="E15" s="63" t="s">
        <v>1317</v>
      </c>
      <c r="F15" s="101" t="n">
        <f aca="false">VLOOKUP(D15,'[2]5. Demanda'!$D$4:$F$357,3,FALSE())</f>
        <v>13.8</v>
      </c>
      <c r="G15" s="63" t="str">
        <f aca="false">VLOOKUP(D15,'[2]5. Demanda'!D$4:J$357,4,FALSE())</f>
        <v>residencial</v>
      </c>
      <c r="H15" s="63" t="str">
        <f aca="false">VLOOKUP($D15,'[2]5. Demanda'!$D$4:$J$357,5,FALSE())</f>
        <v>Bucaramanga 115 kV</v>
      </c>
      <c r="I15" s="63" t="str">
        <f aca="false">VLOOKUP($D15,'[2]5. Demanda'!$D$4:$J$357,6,FALSE())</f>
        <v>Sí</v>
      </c>
      <c r="J15" s="102" t="str">
        <f aca="false">IF(VLOOKUP($D15,'[2]5. Demanda'!$D$4:$J$357,7,FALSE())=0,"",VLOOKUP($D15,'[2]5. Demanda'!$D$4:$J$357,7,FALSE()))</f>
        <v/>
      </c>
      <c r="K15" s="71" t="n">
        <v>1.35863468151441</v>
      </c>
      <c r="L15" s="71" t="n">
        <v>0.57877595070592</v>
      </c>
      <c r="M15" s="71" t="n">
        <v>2.32592444503931</v>
      </c>
      <c r="N15" s="71" t="n">
        <v>0.990839664454339</v>
      </c>
      <c r="O15" s="71" t="n">
        <v>1.99989040534893</v>
      </c>
      <c r="P15" s="71" t="n">
        <v>0.851949745146555</v>
      </c>
      <c r="Q15" s="72"/>
      <c r="R15" s="72"/>
      <c r="S15" s="72"/>
      <c r="T15" s="72"/>
      <c r="U15" s="72"/>
      <c r="V15" s="72"/>
      <c r="W15" s="72"/>
      <c r="X15" s="72"/>
      <c r="Y15" s="72"/>
      <c r="Z15" s="75"/>
    </row>
    <row r="16" customFormat="false" ht="15.75" hidden="false" customHeight="false" outlineLevel="0" collapsed="false">
      <c r="A16" s="52" t="e">
        <f aca="false">VLOOKUP(#REF!,'[1]Listas Desplegables'!$H$3:$J$7,2,FALSE())</f>
        <v>#VALUE!</v>
      </c>
      <c r="B16" s="52" t="e">
        <f aca="false">VLOOKUP(#REF!,'[1]Listas Desplegables'!$H$3:$J$7,3,FALSE())</f>
        <v>#VALUE!</v>
      </c>
      <c r="C16" s="69" t="n">
        <v>11</v>
      </c>
      <c r="D16" s="70" t="s">
        <v>1319</v>
      </c>
      <c r="E16" s="63" t="s">
        <v>1317</v>
      </c>
      <c r="F16" s="101" t="n">
        <f aca="false">VLOOKUP(D16,'[2]5. Demanda'!$D$4:$F$357,3,FALSE())</f>
        <v>13.8</v>
      </c>
      <c r="G16" s="63" t="str">
        <f aca="false">VLOOKUP(D16,'[2]5. Demanda'!D$4:J$357,4,FALSE())</f>
        <v>residencial</v>
      </c>
      <c r="H16" s="63" t="str">
        <f aca="false">VLOOKUP($D16,'[2]5. Demanda'!$D$4:$J$357,5,FALSE())</f>
        <v>Bucaramanga 115 kV</v>
      </c>
      <c r="I16" s="63" t="str">
        <f aca="false">VLOOKUP($D16,'[2]5. Demanda'!$D$4:$J$357,6,FALSE())</f>
        <v>Sí</v>
      </c>
      <c r="J16" s="102" t="str">
        <f aca="false">IF(VLOOKUP($D16,'[2]5. Demanda'!$D$4:$J$357,7,FALSE())=0,"",VLOOKUP($D16,'[2]5. Demanda'!$D$4:$J$357,7,FALSE()))</f>
        <v/>
      </c>
      <c r="K16" s="71" t="n">
        <v>0.306427346389415</v>
      </c>
      <c r="L16" s="71" t="n">
        <v>0.130537502937242</v>
      </c>
      <c r="M16" s="71" t="n">
        <v>0.315415507301248</v>
      </c>
      <c r="N16" s="71" t="n">
        <v>0.134366443452028</v>
      </c>
      <c r="O16" s="71" t="n">
        <v>0.593622205818549</v>
      </c>
      <c r="P16" s="71" t="n">
        <v>0.252882000737541</v>
      </c>
      <c r="Q16" s="72"/>
      <c r="R16" s="72"/>
      <c r="S16" s="72"/>
      <c r="T16" s="72"/>
      <c r="U16" s="72"/>
      <c r="V16" s="72"/>
      <c r="W16" s="72"/>
      <c r="X16" s="72"/>
      <c r="Y16" s="72"/>
      <c r="Z16" s="75"/>
    </row>
    <row r="17" customFormat="false" ht="15.75" hidden="false" customHeight="false" outlineLevel="0" collapsed="false">
      <c r="A17" s="52" t="e">
        <f aca="false">VLOOKUP(#REF!,'[1]Listas Desplegables'!$H$3:$J$7,2,FALSE())</f>
        <v>#VALUE!</v>
      </c>
      <c r="B17" s="52" t="e">
        <f aca="false">VLOOKUP(#REF!,'[1]Listas Desplegables'!$H$3:$J$7,3,FALSE())</f>
        <v>#VALUE!</v>
      </c>
      <c r="C17" s="69" t="n">
        <v>12</v>
      </c>
      <c r="D17" s="70" t="s">
        <v>1320</v>
      </c>
      <c r="E17" s="63" t="s">
        <v>1321</v>
      </c>
      <c r="F17" s="101" t="n">
        <f aca="false">VLOOKUP(D17,'[2]5. Demanda'!$D$4:$F$357,3,FALSE())</f>
        <v>13.8</v>
      </c>
      <c r="G17" s="63" t="str">
        <f aca="false">VLOOKUP(D17,'[2]5. Demanda'!D$4:J$357,4,FALSE())</f>
        <v>residencial</v>
      </c>
      <c r="H17" s="63" t="str">
        <f aca="false">VLOOKUP($D17,'[2]5. Demanda'!$D$4:$J$357,5,FALSE())</f>
        <v>Real de Minas 115 kV</v>
      </c>
      <c r="I17" s="63" t="str">
        <f aca="false">VLOOKUP($D17,'[2]5. Demanda'!$D$4:$J$357,6,FALSE())</f>
        <v>Sí</v>
      </c>
      <c r="J17" s="102" t="str">
        <f aca="false">IF(VLOOKUP($D17,'[2]5. Demanda'!$D$4:$J$357,7,FALSE())=0,"",VLOOKUP($D17,'[2]5. Demanda'!$D$4:$J$357,7,FALSE()))</f>
        <v/>
      </c>
      <c r="K17" s="71" t="n">
        <v>2.1188133624269</v>
      </c>
      <c r="L17" s="71" t="n">
        <v>0.902610712719414</v>
      </c>
      <c r="M17" s="71" t="n">
        <v>2.73172929096148</v>
      </c>
      <c r="N17" s="71" t="n">
        <v>1.16371180491661</v>
      </c>
      <c r="O17" s="71" t="n">
        <v>3.28067508464382</v>
      </c>
      <c r="P17" s="71" t="n">
        <v>1.39756173378076</v>
      </c>
      <c r="Q17" s="72"/>
      <c r="R17" s="72"/>
      <c r="S17" s="72"/>
      <c r="T17" s="72"/>
      <c r="U17" s="72"/>
      <c r="V17" s="72"/>
      <c r="W17" s="72"/>
      <c r="X17" s="72"/>
      <c r="Y17" s="72"/>
      <c r="Z17" s="75"/>
    </row>
    <row r="18" customFormat="false" ht="15.75" hidden="false" customHeight="false" outlineLevel="0" collapsed="false">
      <c r="A18" s="52" t="e">
        <f aca="false">VLOOKUP(#REF!,'[1]Listas Desplegables'!$H$3:$J$7,2,FALSE())</f>
        <v>#VALUE!</v>
      </c>
      <c r="B18" s="52" t="e">
        <f aca="false">VLOOKUP(#REF!,'[1]Listas Desplegables'!$H$3:$J$7,3,FALSE())</f>
        <v>#VALUE!</v>
      </c>
      <c r="C18" s="69" t="n">
        <v>13</v>
      </c>
      <c r="D18" s="70" t="s">
        <v>1322</v>
      </c>
      <c r="E18" s="63" t="s">
        <v>1323</v>
      </c>
      <c r="F18" s="101" t="n">
        <f aca="false">VLOOKUP(D18,'[2]5. Demanda'!$D$4:$F$357,3,FALSE())</f>
        <v>13.8</v>
      </c>
      <c r="G18" s="63" t="str">
        <f aca="false">VLOOKUP(D18,'[2]5. Demanda'!D$4:J$357,4,FALSE())</f>
        <v>residencial</v>
      </c>
      <c r="H18" s="63" t="str">
        <f aca="false">VLOOKUP($D18,'[2]5. Demanda'!$D$4:$J$357,5,FALSE())</f>
        <v>Real de Minas 115 kV</v>
      </c>
      <c r="I18" s="63" t="str">
        <f aca="false">VLOOKUP($D18,'[2]5. Demanda'!$D$4:$J$357,6,FALSE())</f>
        <v>Sí</v>
      </c>
      <c r="J18" s="102" t="str">
        <f aca="false">IF(VLOOKUP($D18,'[2]5. Demanda'!$D$4:$J$357,7,FALSE())=0,"",VLOOKUP($D18,'[2]5. Demanda'!$D$4:$J$357,7,FALSE()))</f>
        <v/>
      </c>
      <c r="K18" s="71" t="n">
        <v>0.870977801432852</v>
      </c>
      <c r="L18" s="71" t="n">
        <v>0.371034989704628</v>
      </c>
      <c r="M18" s="71" t="n">
        <v>1.04723015999993</v>
      </c>
      <c r="N18" s="71" t="n">
        <v>0.446118180044004</v>
      </c>
      <c r="O18" s="71" t="n">
        <v>1.34998020397958</v>
      </c>
      <c r="P18" s="71" t="n">
        <v>0.575089158714493</v>
      </c>
      <c r="Q18" s="72"/>
      <c r="R18" s="72"/>
      <c r="S18" s="72"/>
      <c r="T18" s="72"/>
      <c r="U18" s="72"/>
      <c r="V18" s="72"/>
      <c r="W18" s="72"/>
      <c r="X18" s="72"/>
      <c r="Y18" s="72"/>
      <c r="Z18" s="75"/>
    </row>
    <row r="19" customFormat="false" ht="15.75" hidden="false" customHeight="false" outlineLevel="0" collapsed="false">
      <c r="A19" s="52" t="e">
        <f aca="false">VLOOKUP(#REF!,'[1]Listas Desplegables'!$H$3:$J$7,2,FALSE())</f>
        <v>#VALUE!</v>
      </c>
      <c r="B19" s="52" t="e">
        <f aca="false">VLOOKUP(#REF!,'[1]Listas Desplegables'!$H$3:$J$7,3,FALSE())</f>
        <v>#VALUE!</v>
      </c>
      <c r="C19" s="69" t="n">
        <v>14</v>
      </c>
      <c r="D19" s="70" t="s">
        <v>1324</v>
      </c>
      <c r="E19" s="63" t="s">
        <v>1323</v>
      </c>
      <c r="F19" s="101" t="n">
        <f aca="false">VLOOKUP(D19,'[2]5. Demanda'!$D$4:$F$357,3,FALSE())</f>
        <v>13.8</v>
      </c>
      <c r="G19" s="63" t="str">
        <f aca="false">VLOOKUP(D19,'[2]5. Demanda'!D$4:J$357,4,FALSE())</f>
        <v>residencial</v>
      </c>
      <c r="H19" s="63" t="str">
        <f aca="false">VLOOKUP($D19,'[2]5. Demanda'!$D$4:$J$357,5,FALSE())</f>
        <v>Real de Minas 115 kV</v>
      </c>
      <c r="I19" s="63" t="str">
        <f aca="false">VLOOKUP($D19,'[2]5. Demanda'!$D$4:$J$357,6,FALSE())</f>
        <v>Sí</v>
      </c>
      <c r="J19" s="102" t="str">
        <f aca="false">IF(VLOOKUP($D19,'[2]5. Demanda'!$D$4:$J$357,7,FALSE())=0,"",VLOOKUP($D19,'[2]5. Demanda'!$D$4:$J$357,7,FALSE()))</f>
        <v/>
      </c>
      <c r="K19" s="71" t="n">
        <v>0.410123780225496</v>
      </c>
      <c r="L19" s="71" t="n">
        <v>0.174711998771098</v>
      </c>
      <c r="M19" s="71" t="n">
        <v>0.708482004974149</v>
      </c>
      <c r="N19" s="71" t="n">
        <v>0.301812070283589</v>
      </c>
      <c r="O19" s="71" t="n">
        <v>0.894717189184021</v>
      </c>
      <c r="P19" s="71" t="n">
        <v>0.381147926538792</v>
      </c>
      <c r="Q19" s="72"/>
      <c r="R19" s="72"/>
      <c r="S19" s="72"/>
      <c r="T19" s="72"/>
      <c r="U19" s="72"/>
      <c r="V19" s="72"/>
      <c r="W19" s="72"/>
      <c r="X19" s="72"/>
      <c r="Y19" s="72"/>
      <c r="Z19" s="75"/>
    </row>
    <row r="20" customFormat="false" ht="15.75" hidden="false" customHeight="false" outlineLevel="0" collapsed="false">
      <c r="A20" s="52" t="e">
        <f aca="false">VLOOKUP(#REF!,'[1]Listas Desplegables'!$H$3:$J$7,2,FALSE())</f>
        <v>#VALUE!</v>
      </c>
      <c r="B20" s="52" t="e">
        <f aca="false">VLOOKUP(#REF!,'[1]Listas Desplegables'!$H$3:$J$7,3,FALSE())</f>
        <v>#VALUE!</v>
      </c>
      <c r="C20" s="69" t="n">
        <v>15</v>
      </c>
      <c r="D20" s="70" t="s">
        <v>1325</v>
      </c>
      <c r="E20" s="63" t="s">
        <v>1323</v>
      </c>
      <c r="F20" s="101" t="n">
        <f aca="false">VLOOKUP(D20,'[2]5. Demanda'!$D$4:$F$357,3,FALSE())</f>
        <v>13.8</v>
      </c>
      <c r="G20" s="63" t="str">
        <f aca="false">VLOOKUP(D20,'[2]5. Demanda'!D$4:J$357,4,FALSE())</f>
        <v>residencial</v>
      </c>
      <c r="H20" s="63" t="str">
        <f aca="false">VLOOKUP($D20,'[2]5. Demanda'!$D$4:$J$357,5,FALSE())</f>
        <v>Real de Minas 115 kV</v>
      </c>
      <c r="I20" s="63" t="str">
        <f aca="false">VLOOKUP($D20,'[2]5. Demanda'!$D$4:$J$357,6,FALSE())</f>
        <v>Sí</v>
      </c>
      <c r="J20" s="102" t="str">
        <f aca="false">IF(VLOOKUP($D20,'[2]5. Demanda'!$D$4:$J$357,7,FALSE())=0,"",VLOOKUP($D20,'[2]5. Demanda'!$D$4:$J$357,7,FALSE()))</f>
        <v/>
      </c>
      <c r="K20" s="71" t="n">
        <v>0.964622477066489</v>
      </c>
      <c r="L20" s="71" t="n">
        <v>0.410927454475211</v>
      </c>
      <c r="M20" s="71" t="n">
        <v>1.43851554420167</v>
      </c>
      <c r="N20" s="71" t="n">
        <v>0.612805055714115</v>
      </c>
      <c r="O20" s="71" t="n">
        <v>1.63208069774294</v>
      </c>
      <c r="P20" s="71" t="n">
        <v>0.695263465828826</v>
      </c>
      <c r="Q20" s="72"/>
      <c r="R20" s="72"/>
      <c r="S20" s="72"/>
      <c r="T20" s="72"/>
      <c r="U20" s="72"/>
      <c r="V20" s="72"/>
      <c r="W20" s="72"/>
      <c r="X20" s="72"/>
      <c r="Y20" s="72"/>
      <c r="Z20" s="75"/>
    </row>
    <row r="21" customFormat="false" ht="15.75" hidden="false" customHeight="false" outlineLevel="0" collapsed="false">
      <c r="A21" s="52" t="e">
        <f aca="false">VLOOKUP(#REF!,'[1]Listas Desplegables'!$H$3:$J$7,2,FALSE())</f>
        <v>#VALUE!</v>
      </c>
      <c r="B21" s="52" t="e">
        <f aca="false">VLOOKUP(#REF!,'[1]Listas Desplegables'!$H$3:$J$7,3,FALSE())</f>
        <v>#VALUE!</v>
      </c>
      <c r="C21" s="69" t="n">
        <v>16</v>
      </c>
      <c r="D21" s="70" t="s">
        <v>1326</v>
      </c>
      <c r="E21" s="63" t="s">
        <v>1323</v>
      </c>
      <c r="F21" s="101" t="n">
        <f aca="false">VLOOKUP(D21,'[2]5. Demanda'!$D$4:$F$357,3,FALSE())</f>
        <v>13.8</v>
      </c>
      <c r="G21" s="63" t="str">
        <f aca="false">VLOOKUP(D21,'[2]5. Demanda'!D$4:J$357,4,FALSE())</f>
        <v>residencial</v>
      </c>
      <c r="H21" s="63" t="str">
        <f aca="false">VLOOKUP($D21,'[2]5. Demanda'!$D$4:$J$357,5,FALSE())</f>
        <v>Real de Minas 115 kV</v>
      </c>
      <c r="I21" s="63" t="str">
        <f aca="false">VLOOKUP($D21,'[2]5. Demanda'!$D$4:$J$357,6,FALSE())</f>
        <v>Sí</v>
      </c>
      <c r="J21" s="102" t="str">
        <f aca="false">IF(VLOOKUP($D21,'[2]5. Demanda'!$D$4:$J$357,7,FALSE())=0,"",VLOOKUP($D21,'[2]5. Demanda'!$D$4:$J$357,7,FALSE()))</f>
        <v/>
      </c>
      <c r="K21" s="71" t="n">
        <v>0.633556326724303</v>
      </c>
      <c r="L21" s="71" t="n">
        <v>0.269893865006359</v>
      </c>
      <c r="M21" s="71" t="n">
        <v>0.858546334028808</v>
      </c>
      <c r="N21" s="71" t="n">
        <v>0.36573920676655</v>
      </c>
      <c r="O21" s="71" t="n">
        <v>1.03845211077683</v>
      </c>
      <c r="P21" s="71" t="n">
        <v>0.442378746733806</v>
      </c>
      <c r="Q21" s="72"/>
      <c r="R21" s="72"/>
      <c r="S21" s="72"/>
      <c r="T21" s="72"/>
      <c r="U21" s="72"/>
      <c r="V21" s="72"/>
      <c r="W21" s="72"/>
      <c r="X21" s="72"/>
      <c r="Y21" s="72"/>
      <c r="Z21" s="75"/>
    </row>
    <row r="22" customFormat="false" ht="15.75" hidden="false" customHeight="false" outlineLevel="0" collapsed="false">
      <c r="A22" s="52" t="e">
        <f aca="false">VLOOKUP(#REF!,'[1]Listas Desplegables'!$H$3:$J$7,2,FALSE())</f>
        <v>#VALUE!</v>
      </c>
      <c r="B22" s="52" t="e">
        <f aca="false">VLOOKUP(#REF!,'[1]Listas Desplegables'!$H$3:$J$7,3,FALSE())</f>
        <v>#VALUE!</v>
      </c>
      <c r="C22" s="69" t="n">
        <v>17</v>
      </c>
      <c r="D22" s="70" t="s">
        <v>1327</v>
      </c>
      <c r="E22" s="63" t="s">
        <v>1321</v>
      </c>
      <c r="F22" s="101" t="n">
        <f aca="false">VLOOKUP(D22,'[2]5. Demanda'!$D$4:$F$357,3,FALSE())</f>
        <v>13.8</v>
      </c>
      <c r="G22" s="63" t="str">
        <f aca="false">VLOOKUP(D22,'[2]5. Demanda'!D$4:J$357,4,FALSE())</f>
        <v>residencial</v>
      </c>
      <c r="H22" s="63" t="str">
        <f aca="false">VLOOKUP($D22,'[2]5. Demanda'!$D$4:$J$357,5,FALSE())</f>
        <v>Real de Minas 115 kV</v>
      </c>
      <c r="I22" s="63" t="str">
        <f aca="false">VLOOKUP($D22,'[2]5. Demanda'!$D$4:$J$357,6,FALSE())</f>
        <v>Sí</v>
      </c>
      <c r="J22" s="102" t="str">
        <f aca="false">IF(VLOOKUP($D22,'[2]5. Demanda'!$D$4:$J$357,7,FALSE())=0,"",VLOOKUP($D22,'[2]5. Demanda'!$D$4:$J$357,7,FALSE()))</f>
        <v/>
      </c>
      <c r="K22" s="71" t="n">
        <v>1.18186397301089</v>
      </c>
      <c r="L22" s="71" t="n">
        <v>0.503471944218286</v>
      </c>
      <c r="M22" s="71" t="n">
        <v>2.39379687246568</v>
      </c>
      <c r="N22" s="71" t="n">
        <v>1.01975319746281</v>
      </c>
      <c r="O22" s="71" t="n">
        <v>2.09731474839822</v>
      </c>
      <c r="P22" s="71" t="n">
        <v>0.893452341493793</v>
      </c>
      <c r="Q22" s="72"/>
      <c r="R22" s="72"/>
      <c r="S22" s="72"/>
      <c r="T22" s="72"/>
      <c r="U22" s="72"/>
      <c r="V22" s="72"/>
      <c r="W22" s="72"/>
      <c r="X22" s="72"/>
      <c r="Y22" s="72"/>
      <c r="Z22" s="75"/>
    </row>
    <row r="23" customFormat="false" ht="15.75" hidden="false" customHeight="false" outlineLevel="0" collapsed="false">
      <c r="A23" s="52" t="e">
        <f aca="false">VLOOKUP(#REF!,'[1]Listas Desplegables'!$H$3:$J$7,2,FALSE())</f>
        <v>#VALUE!</v>
      </c>
      <c r="B23" s="52" t="e">
        <f aca="false">VLOOKUP(#REF!,'[1]Listas Desplegables'!$H$3:$J$7,3,FALSE())</f>
        <v>#VALUE!</v>
      </c>
      <c r="C23" s="69" t="n">
        <v>18</v>
      </c>
      <c r="D23" s="70" t="s">
        <v>1328</v>
      </c>
      <c r="E23" s="63" t="s">
        <v>1321</v>
      </c>
      <c r="F23" s="101" t="n">
        <f aca="false">VLOOKUP(D23,'[2]5. Demanda'!$D$4:$F$357,3,FALSE())</f>
        <v>13.8</v>
      </c>
      <c r="G23" s="63" t="str">
        <f aca="false">VLOOKUP(D23,'[2]5. Demanda'!D$4:J$357,4,FALSE())</f>
        <v>industrial</v>
      </c>
      <c r="H23" s="63" t="str">
        <f aca="false">VLOOKUP($D23,'[2]5. Demanda'!$D$4:$J$357,5,FALSE())</f>
        <v>Real de Minas 115 kV</v>
      </c>
      <c r="I23" s="63" t="str">
        <f aca="false">VLOOKUP($D23,'[2]5. Demanda'!$D$4:$J$357,6,FALSE())</f>
        <v>Sí</v>
      </c>
      <c r="J23" s="102" t="str">
        <f aca="false">IF(VLOOKUP($D23,'[2]5. Demanda'!$D$4:$J$357,7,FALSE())=0,"",VLOOKUP($D23,'[2]5. Demanda'!$D$4:$J$357,7,FALSE()))</f>
        <v/>
      </c>
      <c r="K23" s="71" t="n">
        <v>0.629725792337287</v>
      </c>
      <c r="L23" s="71" t="n">
        <v>0.268262064190642</v>
      </c>
      <c r="M23" s="71" t="n">
        <v>1.09230739674606</v>
      </c>
      <c r="N23" s="71" t="n">
        <v>0.465321002486203</v>
      </c>
      <c r="O23" s="71" t="n">
        <v>0.839936841489301</v>
      </c>
      <c r="P23" s="71" t="n">
        <v>0.357811596141521</v>
      </c>
      <c r="Q23" s="72"/>
      <c r="R23" s="72"/>
      <c r="S23" s="72"/>
      <c r="T23" s="72"/>
      <c r="U23" s="72"/>
      <c r="V23" s="72"/>
      <c r="W23" s="72"/>
      <c r="X23" s="72"/>
      <c r="Y23" s="72"/>
      <c r="Z23" s="75"/>
    </row>
    <row r="24" customFormat="false" ht="15.75" hidden="false" customHeight="false" outlineLevel="0" collapsed="false">
      <c r="A24" s="52" t="e">
        <f aca="false">VLOOKUP(#REF!,'[1]Listas Desplegables'!$H$3:$J$7,2,FALSE())</f>
        <v>#VALUE!</v>
      </c>
      <c r="B24" s="52" t="e">
        <f aca="false">VLOOKUP(#REF!,'[1]Listas Desplegables'!$H$3:$J$7,3,FALSE())</f>
        <v>#VALUE!</v>
      </c>
      <c r="C24" s="76" t="n">
        <v>19</v>
      </c>
      <c r="D24" s="70" t="s">
        <v>1329</v>
      </c>
      <c r="E24" s="63" t="s">
        <v>1321</v>
      </c>
      <c r="F24" s="101" t="n">
        <f aca="false">VLOOKUP(D24,'[2]5. Demanda'!$D$4:$F$357,3,FALSE())</f>
        <v>13.8</v>
      </c>
      <c r="G24" s="63" t="str">
        <f aca="false">VLOOKUP(D24,'[2]5. Demanda'!D$4:J$357,4,FALSE())</f>
        <v>residencial</v>
      </c>
      <c r="H24" s="63" t="str">
        <f aca="false">VLOOKUP($D24,'[2]5. Demanda'!$D$4:$J$357,5,FALSE())</f>
        <v>Real de Minas 115 kV</v>
      </c>
      <c r="I24" s="63" t="str">
        <f aca="false">VLOOKUP($D24,'[2]5. Demanda'!$D$4:$J$357,6,FALSE())</f>
        <v>Sí</v>
      </c>
      <c r="J24" s="102" t="str">
        <f aca="false">IF(VLOOKUP($D24,'[2]5. Demanda'!$D$4:$J$357,7,FALSE())=0,"",VLOOKUP($D24,'[2]5. Demanda'!$D$4:$J$357,7,FALSE()))</f>
        <v/>
      </c>
      <c r="K24" s="71" t="n">
        <v>0.557807358175559</v>
      </c>
      <c r="L24" s="71" t="n">
        <v>0.237624939530437</v>
      </c>
      <c r="M24" s="71" t="n">
        <v>0.990230208842309</v>
      </c>
      <c r="N24" s="71" t="n">
        <v>0.421836302531005</v>
      </c>
      <c r="O24" s="71" t="n">
        <v>0.905767518518888</v>
      </c>
      <c r="P24" s="71" t="n">
        <v>0.385855347123163</v>
      </c>
      <c r="Q24" s="72"/>
      <c r="R24" s="72"/>
      <c r="S24" s="72"/>
      <c r="T24" s="72"/>
      <c r="U24" s="72"/>
      <c r="V24" s="72"/>
      <c r="W24" s="72"/>
      <c r="X24" s="72"/>
      <c r="Y24" s="72"/>
      <c r="Z24" s="75"/>
    </row>
    <row r="25" customFormat="false" ht="15.75" hidden="false" customHeight="false" outlineLevel="0" collapsed="false">
      <c r="A25" s="52" t="e">
        <f aca="false">VLOOKUP(#REF!,'[1]Listas Desplegables'!$H$3:$J$7,2,FALSE())</f>
        <v>#VALUE!</v>
      </c>
      <c r="B25" s="52" t="e">
        <f aca="false">VLOOKUP(#REF!,'[1]Listas Desplegables'!$H$3:$J$7,3,FALSE())</f>
        <v>#VALUE!</v>
      </c>
      <c r="C25" s="77" t="n">
        <v>20</v>
      </c>
      <c r="D25" s="78" t="s">
        <v>1330</v>
      </c>
      <c r="E25" s="63" t="s">
        <v>1331</v>
      </c>
      <c r="F25" s="101" t="n">
        <f aca="false">VLOOKUP(D25,'[2]5. Demanda'!$D$4:$F$357,3,FALSE())</f>
        <v>13.8</v>
      </c>
      <c r="G25" s="63" t="str">
        <f aca="false">VLOOKUP(D25,'[2]5. Demanda'!D$4:J$357,4,FALSE())</f>
        <v>residencial</v>
      </c>
      <c r="H25" s="63" t="str">
        <f aca="false">VLOOKUP($D25,'[2]5. Demanda'!$D$4:$J$357,5,FALSE())</f>
        <v>Conucos 115 kV</v>
      </c>
      <c r="I25" s="63" t="str">
        <f aca="false">VLOOKUP($D25,'[2]5. Demanda'!$D$4:$J$357,6,FALSE())</f>
        <v>Sí</v>
      </c>
      <c r="J25" s="102" t="str">
        <f aca="false">IF(VLOOKUP($D25,'[2]5. Demanda'!$D$4:$J$357,7,FALSE())=0,"",VLOOKUP($D25,'[2]5. Demanda'!$D$4:$J$357,7,FALSE()))</f>
        <v/>
      </c>
      <c r="K25" s="79" t="n">
        <v>0.662261067168256</v>
      </c>
      <c r="L25" s="79" t="n">
        <v>0.282122033230136</v>
      </c>
      <c r="M25" s="79" t="n">
        <v>0.876580310747793</v>
      </c>
      <c r="N25" s="79" t="n">
        <v>0.37342164867868</v>
      </c>
      <c r="O25" s="79" t="n">
        <v>1.06289536893205</v>
      </c>
      <c r="P25" s="79" t="n">
        <v>0.452791531104485</v>
      </c>
      <c r="Q25" s="80"/>
      <c r="R25" s="80"/>
      <c r="S25" s="80"/>
      <c r="T25" s="80"/>
      <c r="U25" s="80"/>
      <c r="V25" s="80"/>
      <c r="W25" s="80"/>
      <c r="X25" s="80"/>
      <c r="Y25" s="80"/>
      <c r="Z25" s="75"/>
    </row>
    <row r="26" customFormat="false" ht="15.75" hidden="false" customHeight="false" outlineLevel="0" collapsed="false">
      <c r="A26" s="52" t="e">
        <f aca="false">VLOOKUP(#REF!,'[1]Listas Desplegables'!$H$3:$J$7,2,FALSE())</f>
        <v>#VALUE!</v>
      </c>
      <c r="B26" s="52" t="e">
        <f aca="false">VLOOKUP(#REF!,'[1]Listas Desplegables'!$H$3:$J$7,3,FALSE())</f>
        <v>#VALUE!</v>
      </c>
      <c r="C26" s="76" t="n">
        <v>21</v>
      </c>
      <c r="D26" s="78" t="s">
        <v>1332</v>
      </c>
      <c r="E26" s="63" t="s">
        <v>1331</v>
      </c>
      <c r="F26" s="101" t="n">
        <f aca="false">VLOOKUP(D26,'[2]5. Demanda'!$D$4:$F$357,3,FALSE())</f>
        <v>13.8</v>
      </c>
      <c r="G26" s="63" t="str">
        <f aca="false">VLOOKUP(D26,'[2]5. Demanda'!D$4:J$357,4,FALSE())</f>
        <v>residencial</v>
      </c>
      <c r="H26" s="63" t="str">
        <f aca="false">VLOOKUP($D26,'[2]5. Demanda'!$D$4:$J$357,5,FALSE())</f>
        <v>Conucos 115 kV</v>
      </c>
      <c r="I26" s="63" t="str">
        <f aca="false">VLOOKUP($D26,'[2]5. Demanda'!$D$4:$J$357,6,FALSE())</f>
        <v>Sí</v>
      </c>
      <c r="J26" s="102" t="str">
        <f aca="false">IF(VLOOKUP($D26,'[2]5. Demanda'!$D$4:$J$357,7,FALSE())=0,"",VLOOKUP($D26,'[2]5. Demanda'!$D$4:$J$357,7,FALSE()))</f>
        <v/>
      </c>
      <c r="K26" s="79" t="n">
        <v>0.579436515135566</v>
      </c>
      <c r="L26" s="79" t="n">
        <v>0.24683892181193</v>
      </c>
      <c r="M26" s="79" t="n">
        <v>1.53281421130255</v>
      </c>
      <c r="N26" s="79" t="n">
        <v>0.652976119683111</v>
      </c>
      <c r="O26" s="79" t="n">
        <v>1.0378785900322</v>
      </c>
      <c r="P26" s="79" t="n">
        <v>0.442134427919676</v>
      </c>
      <c r="Q26" s="80"/>
      <c r="R26" s="80"/>
      <c r="S26" s="80"/>
      <c r="T26" s="80"/>
      <c r="U26" s="80"/>
      <c r="V26" s="80"/>
      <c r="W26" s="80"/>
      <c r="X26" s="80"/>
      <c r="Y26" s="80"/>
      <c r="Z26" s="75"/>
    </row>
    <row r="27" customFormat="false" ht="15.75" hidden="false" customHeight="false" outlineLevel="0" collapsed="false">
      <c r="A27" s="52" t="e">
        <f aca="false">VLOOKUP(#REF!,'[1]Listas Desplegables'!$H$3:$J$7,2,FALSE())</f>
        <v>#VALUE!</v>
      </c>
      <c r="B27" s="52" t="e">
        <f aca="false">VLOOKUP(#REF!,'[1]Listas Desplegables'!$H$3:$J$7,3,FALSE())</f>
        <v>#VALUE!</v>
      </c>
      <c r="C27" s="69" t="n">
        <v>22</v>
      </c>
      <c r="D27" s="78" t="s">
        <v>1333</v>
      </c>
      <c r="E27" s="63" t="s">
        <v>1334</v>
      </c>
      <c r="F27" s="101" t="n">
        <f aca="false">VLOOKUP(D27,'[2]5. Demanda'!$D$4:$F$357,3,FALSE())</f>
        <v>13.8</v>
      </c>
      <c r="G27" s="63" t="str">
        <f aca="false">VLOOKUP(D27,'[2]5. Demanda'!D$4:J$357,4,FALSE())</f>
        <v>industrial</v>
      </c>
      <c r="H27" s="63" t="str">
        <f aca="false">VLOOKUP($D27,'[2]5. Demanda'!$D$4:$J$357,5,FALSE())</f>
        <v>Conucos 115 kV</v>
      </c>
      <c r="I27" s="63" t="str">
        <f aca="false">VLOOKUP($D27,'[2]5. Demanda'!$D$4:$J$357,6,FALSE())</f>
        <v>Sí</v>
      </c>
      <c r="J27" s="102" t="str">
        <f aca="false">IF(VLOOKUP($D27,'[2]5. Demanda'!$D$4:$J$357,7,FALSE())=0,"",VLOOKUP($D27,'[2]5. Demanda'!$D$4:$J$357,7,FALSE()))</f>
        <v/>
      </c>
      <c r="K27" s="79" t="n">
        <v>0.748951813471485</v>
      </c>
      <c r="L27" s="79" t="n">
        <v>0.319052136510828</v>
      </c>
      <c r="M27" s="79" t="n">
        <v>2.22180408690897</v>
      </c>
      <c r="N27" s="79" t="n">
        <v>0.946484577627349</v>
      </c>
      <c r="O27" s="79" t="n">
        <v>1.51182971461299</v>
      </c>
      <c r="P27" s="79" t="n">
        <v>0.64403676152684</v>
      </c>
      <c r="Q27" s="80"/>
      <c r="R27" s="80"/>
      <c r="S27" s="80"/>
      <c r="T27" s="80"/>
      <c r="U27" s="80"/>
      <c r="V27" s="80"/>
      <c r="W27" s="80"/>
      <c r="X27" s="80"/>
      <c r="Y27" s="80"/>
      <c r="Z27" s="75"/>
    </row>
    <row r="28" customFormat="false" ht="15.75" hidden="false" customHeight="false" outlineLevel="0" collapsed="false">
      <c r="A28" s="52" t="e">
        <f aca="false">VLOOKUP(#REF!,'[1]Listas Desplegables'!$H$3:$J$7,2,FALSE())</f>
        <v>#VALUE!</v>
      </c>
      <c r="B28" s="52" t="e">
        <f aca="false">VLOOKUP(#REF!,'[1]Listas Desplegables'!$H$3:$J$7,3,FALSE())</f>
        <v>#VALUE!</v>
      </c>
      <c r="C28" s="69" t="n">
        <v>23</v>
      </c>
      <c r="D28" s="78" t="s">
        <v>1335</v>
      </c>
      <c r="E28" s="63" t="s">
        <v>1334</v>
      </c>
      <c r="F28" s="101" t="n">
        <f aca="false">VLOOKUP(D28,'[2]5. Demanda'!$D$4:$F$357,3,FALSE())</f>
        <v>13.8</v>
      </c>
      <c r="G28" s="63" t="str">
        <f aca="false">VLOOKUP(D28,'[2]5. Demanda'!D$4:J$357,4,FALSE())</f>
        <v>industrial</v>
      </c>
      <c r="H28" s="63" t="str">
        <f aca="false">VLOOKUP($D28,'[2]5. Demanda'!$D$4:$J$357,5,FALSE())</f>
        <v>Conucos 115 kV</v>
      </c>
      <c r="I28" s="63" t="str">
        <f aca="false">VLOOKUP($D28,'[2]5. Demanda'!$D$4:$J$357,6,FALSE())</f>
        <v>Sí</v>
      </c>
      <c r="J28" s="102" t="str">
        <f aca="false">IF(VLOOKUP($D28,'[2]5. Demanda'!$D$4:$J$357,7,FALSE())=0,"",VLOOKUP($D28,'[2]5. Demanda'!$D$4:$J$357,7,FALSE()))</f>
        <v/>
      </c>
      <c r="K28" s="79" t="n">
        <v>0.642577328024783</v>
      </c>
      <c r="L28" s="79" t="n">
        <v>0.273736795468126</v>
      </c>
      <c r="M28" s="79" t="n">
        <v>1.50720093677087</v>
      </c>
      <c r="N28" s="79" t="n">
        <v>0.642064910423209</v>
      </c>
      <c r="O28" s="79" t="n">
        <v>1.06906954225384</v>
      </c>
      <c r="P28" s="79" t="n">
        <v>0.455421717925686</v>
      </c>
      <c r="Q28" s="80"/>
      <c r="R28" s="80"/>
      <c r="S28" s="80"/>
      <c r="T28" s="80"/>
      <c r="U28" s="80"/>
      <c r="V28" s="80"/>
      <c r="W28" s="80"/>
      <c r="X28" s="80"/>
      <c r="Y28" s="80"/>
      <c r="Z28" s="75"/>
    </row>
    <row r="29" customFormat="false" ht="15.75" hidden="false" customHeight="false" outlineLevel="0" collapsed="false">
      <c r="A29" s="52" t="e">
        <f aca="false">VLOOKUP(#REF!,'[1]Listas Desplegables'!$H$3:$J$7,2,FALSE())</f>
        <v>#VALUE!</v>
      </c>
      <c r="B29" s="52" t="e">
        <f aca="false">VLOOKUP(#REF!,'[1]Listas Desplegables'!$H$3:$J$7,3,FALSE())</f>
        <v>#VALUE!</v>
      </c>
      <c r="C29" s="69" t="n">
        <v>24</v>
      </c>
      <c r="D29" s="78" t="s">
        <v>1336</v>
      </c>
      <c r="E29" s="63" t="s">
        <v>1331</v>
      </c>
      <c r="F29" s="101" t="n">
        <f aca="false">VLOOKUP(D29,'[2]5. Demanda'!$D$4:$F$357,3,FALSE())</f>
        <v>13.8</v>
      </c>
      <c r="G29" s="63" t="str">
        <f aca="false">VLOOKUP(D29,'[2]5. Demanda'!D$4:J$357,4,FALSE())</f>
        <v>residencial</v>
      </c>
      <c r="H29" s="63" t="str">
        <f aca="false">VLOOKUP($D29,'[2]5. Demanda'!$D$4:$J$357,5,FALSE())</f>
        <v>Conucos 115 kV</v>
      </c>
      <c r="I29" s="63" t="str">
        <f aca="false">VLOOKUP($D29,'[2]5. Demanda'!$D$4:$J$357,6,FALSE())</f>
        <v>Sí</v>
      </c>
      <c r="J29" s="102" t="str">
        <f aca="false">IF(VLOOKUP($D29,'[2]5. Demanda'!$D$4:$J$357,7,FALSE())=0,"",VLOOKUP($D29,'[2]5. Demanda'!$D$4:$J$357,7,FALSE()))</f>
        <v/>
      </c>
      <c r="K29" s="79" t="n">
        <v>0.527928035902586</v>
      </c>
      <c r="L29" s="79" t="n">
        <v>0.224896401542792</v>
      </c>
      <c r="M29" s="79" t="n">
        <v>0.938293385244037</v>
      </c>
      <c r="N29" s="79" t="n">
        <v>0.399711308326361</v>
      </c>
      <c r="O29" s="79" t="n">
        <v>0.733283093185866</v>
      </c>
      <c r="P29" s="79" t="n">
        <v>0.312377289620017</v>
      </c>
      <c r="Q29" s="80"/>
      <c r="R29" s="80"/>
      <c r="S29" s="80"/>
      <c r="T29" s="80"/>
      <c r="U29" s="80"/>
      <c r="V29" s="80"/>
      <c r="W29" s="80"/>
      <c r="X29" s="80"/>
      <c r="Y29" s="80"/>
      <c r="Z29" s="75"/>
    </row>
    <row r="30" customFormat="false" ht="15.75" hidden="false" customHeight="false" outlineLevel="0" collapsed="false">
      <c r="A30" s="52" t="e">
        <f aca="false">VLOOKUP(#REF!,'[1]Listas Desplegables'!$H$3:$J$7,2,FALSE())</f>
        <v>#VALUE!</v>
      </c>
      <c r="B30" s="52" t="e">
        <f aca="false">VLOOKUP(#REF!,'[1]Listas Desplegables'!$H$3:$J$7,3,FALSE())</f>
        <v>#VALUE!</v>
      </c>
      <c r="C30" s="69" t="n">
        <v>25</v>
      </c>
      <c r="D30" s="78" t="s">
        <v>1337</v>
      </c>
      <c r="E30" s="63" t="s">
        <v>1334</v>
      </c>
      <c r="F30" s="101" t="n">
        <f aca="false">VLOOKUP(D30,'[2]5. Demanda'!$D$4:$F$357,3,FALSE())</f>
        <v>13.8</v>
      </c>
      <c r="G30" s="63" t="str">
        <f aca="false">VLOOKUP(D30,'[2]5. Demanda'!D$4:J$357,4,FALSE())</f>
        <v>residencial</v>
      </c>
      <c r="H30" s="63" t="str">
        <f aca="false">VLOOKUP($D30,'[2]5. Demanda'!$D$4:$J$357,5,FALSE())</f>
        <v>Conucos 115 kV</v>
      </c>
      <c r="I30" s="63" t="str">
        <f aca="false">VLOOKUP($D30,'[2]5. Demanda'!$D$4:$J$357,6,FALSE())</f>
        <v>Sí</v>
      </c>
      <c r="J30" s="102" t="str">
        <f aca="false">IF(VLOOKUP($D30,'[2]5. Demanda'!$D$4:$J$357,7,FALSE())=0,"",VLOOKUP($D30,'[2]5. Demanda'!$D$4:$J$357,7,FALSE()))</f>
        <v/>
      </c>
      <c r="K30" s="79" t="n">
        <v>1.45396420543569</v>
      </c>
      <c r="L30" s="79" t="n">
        <v>0.619386157841497</v>
      </c>
      <c r="M30" s="79" t="n">
        <v>2.76532306863095</v>
      </c>
      <c r="N30" s="79" t="n">
        <v>1.17802269427708</v>
      </c>
      <c r="O30" s="79" t="n">
        <v>3.06509282346524</v>
      </c>
      <c r="P30" s="79" t="n">
        <v>1.30572407508807</v>
      </c>
      <c r="Q30" s="80"/>
      <c r="R30" s="80"/>
      <c r="S30" s="80"/>
      <c r="T30" s="80"/>
      <c r="U30" s="80"/>
      <c r="V30" s="80"/>
      <c r="W30" s="80"/>
      <c r="X30" s="80"/>
      <c r="Y30" s="80"/>
      <c r="Z30" s="75"/>
    </row>
    <row r="31" customFormat="false" ht="15.75" hidden="false" customHeight="false" outlineLevel="0" collapsed="false">
      <c r="A31" s="52" t="e">
        <f aca="false">VLOOKUP(#REF!,'[1]Listas Desplegables'!$H$3:$J$7,2,FALSE())</f>
        <v>#VALUE!</v>
      </c>
      <c r="B31" s="52" t="e">
        <f aca="false">VLOOKUP(#REF!,'[1]Listas Desplegables'!$H$3:$J$7,3,FALSE())</f>
        <v>#VALUE!</v>
      </c>
      <c r="C31" s="69" t="n">
        <v>26</v>
      </c>
      <c r="D31" s="78" t="s">
        <v>1338</v>
      </c>
      <c r="E31" s="63" t="s">
        <v>1331</v>
      </c>
      <c r="F31" s="101" t="n">
        <f aca="false">VLOOKUP(D31,'[2]5. Demanda'!$D$4:$F$357,3,FALSE())</f>
        <v>13.8</v>
      </c>
      <c r="G31" s="63" t="str">
        <f aca="false">VLOOKUP(D31,'[2]5. Demanda'!D$4:J$357,4,FALSE())</f>
        <v>residencial</v>
      </c>
      <c r="H31" s="63" t="str">
        <f aca="false">VLOOKUP($D31,'[2]5. Demanda'!$D$4:$J$357,5,FALSE())</f>
        <v>Conucos 115 kV</v>
      </c>
      <c r="I31" s="63" t="str">
        <f aca="false">VLOOKUP($D31,'[2]5. Demanda'!$D$4:$J$357,6,FALSE())</f>
        <v>Sí</v>
      </c>
      <c r="J31" s="102" t="str">
        <f aca="false">IF(VLOOKUP($D31,'[2]5. Demanda'!$D$4:$J$357,7,FALSE())=0,"",VLOOKUP($D31,'[2]5. Demanda'!$D$4:$J$357,7,FALSE()))</f>
        <v/>
      </c>
      <c r="K31" s="79" t="n">
        <v>0.889111173105719</v>
      </c>
      <c r="L31" s="79" t="n">
        <v>0.378759773689805</v>
      </c>
      <c r="M31" s="79" t="n">
        <v>1.26512899228686</v>
      </c>
      <c r="N31" s="79" t="n">
        <v>0.538942693896397</v>
      </c>
      <c r="O31" s="79" t="n">
        <v>1.38930873694346</v>
      </c>
      <c r="P31" s="79" t="n">
        <v>0.59184304360036</v>
      </c>
      <c r="Q31" s="80"/>
      <c r="R31" s="80"/>
      <c r="S31" s="80"/>
      <c r="T31" s="80"/>
      <c r="U31" s="80"/>
      <c r="V31" s="80"/>
      <c r="W31" s="80"/>
      <c r="X31" s="80"/>
      <c r="Y31" s="80"/>
      <c r="Z31" s="75"/>
    </row>
    <row r="32" customFormat="false" ht="15.75" hidden="false" customHeight="false" outlineLevel="0" collapsed="false">
      <c r="A32" s="52" t="e">
        <f aca="false">VLOOKUP(#REF!,'[1]Listas Desplegables'!$H$3:$J$7,2,FALSE())</f>
        <v>#VALUE!</v>
      </c>
      <c r="B32" s="52" t="e">
        <f aca="false">VLOOKUP(#REF!,'[1]Listas Desplegables'!$H$3:$J$7,3,FALSE())</f>
        <v>#VALUE!</v>
      </c>
      <c r="C32" s="69" t="n">
        <v>27</v>
      </c>
      <c r="D32" s="78" t="s">
        <v>1339</v>
      </c>
      <c r="E32" s="63" t="s">
        <v>1334</v>
      </c>
      <c r="F32" s="101" t="n">
        <f aca="false">VLOOKUP(D32,'[2]5. Demanda'!$D$4:$F$357,3,FALSE())</f>
        <v>13.8</v>
      </c>
      <c r="G32" s="63" t="str">
        <f aca="false">VLOOKUP(D32,'[2]5. Demanda'!D$4:J$357,4,FALSE())</f>
        <v>residencial</v>
      </c>
      <c r="H32" s="63" t="str">
        <f aca="false">VLOOKUP($D32,'[2]5. Demanda'!$D$4:$J$357,5,FALSE())</f>
        <v>Conucos 115 kV</v>
      </c>
      <c r="I32" s="63" t="str">
        <f aca="false">VLOOKUP($D32,'[2]5. Demanda'!$D$4:$J$357,6,FALSE())</f>
        <v>Sí</v>
      </c>
      <c r="J32" s="102" t="str">
        <f aca="false">IF(VLOOKUP($D32,'[2]5. Demanda'!$D$4:$J$357,7,FALSE())=0,"",VLOOKUP($D32,'[2]5. Demanda'!$D$4:$J$357,7,FALSE()))</f>
        <v/>
      </c>
      <c r="K32" s="79" t="n">
        <v>2.07582588608315</v>
      </c>
      <c r="L32" s="79" t="n">
        <v>0.884298124480779</v>
      </c>
      <c r="M32" s="79" t="n">
        <v>2.87730080520187</v>
      </c>
      <c r="N32" s="79" t="n">
        <v>1.22572501030326</v>
      </c>
      <c r="O32" s="79" t="n">
        <v>3.34228587242815</v>
      </c>
      <c r="P32" s="79" t="n">
        <v>1.42380781947163</v>
      </c>
      <c r="Q32" s="80"/>
      <c r="R32" s="80"/>
      <c r="S32" s="80"/>
      <c r="T32" s="80"/>
      <c r="U32" s="80"/>
      <c r="V32" s="80"/>
      <c r="W32" s="80"/>
      <c r="X32" s="80"/>
      <c r="Y32" s="80"/>
      <c r="Z32" s="75"/>
    </row>
    <row r="33" customFormat="false" ht="15.75" hidden="false" customHeight="false" outlineLevel="0" collapsed="false">
      <c r="A33" s="52" t="e">
        <f aca="false">VLOOKUP(#REF!,'[1]Listas Desplegables'!$H$3:$J$7,2,FALSE())</f>
        <v>#VALUE!</v>
      </c>
      <c r="B33" s="52" t="e">
        <f aca="false">VLOOKUP(#REF!,'[1]Listas Desplegables'!$H$3:$J$7,3,FALSE())</f>
        <v>#VALUE!</v>
      </c>
      <c r="C33" s="69" t="n">
        <v>28</v>
      </c>
      <c r="D33" s="78" t="s">
        <v>1340</v>
      </c>
      <c r="E33" s="63" t="s">
        <v>1334</v>
      </c>
      <c r="F33" s="101" t="n">
        <f aca="false">VLOOKUP(D33,'[2]5. Demanda'!$D$4:$F$357,3,FALSE())</f>
        <v>13.8</v>
      </c>
      <c r="G33" s="63" t="str">
        <f aca="false">VLOOKUP(D33,'[2]5. Demanda'!D$4:J$357,4,FALSE())</f>
        <v>residencial</v>
      </c>
      <c r="H33" s="63" t="str">
        <f aca="false">VLOOKUP($D33,'[2]5. Demanda'!$D$4:$J$357,5,FALSE())</f>
        <v>Conucos 115 kV</v>
      </c>
      <c r="I33" s="63" t="str">
        <f aca="false">VLOOKUP($D33,'[2]5. Demanda'!$D$4:$J$357,6,FALSE())</f>
        <v>Sí</v>
      </c>
      <c r="J33" s="102" t="str">
        <f aca="false">IF(VLOOKUP($D33,'[2]5. Demanda'!$D$4:$J$357,7,FALSE())=0,"",VLOOKUP($D33,'[2]5. Demanda'!$D$4:$J$357,7,FALSE()))</f>
        <v/>
      </c>
      <c r="K33" s="79" t="n">
        <v>0.750138057494692</v>
      </c>
      <c r="L33" s="79" t="n">
        <v>0.319557474348617</v>
      </c>
      <c r="M33" s="79" t="n">
        <v>1.22062863425248</v>
      </c>
      <c r="N33" s="79" t="n">
        <v>0.519985620756329</v>
      </c>
      <c r="O33" s="79" t="n">
        <v>1.43764676973391</v>
      </c>
      <c r="P33" s="79" t="n">
        <v>0.612434959340622</v>
      </c>
      <c r="Q33" s="80"/>
      <c r="R33" s="80"/>
      <c r="S33" s="80"/>
      <c r="T33" s="80"/>
      <c r="U33" s="80"/>
      <c r="V33" s="80"/>
      <c r="W33" s="80"/>
      <c r="X33" s="80"/>
      <c r="Y33" s="80"/>
      <c r="Z33" s="75"/>
    </row>
    <row r="34" customFormat="false" ht="15.75" hidden="false" customHeight="false" outlineLevel="0" collapsed="false">
      <c r="A34" s="52" t="e">
        <f aca="false">VLOOKUP(#REF!,'[1]Listas Desplegables'!$H$3:$J$7,2,FALSE())</f>
        <v>#VALUE!</v>
      </c>
      <c r="B34" s="52" t="e">
        <f aca="false">VLOOKUP(#REF!,'[1]Listas Desplegables'!$H$3:$J$7,3,FALSE())</f>
        <v>#VALUE!</v>
      </c>
      <c r="C34" s="69" t="n">
        <v>29</v>
      </c>
      <c r="D34" s="78" t="s">
        <v>1341</v>
      </c>
      <c r="E34" s="63" t="s">
        <v>1334</v>
      </c>
      <c r="F34" s="101" t="n">
        <f aca="false">VLOOKUP(D34,'[2]5. Demanda'!$D$4:$F$357,3,FALSE())</f>
        <v>13.8</v>
      </c>
      <c r="G34" s="63" t="str">
        <f aca="false">VLOOKUP(D34,'[2]5. Demanda'!D$4:J$357,4,FALSE())</f>
        <v>residencial</v>
      </c>
      <c r="H34" s="63" t="str">
        <f aca="false">VLOOKUP($D34,'[2]5. Demanda'!$D$4:$J$357,5,FALSE())</f>
        <v>Conucos 115 kV</v>
      </c>
      <c r="I34" s="63" t="str">
        <f aca="false">VLOOKUP($D34,'[2]5. Demanda'!$D$4:$J$357,6,FALSE())</f>
        <v>Sí</v>
      </c>
      <c r="J34" s="102" t="str">
        <f aca="false">IF(VLOOKUP($D34,'[2]5. Demanda'!$D$4:$J$357,7,FALSE())=0,"",VLOOKUP($D34,'[2]5. Demanda'!$D$4:$J$357,7,FALSE()))</f>
        <v/>
      </c>
      <c r="K34" s="79" t="n">
        <v>0.508600252255238</v>
      </c>
      <c r="L34" s="79" t="n">
        <v>0.216662800187155</v>
      </c>
      <c r="M34" s="79" t="n">
        <v>0.709136550799085</v>
      </c>
      <c r="N34" s="79" t="n">
        <v>0.302090905637392</v>
      </c>
      <c r="O34" s="79" t="n">
        <v>0.803360735867238</v>
      </c>
      <c r="P34" s="79" t="n">
        <v>0.342230240393312</v>
      </c>
      <c r="Q34" s="80"/>
      <c r="R34" s="80"/>
      <c r="S34" s="80"/>
      <c r="T34" s="80"/>
      <c r="U34" s="80"/>
      <c r="V34" s="80"/>
      <c r="W34" s="80"/>
      <c r="X34" s="80"/>
      <c r="Y34" s="80"/>
      <c r="Z34" s="75"/>
    </row>
    <row r="35" customFormat="false" ht="15.75" hidden="false" customHeight="false" outlineLevel="0" collapsed="false">
      <c r="A35" s="52" t="e">
        <f aca="false">VLOOKUP(#REF!,'[1]Listas Desplegables'!$H$3:$J$7,2,FALSE())</f>
        <v>#VALUE!</v>
      </c>
      <c r="B35" s="52" t="e">
        <f aca="false">VLOOKUP(#REF!,'[1]Listas Desplegables'!$H$3:$J$7,3,FALSE())</f>
        <v>#VALUE!</v>
      </c>
      <c r="C35" s="76" t="n">
        <v>30</v>
      </c>
      <c r="D35" s="78" t="s">
        <v>1342</v>
      </c>
      <c r="E35" s="63" t="s">
        <v>1331</v>
      </c>
      <c r="F35" s="101" t="n">
        <f aca="false">VLOOKUP(D35,'[2]5. Demanda'!$D$4:$F$357,3,FALSE())</f>
        <v>13.8</v>
      </c>
      <c r="G35" s="63" t="str">
        <f aca="false">VLOOKUP(D35,'[2]5. Demanda'!D$4:J$357,4,FALSE())</f>
        <v>residencial</v>
      </c>
      <c r="H35" s="63" t="str">
        <f aca="false">VLOOKUP($D35,'[2]5. Demanda'!$D$4:$J$357,5,FALSE())</f>
        <v>Conucos 115 kV</v>
      </c>
      <c r="I35" s="63" t="str">
        <f aca="false">VLOOKUP($D35,'[2]5. Demanda'!$D$4:$J$357,6,FALSE())</f>
        <v>Sí</v>
      </c>
      <c r="J35" s="102" t="str">
        <f aca="false">IF(VLOOKUP($D35,'[2]5. Demanda'!$D$4:$J$357,7,FALSE())=0,"",VLOOKUP($D35,'[2]5. Demanda'!$D$4:$J$357,7,FALSE()))</f>
        <v/>
      </c>
      <c r="K35" s="79" t="n">
        <v>2.85539421854624</v>
      </c>
      <c r="L35" s="79" t="n">
        <v>1.21639284346633</v>
      </c>
      <c r="M35" s="79" t="n">
        <v>4.65437441509808</v>
      </c>
      <c r="N35" s="79" t="n">
        <v>1.98275519806177</v>
      </c>
      <c r="O35" s="79" t="n">
        <v>4.74428160287408</v>
      </c>
      <c r="P35" s="79" t="n">
        <v>2.02105549967217</v>
      </c>
      <c r="Q35" s="80"/>
      <c r="R35" s="80"/>
      <c r="S35" s="80"/>
      <c r="T35" s="80"/>
      <c r="U35" s="80"/>
      <c r="V35" s="80"/>
      <c r="W35" s="80"/>
      <c r="X35" s="80"/>
      <c r="Y35" s="80"/>
      <c r="Z35" s="75"/>
    </row>
    <row r="36" customFormat="false" ht="15.75" hidden="false" customHeight="false" outlineLevel="0" collapsed="false">
      <c r="A36" s="52" t="e">
        <f aca="false">VLOOKUP(#REF!,'[1]Listas Desplegables'!$H$3:$J$7,2,FALSE())</f>
        <v>#VALUE!</v>
      </c>
      <c r="B36" s="52" t="e">
        <f aca="false">VLOOKUP(#REF!,'[1]Listas Desplegables'!$H$3:$J$7,3,FALSE())</f>
        <v>#VALUE!</v>
      </c>
      <c r="C36" s="69" t="n">
        <v>31</v>
      </c>
      <c r="D36" s="78" t="s">
        <v>1343</v>
      </c>
      <c r="E36" s="63" t="s">
        <v>1334</v>
      </c>
      <c r="F36" s="101" t="n">
        <f aca="false">VLOOKUP(D36,'[2]5. Demanda'!$D$4:$F$357,3,FALSE())</f>
        <v>13.8</v>
      </c>
      <c r="G36" s="63" t="str">
        <f aca="false">VLOOKUP(D36,'[2]5. Demanda'!D$4:J$357,4,FALSE())</f>
        <v>residencial</v>
      </c>
      <c r="H36" s="63" t="str">
        <f aca="false">VLOOKUP($D36,'[2]5. Demanda'!$D$4:$J$357,5,FALSE())</f>
        <v>Conucos 115 kV</v>
      </c>
      <c r="I36" s="63" t="str">
        <f aca="false">VLOOKUP($D36,'[2]5. Demanda'!$D$4:$J$357,6,FALSE())</f>
        <v>Sí</v>
      </c>
      <c r="J36" s="102" t="str">
        <f aca="false">IF(VLOOKUP($D36,'[2]5. Demanda'!$D$4:$J$357,7,FALSE())=0,"",VLOOKUP($D36,'[2]5. Demanda'!$D$4:$J$357,7,FALSE()))</f>
        <v/>
      </c>
      <c r="K36" s="79" t="n">
        <v>0.00193226848958614</v>
      </c>
      <c r="L36" s="79" t="n">
        <v>0.000823142929659896</v>
      </c>
      <c r="M36" s="79" t="n">
        <v>0.00256059606080713</v>
      </c>
      <c r="N36" s="79" t="n">
        <v>0.00109080935414923</v>
      </c>
      <c r="O36" s="79" t="n">
        <v>0.00314508110504036</v>
      </c>
      <c r="P36" s="79" t="n">
        <v>0.00133979894035088</v>
      </c>
      <c r="Q36" s="80"/>
      <c r="R36" s="80"/>
      <c r="S36" s="80"/>
      <c r="T36" s="80"/>
      <c r="U36" s="80"/>
      <c r="V36" s="80"/>
      <c r="W36" s="80"/>
      <c r="X36" s="80"/>
      <c r="Y36" s="80"/>
      <c r="Z36" s="75"/>
    </row>
    <row r="37" customFormat="false" ht="15.75" hidden="false" customHeight="false" outlineLevel="0" collapsed="false">
      <c r="A37" s="52" t="e">
        <f aca="false">VLOOKUP(#REF!,'[1]Listas Desplegables'!$H$3:$J$7,2,FALSE())</f>
        <v>#VALUE!</v>
      </c>
      <c r="B37" s="52" t="e">
        <f aca="false">VLOOKUP(#REF!,'[1]Listas Desplegables'!$H$3:$J$7,3,FALSE())</f>
        <v>#VALUE!</v>
      </c>
      <c r="C37" s="69" t="n">
        <v>32</v>
      </c>
      <c r="D37" s="78" t="s">
        <v>1344</v>
      </c>
      <c r="E37" s="63" t="s">
        <v>1331</v>
      </c>
      <c r="F37" s="101" t="n">
        <f aca="false">VLOOKUP(D37,'[2]5. Demanda'!$D$4:$F$357,3,FALSE())</f>
        <v>13.8</v>
      </c>
      <c r="G37" s="63" t="str">
        <f aca="false">VLOOKUP(D37,'[2]5. Demanda'!D$4:J$357,4,FALSE())</f>
        <v>residencial</v>
      </c>
      <c r="H37" s="63" t="str">
        <f aca="false">VLOOKUP($D37,'[2]5. Demanda'!$D$4:$J$357,5,FALSE())</f>
        <v>Conucos 115 kV</v>
      </c>
      <c r="I37" s="63" t="str">
        <f aca="false">VLOOKUP($D37,'[2]5. Demanda'!$D$4:$J$357,6,FALSE())</f>
        <v>Sí</v>
      </c>
      <c r="J37" s="102" t="str">
        <f aca="false">IF(VLOOKUP($D37,'[2]5. Demanda'!$D$4:$J$357,7,FALSE())=0,"",VLOOKUP($D37,'[2]5. Demanda'!$D$4:$J$357,7,FALSE()))</f>
        <v/>
      </c>
      <c r="K37" s="79" t="n">
        <v>0.860176991074129</v>
      </c>
      <c r="L37" s="79" t="n">
        <v>0.366433863758987</v>
      </c>
      <c r="M37" s="79" t="n">
        <v>2.13194428965499</v>
      </c>
      <c r="N37" s="79" t="n">
        <v>0.908204464294793</v>
      </c>
      <c r="O37" s="79" t="n">
        <v>1.43113278048184</v>
      </c>
      <c r="P37" s="79" t="n">
        <v>0.609660011539313</v>
      </c>
      <c r="Q37" s="80"/>
      <c r="R37" s="80"/>
      <c r="S37" s="80"/>
      <c r="T37" s="80"/>
      <c r="U37" s="80"/>
      <c r="V37" s="80"/>
      <c r="W37" s="80"/>
      <c r="X37" s="80"/>
      <c r="Y37" s="80"/>
      <c r="Z37" s="75"/>
    </row>
    <row r="38" customFormat="false" ht="15.75" hidden="false" customHeight="false" outlineLevel="0" collapsed="false">
      <c r="A38" s="52" t="e">
        <f aca="false">VLOOKUP(#REF!,'[1]Listas Desplegables'!$H$3:$J$7,2,FALSE())</f>
        <v>#VALUE!</v>
      </c>
      <c r="B38" s="52" t="e">
        <f aca="false">VLOOKUP(#REF!,'[1]Listas Desplegables'!$H$3:$J$7,3,FALSE())</f>
        <v>#VALUE!</v>
      </c>
      <c r="C38" s="69" t="n">
        <v>33</v>
      </c>
      <c r="D38" s="78" t="s">
        <v>1345</v>
      </c>
      <c r="E38" s="63" t="s">
        <v>1331</v>
      </c>
      <c r="F38" s="101" t="n">
        <f aca="false">VLOOKUP(D38,'[2]5. Demanda'!$D$4:$F$357,3,FALSE())</f>
        <v>13.8</v>
      </c>
      <c r="G38" s="63" t="str">
        <f aca="false">VLOOKUP(D38,'[2]5. Demanda'!D$4:J$357,4,FALSE())</f>
        <v>residencial</v>
      </c>
      <c r="H38" s="63" t="str">
        <f aca="false">VLOOKUP($D38,'[2]5. Demanda'!$D$4:$J$357,5,FALSE())</f>
        <v>Conucos 115 kV</v>
      </c>
      <c r="I38" s="63" t="str">
        <f aca="false">VLOOKUP($D38,'[2]5. Demanda'!$D$4:$J$357,6,FALSE())</f>
        <v>Sí</v>
      </c>
      <c r="J38" s="102" t="str">
        <f aca="false">IF(VLOOKUP($D38,'[2]5. Demanda'!$D$4:$J$357,7,FALSE())=0,"",VLOOKUP($D38,'[2]5. Demanda'!$D$4:$J$357,7,FALSE()))</f>
        <v/>
      </c>
      <c r="K38" s="79" t="n">
        <v>1.26593926225873</v>
      </c>
      <c r="L38" s="79" t="n">
        <v>0.539287867459001</v>
      </c>
      <c r="M38" s="79" t="n">
        <v>3.37885972661322</v>
      </c>
      <c r="N38" s="79" t="n">
        <v>1.4393882161117</v>
      </c>
      <c r="O38" s="79" t="n">
        <v>2.56113173419221</v>
      </c>
      <c r="P38" s="79" t="n">
        <v>1.09103755005571</v>
      </c>
      <c r="Q38" s="80"/>
      <c r="R38" s="80"/>
      <c r="S38" s="80"/>
      <c r="T38" s="80"/>
      <c r="U38" s="80"/>
      <c r="V38" s="80"/>
      <c r="W38" s="80"/>
      <c r="X38" s="80"/>
      <c r="Y38" s="80"/>
      <c r="Z38" s="75"/>
    </row>
    <row r="39" customFormat="false" ht="15.75" hidden="false" customHeight="false" outlineLevel="0" collapsed="false">
      <c r="A39" s="52" t="e">
        <f aca="false">VLOOKUP(#REF!,'[1]Listas Desplegables'!$H$3:$J$7,2,FALSE())</f>
        <v>#VALUE!</v>
      </c>
      <c r="B39" s="52" t="e">
        <f aca="false">VLOOKUP(#REF!,'[1]Listas Desplegables'!$H$3:$J$7,3,FALSE())</f>
        <v>#VALUE!</v>
      </c>
      <c r="C39" s="69" t="n">
        <v>34</v>
      </c>
      <c r="D39" s="78" t="s">
        <v>1346</v>
      </c>
      <c r="E39" s="63" t="s">
        <v>1331</v>
      </c>
      <c r="F39" s="101" t="n">
        <f aca="false">VLOOKUP(D39,'[2]5. Demanda'!$D$4:$F$357,3,FALSE())</f>
        <v>13.8</v>
      </c>
      <c r="G39" s="63" t="str">
        <f aca="false">VLOOKUP(D39,'[2]5. Demanda'!D$4:J$357,4,FALSE())</f>
        <v>Industrial</v>
      </c>
      <c r="H39" s="63" t="str">
        <f aca="false">VLOOKUP($D39,'[2]5. Demanda'!$D$4:$J$357,5,FALSE())</f>
        <v>Conucos 115 kV</v>
      </c>
      <c r="I39" s="63" t="str">
        <f aca="false">VLOOKUP($D39,'[2]5. Demanda'!$D$4:$J$357,6,FALSE())</f>
        <v>Sí</v>
      </c>
      <c r="J39" s="102" t="str">
        <f aca="false">IF(VLOOKUP($D39,'[2]5. Demanda'!$D$4:$J$357,7,FALSE())=0,"",VLOOKUP($D39,'[2]5. Demanda'!$D$4:$J$357,7,FALSE()))</f>
        <v/>
      </c>
      <c r="K39" s="79" t="n">
        <v>0.914261664767453</v>
      </c>
      <c r="L39" s="79" t="n">
        <v>0.389473838272652</v>
      </c>
      <c r="M39" s="79" t="n">
        <v>2.23844429558123</v>
      </c>
      <c r="N39" s="79" t="n">
        <v>0.953573276837868</v>
      </c>
      <c r="O39" s="79" t="n">
        <v>1.54511049628081</v>
      </c>
      <c r="P39" s="79" t="n">
        <v>0.658214315148951</v>
      </c>
      <c r="Q39" s="80"/>
      <c r="R39" s="80"/>
      <c r="S39" s="80"/>
      <c r="T39" s="80"/>
      <c r="U39" s="80"/>
      <c r="V39" s="80"/>
      <c r="W39" s="80"/>
      <c r="X39" s="80"/>
      <c r="Y39" s="80"/>
      <c r="Z39" s="75"/>
    </row>
    <row r="40" customFormat="false" ht="15.75" hidden="false" customHeight="false" outlineLevel="0" collapsed="false">
      <c r="A40" s="52" t="e">
        <f aca="false">VLOOKUP(#REF!,'[1]Listas Desplegables'!$H$3:$J$7,2,FALSE())</f>
        <v>#VALUE!</v>
      </c>
      <c r="B40" s="52" t="e">
        <f aca="false">VLOOKUP(#REF!,'[1]Listas Desplegables'!$H$3:$J$7,3,FALSE())</f>
        <v>#VALUE!</v>
      </c>
      <c r="C40" s="69" t="n">
        <v>35</v>
      </c>
      <c r="D40" s="78" t="s">
        <v>1347</v>
      </c>
      <c r="E40" s="63" t="s">
        <v>1348</v>
      </c>
      <c r="F40" s="101" t="n">
        <f aca="false">VLOOKUP(D40,'[2]5. Demanda'!$D$4:$F$357,3,FALSE())</f>
        <v>13.8</v>
      </c>
      <c r="G40" s="63" t="str">
        <f aca="false">VLOOKUP(D40,'[2]5. Demanda'!D$4:J$357,4,FALSE())</f>
        <v>residencial</v>
      </c>
      <c r="H40" s="63" t="str">
        <f aca="false">VLOOKUP($D40,'[2]5. Demanda'!$D$4:$J$357,5,FALSE())</f>
        <v>Palenque 115 kV</v>
      </c>
      <c r="I40" s="63" t="str">
        <f aca="false">VLOOKUP($D40,'[2]5. Demanda'!$D$4:$J$357,6,FALSE())</f>
        <v>Sí</v>
      </c>
      <c r="J40" s="102" t="str">
        <f aca="false">IF(VLOOKUP($D40,'[2]5. Demanda'!$D$4:$J$357,7,FALSE())=0,"",VLOOKUP($D40,'[2]5. Demanda'!$D$4:$J$357,7,FALSE()))</f>
        <v/>
      </c>
      <c r="K40" s="79" t="n">
        <v>1.18520271725543</v>
      </c>
      <c r="L40" s="79" t="n">
        <v>0.504894243310597</v>
      </c>
      <c r="M40" s="79" t="n">
        <v>1.4098335477109</v>
      </c>
      <c r="N40" s="79" t="n">
        <v>0.600586576373821</v>
      </c>
      <c r="O40" s="79" t="n">
        <v>1.68049716994358</v>
      </c>
      <c r="P40" s="79" t="n">
        <v>0.715888796617908</v>
      </c>
      <c r="Q40" s="80"/>
      <c r="R40" s="80"/>
      <c r="S40" s="80"/>
      <c r="T40" s="80"/>
      <c r="U40" s="80"/>
      <c r="V40" s="80"/>
      <c r="W40" s="80"/>
      <c r="X40" s="80"/>
      <c r="Y40" s="80"/>
      <c r="Z40" s="75"/>
    </row>
    <row r="41" customFormat="false" ht="15.75" hidden="false" customHeight="false" outlineLevel="0" collapsed="false">
      <c r="A41" s="52" t="e">
        <f aca="false">VLOOKUP(#REF!,'[1]Listas Desplegables'!$H$3:$J$7,2,FALSE())</f>
        <v>#VALUE!</v>
      </c>
      <c r="B41" s="52" t="e">
        <f aca="false">VLOOKUP(#REF!,'[1]Listas Desplegables'!$H$3:$J$7,3,FALSE())</f>
        <v>#VALUE!</v>
      </c>
      <c r="C41" s="69" t="n">
        <v>36</v>
      </c>
      <c r="D41" s="78" t="s">
        <v>1349</v>
      </c>
      <c r="E41" s="63" t="s">
        <v>1348</v>
      </c>
      <c r="F41" s="101" t="n">
        <f aca="false">VLOOKUP(D41,'[2]5. Demanda'!$D$4:$F$357,3,FALSE())</f>
        <v>13.8</v>
      </c>
      <c r="G41" s="63" t="str">
        <f aca="false">VLOOKUP(D41,'[2]5. Demanda'!D$4:J$357,4,FALSE())</f>
        <v>residencial</v>
      </c>
      <c r="H41" s="63" t="str">
        <f aca="false">VLOOKUP($D41,'[2]5. Demanda'!$D$4:$J$357,5,FALSE())</f>
        <v>Palenque 115 kV</v>
      </c>
      <c r="I41" s="63" t="str">
        <f aca="false">VLOOKUP($D41,'[2]5. Demanda'!$D$4:$J$357,6,FALSE())</f>
        <v>Sí</v>
      </c>
      <c r="J41" s="102" t="str">
        <f aca="false">IF(VLOOKUP($D41,'[2]5. Demanda'!$D$4:$J$357,7,FALSE())=0,"",VLOOKUP($D41,'[2]5. Demanda'!$D$4:$J$357,7,FALSE()))</f>
        <v/>
      </c>
      <c r="K41" s="79" t="n">
        <v>1.38950110270583</v>
      </c>
      <c r="L41" s="79" t="n">
        <v>0.591924991071972</v>
      </c>
      <c r="M41" s="79" t="n">
        <v>1.94260641214438</v>
      </c>
      <c r="N41" s="79" t="n">
        <v>0.827546866228258</v>
      </c>
      <c r="O41" s="79" t="n">
        <v>2.1768793623697</v>
      </c>
      <c r="P41" s="79" t="n">
        <v>0.927346725113212</v>
      </c>
      <c r="Q41" s="80"/>
      <c r="R41" s="80"/>
      <c r="S41" s="80"/>
      <c r="T41" s="80"/>
      <c r="U41" s="80"/>
      <c r="V41" s="80"/>
      <c r="W41" s="80"/>
      <c r="X41" s="80"/>
      <c r="Y41" s="80"/>
      <c r="Z41" s="75"/>
    </row>
    <row r="42" customFormat="false" ht="15.75" hidden="false" customHeight="false" outlineLevel="0" collapsed="false">
      <c r="A42" s="52" t="e">
        <f aca="false">VLOOKUP(#REF!,'[1]Listas Desplegables'!$H$3:$J$7,2,FALSE())</f>
        <v>#VALUE!</v>
      </c>
      <c r="B42" s="52" t="e">
        <f aca="false">VLOOKUP(#REF!,'[1]Listas Desplegables'!$H$3:$J$7,3,FALSE())</f>
        <v>#VALUE!</v>
      </c>
      <c r="C42" s="69" t="n">
        <v>37</v>
      </c>
      <c r="D42" s="78" t="s">
        <v>1350</v>
      </c>
      <c r="E42" s="63" t="s">
        <v>1351</v>
      </c>
      <c r="F42" s="101" t="n">
        <f aca="false">VLOOKUP(D42,'[2]5. Demanda'!$D$4:$F$357,3,FALSE())</f>
        <v>13.8</v>
      </c>
      <c r="G42" s="63" t="str">
        <f aca="false">VLOOKUP(D42,'[2]5. Demanda'!D$4:J$357,4,FALSE())</f>
        <v>industrial</v>
      </c>
      <c r="H42" s="63" t="str">
        <f aca="false">VLOOKUP($D42,'[2]5. Demanda'!$D$4:$J$357,5,FALSE())</f>
        <v>Palenque 115 kV</v>
      </c>
      <c r="I42" s="63" t="str">
        <f aca="false">VLOOKUP($D42,'[2]5. Demanda'!$D$4:$J$357,6,FALSE())</f>
        <v>Sí</v>
      </c>
      <c r="J42" s="102" t="str">
        <f aca="false">IF(VLOOKUP($D42,'[2]5. Demanda'!$D$4:$J$357,7,FALSE())=0,"",VLOOKUP($D42,'[2]5. Demanda'!$D$4:$J$357,7,FALSE()))</f>
        <v/>
      </c>
      <c r="K42" s="79" t="n">
        <v>0.095174769117242</v>
      </c>
      <c r="L42" s="79" t="n">
        <v>0.0405442818651202</v>
      </c>
      <c r="M42" s="79" t="n">
        <v>0.113140270078187</v>
      </c>
      <c r="N42" s="79" t="n">
        <v>0.0481975532264762</v>
      </c>
      <c r="O42" s="79" t="n">
        <v>0.136506631061319</v>
      </c>
      <c r="P42" s="79" t="n">
        <v>0.0581515813228849</v>
      </c>
      <c r="Q42" s="80"/>
      <c r="R42" s="80"/>
      <c r="S42" s="80"/>
      <c r="T42" s="80"/>
      <c r="U42" s="80"/>
      <c r="V42" s="80"/>
      <c r="W42" s="80"/>
      <c r="X42" s="80"/>
      <c r="Y42" s="80"/>
      <c r="Z42" s="75"/>
    </row>
    <row r="43" customFormat="false" ht="15.75" hidden="false" customHeight="false" outlineLevel="0" collapsed="false">
      <c r="A43" s="52" t="e">
        <f aca="false">VLOOKUP(#REF!,'[1]Listas Desplegables'!$H$3:$J$7,2,FALSE())</f>
        <v>#VALUE!</v>
      </c>
      <c r="B43" s="52" t="e">
        <f aca="false">VLOOKUP(#REF!,'[1]Listas Desplegables'!$H$3:$J$7,3,FALSE())</f>
        <v>#VALUE!</v>
      </c>
      <c r="C43" s="69" t="n">
        <v>38</v>
      </c>
      <c r="D43" s="78" t="s">
        <v>1352</v>
      </c>
      <c r="E43" s="63" t="s">
        <v>1351</v>
      </c>
      <c r="F43" s="101" t="n">
        <f aca="false">VLOOKUP(D43,'[2]5. Demanda'!$D$4:$F$357,3,FALSE())</f>
        <v>13.8</v>
      </c>
      <c r="G43" s="63" t="str">
        <f aca="false">VLOOKUP(D43,'[2]5. Demanda'!D$4:J$357,4,FALSE())</f>
        <v>residencial</v>
      </c>
      <c r="H43" s="63" t="str">
        <f aca="false">VLOOKUP($D43,'[2]5. Demanda'!$D$4:$J$357,5,FALSE())</f>
        <v>Palenque 115 kV</v>
      </c>
      <c r="I43" s="63" t="str">
        <f aca="false">VLOOKUP($D43,'[2]5. Demanda'!$D$4:$J$357,6,FALSE())</f>
        <v>Sí</v>
      </c>
      <c r="J43" s="102" t="str">
        <f aca="false">IF(VLOOKUP($D43,'[2]5. Demanda'!$D$4:$J$357,7,FALSE())=0,"",VLOOKUP($D43,'[2]5. Demanda'!$D$4:$J$357,7,FALSE()))</f>
        <v/>
      </c>
      <c r="K43" s="79" t="n">
        <v>2.07095338807002</v>
      </c>
      <c r="L43" s="79" t="n">
        <v>0.882222449019058</v>
      </c>
      <c r="M43" s="79" t="n">
        <v>3.15840313575448</v>
      </c>
      <c r="N43" s="79" t="n">
        <v>1.3454741016704</v>
      </c>
      <c r="O43" s="79" t="n">
        <v>3.13460271296393</v>
      </c>
      <c r="P43" s="79" t="n">
        <v>1.33533516401834</v>
      </c>
      <c r="Q43" s="80"/>
      <c r="R43" s="80"/>
      <c r="S43" s="80"/>
      <c r="T43" s="80"/>
      <c r="U43" s="80"/>
      <c r="V43" s="80"/>
      <c r="W43" s="80"/>
      <c r="X43" s="80"/>
      <c r="Y43" s="80"/>
      <c r="Z43" s="75"/>
    </row>
    <row r="44" customFormat="false" ht="15.75" hidden="false" customHeight="false" outlineLevel="0" collapsed="false">
      <c r="A44" s="52" t="e">
        <f aca="false">VLOOKUP(#REF!,'[1]Listas Desplegables'!$H$3:$J$7,2,FALSE())</f>
        <v>#VALUE!</v>
      </c>
      <c r="B44" s="52" t="e">
        <f aca="false">VLOOKUP(#REF!,'[1]Listas Desplegables'!$H$3:$J$7,3,FALSE())</f>
        <v>#VALUE!</v>
      </c>
      <c r="C44" s="76" t="n">
        <v>39</v>
      </c>
      <c r="D44" s="78" t="s">
        <v>1353</v>
      </c>
      <c r="E44" s="63" t="s">
        <v>1351</v>
      </c>
      <c r="F44" s="101" t="n">
        <f aca="false">VLOOKUP(D44,'[2]5. Demanda'!$D$4:$F$357,3,FALSE())</f>
        <v>13.8</v>
      </c>
      <c r="G44" s="63" t="str">
        <f aca="false">VLOOKUP(D44,'[2]5. Demanda'!D$4:J$357,4,FALSE())</f>
        <v>residencial</v>
      </c>
      <c r="H44" s="63" t="str">
        <f aca="false">VLOOKUP($D44,'[2]5. Demanda'!$D$4:$J$357,5,FALSE())</f>
        <v>Palenque 115 kV</v>
      </c>
      <c r="I44" s="63" t="str">
        <f aca="false">VLOOKUP($D44,'[2]5. Demanda'!$D$4:$J$357,6,FALSE())</f>
        <v>Sí</v>
      </c>
      <c r="J44" s="102" t="str">
        <f aca="false">IF(VLOOKUP($D44,'[2]5. Demanda'!$D$4:$J$357,7,FALSE())=0,"",VLOOKUP($D44,'[2]5. Demanda'!$D$4:$J$357,7,FALSE()))</f>
        <v/>
      </c>
      <c r="K44" s="79" t="n">
        <v>2.39643241353259</v>
      </c>
      <c r="L44" s="79" t="n">
        <v>1.02087593325586</v>
      </c>
      <c r="M44" s="79" t="n">
        <v>2.693713282384</v>
      </c>
      <c r="N44" s="79" t="n">
        <v>1.14751705307799</v>
      </c>
      <c r="O44" s="79" t="n">
        <v>3.37663876369885</v>
      </c>
      <c r="P44" s="79" t="n">
        <v>1.43844208987207</v>
      </c>
      <c r="Q44" s="80"/>
      <c r="R44" s="80"/>
      <c r="S44" s="80"/>
      <c r="T44" s="80"/>
      <c r="U44" s="80"/>
      <c r="V44" s="80"/>
      <c r="W44" s="80"/>
      <c r="X44" s="80"/>
      <c r="Y44" s="80"/>
      <c r="Z44" s="75"/>
    </row>
    <row r="45" customFormat="false" ht="15.75" hidden="false" customHeight="false" outlineLevel="0" collapsed="false">
      <c r="A45" s="52" t="e">
        <f aca="false">VLOOKUP(#REF!,'[1]Listas Desplegables'!$H$3:$J$7,2,FALSE())</f>
        <v>#VALUE!</v>
      </c>
      <c r="B45" s="52" t="e">
        <f aca="false">VLOOKUP(#REF!,'[1]Listas Desplegables'!$H$3:$J$7,3,FALSE())</f>
        <v>#VALUE!</v>
      </c>
      <c r="C45" s="77" t="n">
        <v>40</v>
      </c>
      <c r="D45" s="78" t="s">
        <v>1354</v>
      </c>
      <c r="E45" s="63" t="s">
        <v>1355</v>
      </c>
      <c r="F45" s="101" t="n">
        <f aca="false">VLOOKUP(D45,'[2]5. Demanda'!$D$4:$F$357,3,FALSE())</f>
        <v>13.8</v>
      </c>
      <c r="G45" s="63" t="str">
        <f aca="false">VLOOKUP(D45,'[2]5. Demanda'!D$4:J$357,4,FALSE())</f>
        <v>residencial</v>
      </c>
      <c r="H45" s="63" t="str">
        <f aca="false">VLOOKUP($D45,'[2]5. Demanda'!$D$4:$J$357,5,FALSE())</f>
        <v>Florida 115 kV
Rio Frio 115 kV</v>
      </c>
      <c r="I45" s="63" t="str">
        <f aca="false">VLOOKUP($D45,'[2]5. Demanda'!$D$4:$J$357,6,FALSE())</f>
        <v>Sí</v>
      </c>
      <c r="J45" s="102" t="str">
        <f aca="false">IF(VLOOKUP($D45,'[2]5. Demanda'!$D$4:$J$357,7,FALSE())=0,"",VLOOKUP($D45,'[2]5. Demanda'!$D$4:$J$357,7,FALSE()))</f>
        <v/>
      </c>
      <c r="K45" s="79" t="n">
        <v>1.61197164707868</v>
      </c>
      <c r="L45" s="79" t="n">
        <v>0.686697046117658</v>
      </c>
      <c r="M45" s="79" t="n">
        <v>2.12845447713277</v>
      </c>
      <c r="N45" s="79" t="n">
        <v>0.906717810385678</v>
      </c>
      <c r="O45" s="79" t="n">
        <v>2.4520342342182</v>
      </c>
      <c r="P45" s="79" t="n">
        <v>1.04456220968186</v>
      </c>
      <c r="Q45" s="80"/>
      <c r="R45" s="80"/>
      <c r="S45" s="80"/>
      <c r="T45" s="80"/>
      <c r="U45" s="80"/>
      <c r="V45" s="80"/>
      <c r="W45" s="80"/>
      <c r="X45" s="80"/>
      <c r="Y45" s="80"/>
      <c r="Z45" s="75"/>
    </row>
    <row r="46" customFormat="false" ht="15.75" hidden="false" customHeight="false" outlineLevel="0" collapsed="false">
      <c r="A46" s="52" t="e">
        <f aca="false">VLOOKUP(#REF!,'[1]Listas Desplegables'!$H$3:$J$7,2,FALSE())</f>
        <v>#VALUE!</v>
      </c>
      <c r="B46" s="52" t="e">
        <f aca="false">VLOOKUP(#REF!,'[1]Listas Desplegables'!$H$3:$J$7,3,FALSE())</f>
        <v>#VALUE!</v>
      </c>
      <c r="C46" s="76" t="n">
        <v>41</v>
      </c>
      <c r="D46" s="78" t="s">
        <v>1356</v>
      </c>
      <c r="E46" s="63" t="s">
        <v>1355</v>
      </c>
      <c r="F46" s="101" t="n">
        <f aca="false">VLOOKUP(D46,'[2]5. Demanda'!$D$4:$F$357,3,FALSE())</f>
        <v>13.8</v>
      </c>
      <c r="G46" s="63" t="str">
        <f aca="false">VLOOKUP(D46,'[2]5. Demanda'!D$4:J$357,4,FALSE())</f>
        <v>residencial</v>
      </c>
      <c r="H46" s="63" t="str">
        <f aca="false">VLOOKUP($D46,'[2]5. Demanda'!$D$4:$J$357,5,FALSE())</f>
        <v>Florida 115 kV
Rio Frio 115 kV</v>
      </c>
      <c r="I46" s="63" t="str">
        <f aca="false">VLOOKUP($D46,'[2]5. Demanda'!$D$4:$J$357,6,FALSE())</f>
        <v>Sí</v>
      </c>
      <c r="J46" s="102" t="str">
        <f aca="false">IF(VLOOKUP($D46,'[2]5. Demanda'!$D$4:$J$357,7,FALSE())=0,"",VLOOKUP($D46,'[2]5. Demanda'!$D$4:$J$357,7,FALSE()))</f>
        <v/>
      </c>
      <c r="K46" s="79" t="n">
        <v>1.68489149201647</v>
      </c>
      <c r="L46" s="79" t="n">
        <v>0.717760769982087</v>
      </c>
      <c r="M46" s="79" t="n">
        <v>2.92512835485954</v>
      </c>
      <c r="N46" s="79" t="n">
        <v>1.2460994611396</v>
      </c>
      <c r="O46" s="79" t="n">
        <v>3.10463541111818</v>
      </c>
      <c r="P46" s="79" t="n">
        <v>1.32256914688964</v>
      </c>
      <c r="Q46" s="80"/>
      <c r="R46" s="80"/>
      <c r="S46" s="80"/>
      <c r="T46" s="80"/>
      <c r="U46" s="80"/>
      <c r="V46" s="80"/>
      <c r="W46" s="80"/>
      <c r="X46" s="80"/>
      <c r="Y46" s="80"/>
      <c r="Z46" s="75"/>
    </row>
    <row r="47" customFormat="false" ht="15.75" hidden="false" customHeight="false" outlineLevel="0" collapsed="false">
      <c r="A47" s="52" t="e">
        <f aca="false">VLOOKUP(#REF!,'[1]Listas Desplegables'!$H$3:$J$7,2,FALSE())</f>
        <v>#VALUE!</v>
      </c>
      <c r="B47" s="52" t="e">
        <f aca="false">VLOOKUP(#REF!,'[1]Listas Desplegables'!$H$3:$J$7,3,FALSE())</f>
        <v>#VALUE!</v>
      </c>
      <c r="C47" s="69" t="n">
        <v>42</v>
      </c>
      <c r="D47" s="78" t="s">
        <v>1357</v>
      </c>
      <c r="E47" s="63" t="s">
        <v>1355</v>
      </c>
      <c r="F47" s="101" t="n">
        <f aca="false">VLOOKUP(D47,'[2]5. Demanda'!$D$4:$F$357,3,FALSE())</f>
        <v>13.8</v>
      </c>
      <c r="G47" s="63" t="str">
        <f aca="false">VLOOKUP(D47,'[2]5. Demanda'!D$4:J$357,4,FALSE())</f>
        <v>residencial</v>
      </c>
      <c r="H47" s="63" t="str">
        <f aca="false">VLOOKUP($D47,'[2]5. Demanda'!$D$4:$J$357,5,FALSE())</f>
        <v>Florida 115 kV
Rio Frio 115 kV</v>
      </c>
      <c r="I47" s="63" t="str">
        <f aca="false">VLOOKUP($D47,'[2]5. Demanda'!$D$4:$J$357,6,FALSE())</f>
        <v>Sí</v>
      </c>
      <c r="J47" s="102" t="str">
        <f aca="false">IF(VLOOKUP($D47,'[2]5. Demanda'!$D$4:$J$357,7,FALSE())=0,"",VLOOKUP($D47,'[2]5. Demanda'!$D$4:$J$357,7,FALSE()))</f>
        <v/>
      </c>
      <c r="K47" s="79" t="n">
        <v>1.39402976032466</v>
      </c>
      <c r="L47" s="79" t="n">
        <v>0.593854191139087</v>
      </c>
      <c r="M47" s="79" t="n">
        <v>2.07272743389893</v>
      </c>
      <c r="N47" s="79" t="n">
        <v>0.882978189377516</v>
      </c>
      <c r="O47" s="79" t="n">
        <v>2.32780646214782</v>
      </c>
      <c r="P47" s="79" t="n">
        <v>0.991641400385299</v>
      </c>
      <c r="Q47" s="80"/>
      <c r="R47" s="80"/>
      <c r="S47" s="80"/>
      <c r="T47" s="80"/>
      <c r="U47" s="80"/>
      <c r="V47" s="80"/>
      <c r="W47" s="80"/>
      <c r="X47" s="80"/>
      <c r="Y47" s="80"/>
      <c r="Z47" s="75"/>
    </row>
    <row r="48" customFormat="false" ht="15.75" hidden="false" customHeight="false" outlineLevel="0" collapsed="false">
      <c r="A48" s="52" t="e">
        <f aca="false">VLOOKUP(#REF!,'[1]Listas Desplegables'!$H$3:$J$7,2,FALSE())</f>
        <v>#VALUE!</v>
      </c>
      <c r="B48" s="52" t="e">
        <f aca="false">VLOOKUP(#REF!,'[1]Listas Desplegables'!$H$3:$J$7,3,FALSE())</f>
        <v>#VALUE!</v>
      </c>
      <c r="C48" s="69" t="n">
        <v>43</v>
      </c>
      <c r="D48" s="78" t="s">
        <v>1358</v>
      </c>
      <c r="E48" s="63" t="s">
        <v>1355</v>
      </c>
      <c r="F48" s="101" t="n">
        <f aca="false">VLOOKUP(D48,'[2]5. Demanda'!$D$4:$F$357,3,FALSE())</f>
        <v>13.8</v>
      </c>
      <c r="G48" s="63" t="str">
        <f aca="false">VLOOKUP(D48,'[2]5. Demanda'!D$4:J$357,4,FALSE())</f>
        <v>residencial</v>
      </c>
      <c r="H48" s="63" t="str">
        <f aca="false">VLOOKUP($D48,'[2]5. Demanda'!$D$4:$J$357,5,FALSE())</f>
        <v>Florida 115 kV
Rio Frio 115 kV</v>
      </c>
      <c r="I48" s="63" t="str">
        <f aca="false">VLOOKUP($D48,'[2]5. Demanda'!$D$4:$J$357,6,FALSE())</f>
        <v>Sí</v>
      </c>
      <c r="J48" s="102" t="str">
        <f aca="false">IF(VLOOKUP($D48,'[2]5. Demanda'!$D$4:$J$357,7,FALSE())=0,"",VLOOKUP($D48,'[2]5. Demanda'!$D$4:$J$357,7,FALSE()))</f>
        <v/>
      </c>
      <c r="K48" s="79" t="n">
        <v>2.13330045873253</v>
      </c>
      <c r="L48" s="79" t="n">
        <v>0.908782189902606</v>
      </c>
      <c r="M48" s="79" t="n">
        <v>2.93079589227184</v>
      </c>
      <c r="N48" s="79" t="n">
        <v>1.24851382196712</v>
      </c>
      <c r="O48" s="79" t="n">
        <v>3.36376501821134</v>
      </c>
      <c r="P48" s="79" t="n">
        <v>1.4329578972594</v>
      </c>
      <c r="Q48" s="80"/>
      <c r="R48" s="80"/>
      <c r="S48" s="80"/>
      <c r="T48" s="80"/>
      <c r="U48" s="80"/>
      <c r="V48" s="80"/>
      <c r="W48" s="80"/>
      <c r="X48" s="80"/>
      <c r="Y48" s="80"/>
      <c r="Z48" s="75"/>
    </row>
    <row r="49" customFormat="false" ht="15.75" hidden="false" customHeight="false" outlineLevel="0" collapsed="false">
      <c r="A49" s="52" t="e">
        <f aca="false">VLOOKUP(#REF!,'[1]Listas Desplegables'!$H$3:$J$7,2,FALSE())</f>
        <v>#VALUE!</v>
      </c>
      <c r="B49" s="52" t="e">
        <f aca="false">VLOOKUP(#REF!,'[1]Listas Desplegables'!$H$3:$J$7,3,FALSE())</f>
        <v>#VALUE!</v>
      </c>
      <c r="C49" s="69" t="n">
        <v>44</v>
      </c>
      <c r="D49" s="78" t="s">
        <v>1359</v>
      </c>
      <c r="E49" s="63" t="s">
        <v>1355</v>
      </c>
      <c r="F49" s="101" t="n">
        <f aca="false">VLOOKUP(D49,'[2]5. Demanda'!$D$4:$F$357,3,FALSE())</f>
        <v>13.8</v>
      </c>
      <c r="G49" s="63" t="str">
        <f aca="false">VLOOKUP(D49,'[2]5. Demanda'!D$4:J$357,4,FALSE())</f>
        <v>residencial</v>
      </c>
      <c r="H49" s="63" t="str">
        <f aca="false">VLOOKUP($D49,'[2]5. Demanda'!$D$4:$J$357,5,FALSE())</f>
        <v>Florida 115 kV
Rio Frio 115 kV</v>
      </c>
      <c r="I49" s="63" t="str">
        <f aca="false">VLOOKUP($D49,'[2]5. Demanda'!$D$4:$J$357,6,FALSE())</f>
        <v>Sí</v>
      </c>
      <c r="J49" s="102" t="str">
        <f aca="false">IF(VLOOKUP($D49,'[2]5. Demanda'!$D$4:$J$357,7,FALSE())=0,"",VLOOKUP($D49,'[2]5. Demanda'!$D$4:$J$357,7,FALSE()))</f>
        <v/>
      </c>
      <c r="K49" s="79" t="n">
        <v>0.905047329412203</v>
      </c>
      <c r="L49" s="79" t="n">
        <v>0.385548547848435</v>
      </c>
      <c r="M49" s="79" t="n">
        <v>1.36666230090799</v>
      </c>
      <c r="N49" s="79" t="n">
        <v>0.582195702247403</v>
      </c>
      <c r="O49" s="79" t="n">
        <v>1.43954493679805</v>
      </c>
      <c r="P49" s="79" t="n">
        <v>0.613243575123873</v>
      </c>
      <c r="Q49" s="80"/>
      <c r="R49" s="80"/>
      <c r="S49" s="80"/>
      <c r="T49" s="80"/>
      <c r="U49" s="80"/>
      <c r="V49" s="80"/>
      <c r="W49" s="80"/>
      <c r="X49" s="80"/>
      <c r="Y49" s="80"/>
      <c r="Z49" s="75"/>
    </row>
    <row r="50" customFormat="false" ht="15.75" hidden="false" customHeight="false" outlineLevel="0" collapsed="false">
      <c r="A50" s="52" t="e">
        <f aca="false">VLOOKUP(#REF!,'[1]Listas Desplegables'!$H$3:$J$7,2,FALSE())</f>
        <v>#VALUE!</v>
      </c>
      <c r="B50" s="52" t="e">
        <f aca="false">VLOOKUP(#REF!,'[1]Listas Desplegables'!$H$3:$J$7,3,FALSE())</f>
        <v>#VALUE!</v>
      </c>
      <c r="C50" s="69" t="n">
        <v>45</v>
      </c>
      <c r="D50" s="78" t="s">
        <v>1360</v>
      </c>
      <c r="E50" s="63" t="s">
        <v>1355</v>
      </c>
      <c r="F50" s="101" t="n">
        <f aca="false">VLOOKUP(D50,'[2]5. Demanda'!$D$4:$F$357,3,FALSE())</f>
        <v>13.8</v>
      </c>
      <c r="G50" s="63" t="str">
        <f aca="false">VLOOKUP(D50,'[2]5. Demanda'!D$4:J$357,4,FALSE())</f>
        <v>residencial</v>
      </c>
      <c r="H50" s="63" t="str">
        <f aca="false">VLOOKUP($D50,'[2]5. Demanda'!$D$4:$J$357,5,FALSE())</f>
        <v>Florida 115 kV
Rio Frio 115 kV</v>
      </c>
      <c r="I50" s="63" t="str">
        <f aca="false">VLOOKUP($D50,'[2]5. Demanda'!$D$4:$J$357,6,FALSE())</f>
        <v>Sí</v>
      </c>
      <c r="J50" s="102" t="str">
        <f aca="false">IF(VLOOKUP($D50,'[2]5. Demanda'!$D$4:$J$357,7,FALSE())=0,"",VLOOKUP($D50,'[2]5. Demanda'!$D$4:$J$357,7,FALSE()))</f>
        <v/>
      </c>
      <c r="K50" s="79" t="n">
        <v>1.75530948819099</v>
      </c>
      <c r="L50" s="79" t="n">
        <v>0.747758710736316</v>
      </c>
      <c r="M50" s="79" t="n">
        <v>3.36500016571518</v>
      </c>
      <c r="N50" s="79" t="n">
        <v>1.4334840678927</v>
      </c>
      <c r="O50" s="79" t="n">
        <v>3.27293815014558</v>
      </c>
      <c r="P50" s="79" t="n">
        <v>1.39426581348615</v>
      </c>
      <c r="Q50" s="80"/>
      <c r="R50" s="80"/>
      <c r="S50" s="80"/>
      <c r="T50" s="80"/>
      <c r="U50" s="80"/>
      <c r="V50" s="80"/>
      <c r="W50" s="80"/>
      <c r="X50" s="80"/>
      <c r="Y50" s="80"/>
      <c r="Z50" s="75"/>
    </row>
    <row r="51" customFormat="false" ht="15.75" hidden="false" customHeight="false" outlineLevel="0" collapsed="false">
      <c r="A51" s="52" t="e">
        <f aca="false">VLOOKUP(#REF!,'[1]Listas Desplegables'!$H$3:$J$7,2,FALSE())</f>
        <v>#VALUE!</v>
      </c>
      <c r="B51" s="52" t="e">
        <f aca="false">VLOOKUP(#REF!,'[1]Listas Desplegables'!$H$3:$J$7,3,FALSE())</f>
        <v>#VALUE!</v>
      </c>
      <c r="C51" s="69" t="n">
        <v>46</v>
      </c>
      <c r="D51" s="78" t="s">
        <v>1361</v>
      </c>
      <c r="E51" s="63" t="s">
        <v>1355</v>
      </c>
      <c r="F51" s="101" t="n">
        <f aca="false">VLOOKUP(D51,'[2]5. Demanda'!$D$4:$F$357,3,FALSE())</f>
        <v>13.8</v>
      </c>
      <c r="G51" s="63" t="str">
        <f aca="false">VLOOKUP(D51,'[2]5. Demanda'!D$4:J$357,4,FALSE())</f>
        <v>residencial</v>
      </c>
      <c r="H51" s="63" t="str">
        <f aca="false">VLOOKUP($D51,'[2]5. Demanda'!$D$4:$J$357,5,FALSE())</f>
        <v>Florida 115 kV
Rio Frio 115 kV</v>
      </c>
      <c r="I51" s="63" t="str">
        <f aca="false">VLOOKUP($D51,'[2]5. Demanda'!$D$4:$J$357,6,FALSE())</f>
        <v>Sí</v>
      </c>
      <c r="J51" s="102" t="str">
        <f aca="false">IF(VLOOKUP($D51,'[2]5. Demanda'!$D$4:$J$357,7,FALSE())=0,"",VLOOKUP($D51,'[2]5. Demanda'!$D$4:$J$357,7,FALSE()))</f>
        <v/>
      </c>
      <c r="K51" s="79" t="n">
        <v>1.36150998602111</v>
      </c>
      <c r="L51" s="79" t="n">
        <v>0.580000825296622</v>
      </c>
      <c r="M51" s="79" t="n">
        <v>1.87164118588658</v>
      </c>
      <c r="N51" s="79" t="n">
        <v>0.797315806434734</v>
      </c>
      <c r="O51" s="79" t="n">
        <v>2.20948612631752</v>
      </c>
      <c r="P51" s="79" t="n">
        <v>0.941237148388958</v>
      </c>
      <c r="Q51" s="80"/>
      <c r="R51" s="80"/>
      <c r="S51" s="80"/>
      <c r="T51" s="80"/>
      <c r="U51" s="80"/>
      <c r="V51" s="80"/>
      <c r="W51" s="80"/>
      <c r="X51" s="80"/>
      <c r="Y51" s="80"/>
      <c r="Z51" s="75"/>
    </row>
    <row r="52" customFormat="false" ht="15.75" hidden="false" customHeight="false" outlineLevel="0" collapsed="false">
      <c r="A52" s="52" t="e">
        <f aca="false">VLOOKUP(#REF!,'[1]Listas Desplegables'!$H$3:$J$7,2,FALSE())</f>
        <v>#VALUE!</v>
      </c>
      <c r="B52" s="52" t="e">
        <f aca="false">VLOOKUP(#REF!,'[1]Listas Desplegables'!$H$3:$J$7,3,FALSE())</f>
        <v>#VALUE!</v>
      </c>
      <c r="C52" s="69" t="n">
        <v>47</v>
      </c>
      <c r="D52" s="78" t="s">
        <v>1362</v>
      </c>
      <c r="E52" s="63" t="s">
        <v>1355</v>
      </c>
      <c r="F52" s="101" t="n">
        <f aca="false">VLOOKUP(D52,'[2]5. Demanda'!$D$4:$F$357,3,FALSE())</f>
        <v>13.8</v>
      </c>
      <c r="G52" s="63" t="str">
        <f aca="false">VLOOKUP(D52,'[2]5. Demanda'!D$4:J$357,4,FALSE())</f>
        <v>Industrial</v>
      </c>
      <c r="H52" s="63" t="str">
        <f aca="false">VLOOKUP($D52,'[2]5. Demanda'!$D$4:$J$357,5,FALSE())</f>
        <v>Florida 115 kV
Rio Frio 115 kV</v>
      </c>
      <c r="I52" s="63" t="str">
        <f aca="false">VLOOKUP($D52,'[2]5. Demanda'!$D$4:$J$357,6,FALSE())</f>
        <v>Sí</v>
      </c>
      <c r="J52" s="102" t="str">
        <f aca="false">IF(VLOOKUP($D52,'[2]5. Demanda'!$D$4:$J$357,7,FALSE())=0,"",VLOOKUP($D52,'[2]5. Demanda'!$D$4:$J$357,7,FALSE()))</f>
        <v/>
      </c>
      <c r="K52" s="79" t="n">
        <v>0</v>
      </c>
      <c r="L52" s="79" t="n">
        <v>0</v>
      </c>
      <c r="M52" s="79" t="n">
        <v>0</v>
      </c>
      <c r="N52" s="79" t="n">
        <v>0</v>
      </c>
      <c r="O52" s="79" t="n">
        <v>0</v>
      </c>
      <c r="P52" s="79" t="n">
        <v>0</v>
      </c>
      <c r="Q52" s="80"/>
      <c r="R52" s="80"/>
      <c r="S52" s="80"/>
      <c r="T52" s="80"/>
      <c r="U52" s="80"/>
      <c r="V52" s="80"/>
      <c r="W52" s="80"/>
      <c r="X52" s="80"/>
      <c r="Y52" s="80"/>
      <c r="Z52" s="75"/>
    </row>
    <row r="53" customFormat="false" ht="15.75" hidden="false" customHeight="false" outlineLevel="0" collapsed="false">
      <c r="A53" s="52" t="e">
        <f aca="false">VLOOKUP(#REF!,'[1]Listas Desplegables'!$H$3:$J$7,2,FALSE())</f>
        <v>#VALUE!</v>
      </c>
      <c r="B53" s="52" t="e">
        <f aca="false">VLOOKUP(#REF!,'[1]Listas Desplegables'!$H$3:$J$7,3,FALSE())</f>
        <v>#VALUE!</v>
      </c>
      <c r="C53" s="69" t="n">
        <v>48</v>
      </c>
      <c r="D53" s="78" t="s">
        <v>1363</v>
      </c>
      <c r="E53" s="63" t="s">
        <v>1355</v>
      </c>
      <c r="F53" s="101" t="n">
        <f aca="false">VLOOKUP(D53,'[2]5. Demanda'!$D$4:$F$357,3,FALSE())</f>
        <v>13.8</v>
      </c>
      <c r="G53" s="63" t="str">
        <f aca="false">VLOOKUP(D53,'[2]5. Demanda'!D$4:J$357,4,FALSE())</f>
        <v>Industrial</v>
      </c>
      <c r="H53" s="63" t="str">
        <f aca="false">VLOOKUP($D53,'[2]5. Demanda'!$D$4:$J$357,5,FALSE())</f>
        <v>Florida 115 kV
Rio Frio 115 kV</v>
      </c>
      <c r="I53" s="63" t="str">
        <f aca="false">VLOOKUP($D53,'[2]5. Demanda'!$D$4:$J$357,6,FALSE())</f>
        <v>Sí</v>
      </c>
      <c r="J53" s="102" t="str">
        <f aca="false">IF(VLOOKUP($D53,'[2]5. Demanda'!$D$4:$J$357,7,FALSE())=0,"",VLOOKUP($D53,'[2]5. Demanda'!$D$4:$J$357,7,FALSE()))</f>
        <v/>
      </c>
      <c r="K53" s="79" t="n">
        <v>0.105817964282229</v>
      </c>
      <c r="L53" s="79" t="n">
        <v>0.0450782640193943</v>
      </c>
      <c r="M53" s="79" t="n">
        <v>0.299800452560924</v>
      </c>
      <c r="N53" s="79" t="n">
        <v>0.127714457987781</v>
      </c>
      <c r="O53" s="79" t="n">
        <v>0.253664706115527</v>
      </c>
      <c r="P53" s="79" t="n">
        <v>0.108060712301929</v>
      </c>
      <c r="Q53" s="80"/>
      <c r="R53" s="80"/>
      <c r="S53" s="80"/>
      <c r="T53" s="80"/>
      <c r="U53" s="80"/>
      <c r="V53" s="80"/>
      <c r="W53" s="80"/>
      <c r="X53" s="80"/>
      <c r="Y53" s="80"/>
      <c r="Z53" s="75"/>
    </row>
    <row r="54" customFormat="false" ht="15.75" hidden="false" customHeight="false" outlineLevel="0" collapsed="false">
      <c r="A54" s="52" t="e">
        <f aca="false">VLOOKUP(#REF!,'[1]Listas Desplegables'!$H$3:$J$7,2,FALSE())</f>
        <v>#VALUE!</v>
      </c>
      <c r="B54" s="52" t="e">
        <f aca="false">VLOOKUP(#REF!,'[1]Listas Desplegables'!$H$3:$J$7,3,FALSE())</f>
        <v>#VALUE!</v>
      </c>
      <c r="C54" s="69" t="n">
        <v>49</v>
      </c>
      <c r="D54" s="78" t="s">
        <v>1364</v>
      </c>
      <c r="E54" s="63" t="s">
        <v>1365</v>
      </c>
      <c r="F54" s="101" t="n">
        <f aca="false">VLOOKUP(D54,'[2]5. Demanda'!$D$4:$F$357,3,FALSE())</f>
        <v>13.8</v>
      </c>
      <c r="G54" s="63" t="str">
        <f aca="false">VLOOKUP(D54,'[2]5. Demanda'!D$4:J$357,4,FALSE())</f>
        <v>residencial</v>
      </c>
      <c r="H54" s="63" t="str">
        <f aca="false">VLOOKUP($D54,'[2]5. Demanda'!$D$4:$J$357,5,FALSE())</f>
        <v>Lizama 115 kV</v>
      </c>
      <c r="I54" s="63" t="str">
        <f aca="false">VLOOKUP($D54,'[2]5. Demanda'!$D$4:$J$357,6,FALSE())</f>
        <v>Sí</v>
      </c>
      <c r="J54" s="102" t="str">
        <f aca="false">IF(VLOOKUP($D54,'[2]5. Demanda'!$D$4:$J$357,7,FALSE())=0,"",VLOOKUP($D54,'[2]5. Demanda'!$D$4:$J$357,7,FALSE()))</f>
        <v/>
      </c>
      <c r="K54" s="79" t="n">
        <v>0.217846721824905</v>
      </c>
      <c r="L54" s="79" t="n">
        <v>0.0928023148885297</v>
      </c>
      <c r="M54" s="79" t="n">
        <v>0.365716962165984</v>
      </c>
      <c r="N54" s="79" t="n">
        <v>0.155794773493461</v>
      </c>
      <c r="O54" s="79" t="n">
        <v>0.34984698397691</v>
      </c>
      <c r="P54" s="79" t="n">
        <v>0.149034191094795</v>
      </c>
      <c r="Q54" s="80"/>
      <c r="R54" s="80"/>
      <c r="S54" s="80"/>
      <c r="T54" s="80"/>
      <c r="U54" s="80"/>
      <c r="V54" s="80"/>
      <c r="W54" s="80"/>
      <c r="X54" s="80"/>
      <c r="Y54" s="80"/>
      <c r="Z54" s="75"/>
    </row>
    <row r="55" customFormat="false" ht="15.75" hidden="false" customHeight="false" outlineLevel="0" collapsed="false">
      <c r="A55" s="52" t="e">
        <f aca="false">VLOOKUP(#REF!,'[1]Listas Desplegables'!$H$3:$J$7,2,FALSE())</f>
        <v>#VALUE!</v>
      </c>
      <c r="B55" s="52" t="e">
        <f aca="false">VLOOKUP(#REF!,'[1]Listas Desplegables'!$H$3:$J$7,3,FALSE())</f>
        <v>#VALUE!</v>
      </c>
      <c r="C55" s="69" t="n">
        <v>50</v>
      </c>
      <c r="D55" s="78" t="s">
        <v>1366</v>
      </c>
      <c r="E55" s="63" t="s">
        <v>1365</v>
      </c>
      <c r="F55" s="101" t="n">
        <f aca="false">VLOOKUP(D55,'[2]5. Demanda'!$D$4:$F$357,3,FALSE())</f>
        <v>13.8</v>
      </c>
      <c r="G55" s="63" t="str">
        <f aca="false">VLOOKUP(D55,'[2]5. Demanda'!D$4:J$357,4,FALSE())</f>
        <v>residencial</v>
      </c>
      <c r="H55" s="63" t="str">
        <f aca="false">VLOOKUP($D55,'[2]5. Demanda'!$D$4:$J$357,5,FALSE())</f>
        <v>Lizama 115 kV</v>
      </c>
      <c r="I55" s="63" t="str">
        <f aca="false">VLOOKUP($D55,'[2]5. Demanda'!$D$4:$J$357,6,FALSE())</f>
        <v>Sí</v>
      </c>
      <c r="J55" s="102" t="str">
        <f aca="false">IF(VLOOKUP($D55,'[2]5. Demanda'!$D$4:$J$357,7,FALSE())=0,"",VLOOKUP($D55,'[2]5. Demanda'!$D$4:$J$357,7,FALSE()))</f>
        <v/>
      </c>
      <c r="K55" s="79" t="n">
        <v>0.520905492389445</v>
      </c>
      <c r="L55" s="79" t="n">
        <v>0.221904810533455</v>
      </c>
      <c r="M55" s="79" t="n">
        <v>0.633114419912363</v>
      </c>
      <c r="N55" s="79" t="n">
        <v>0.269705613492775</v>
      </c>
      <c r="O55" s="79" t="n">
        <v>0.76444777697216</v>
      </c>
      <c r="P55" s="79" t="n">
        <v>0.325653389319428</v>
      </c>
      <c r="Q55" s="80"/>
      <c r="R55" s="80"/>
      <c r="S55" s="80"/>
      <c r="T55" s="80"/>
      <c r="U55" s="80"/>
      <c r="V55" s="80"/>
      <c r="W55" s="80"/>
      <c r="X55" s="80"/>
      <c r="Y55" s="80"/>
      <c r="Z55" s="75"/>
    </row>
    <row r="56" customFormat="false" ht="15.75" hidden="false" customHeight="false" outlineLevel="0" collapsed="false">
      <c r="C56" s="69" t="n">
        <v>51</v>
      </c>
      <c r="D56" s="78" t="s">
        <v>1367</v>
      </c>
      <c r="E56" s="63" t="s">
        <v>1365</v>
      </c>
      <c r="F56" s="101" t="n">
        <f aca="false">VLOOKUP(D56,'[2]5. Demanda'!$D$4:$F$357,3,FALSE())</f>
        <v>13.8</v>
      </c>
      <c r="G56" s="63" t="str">
        <f aca="false">VLOOKUP(D56,'[2]5. Demanda'!D$4:J$357,4,FALSE())</f>
        <v>residencial</v>
      </c>
      <c r="H56" s="63" t="str">
        <f aca="false">VLOOKUP($D56,'[2]5. Demanda'!$D$4:$J$357,5,FALSE())</f>
        <v>Lizama 115 kV</v>
      </c>
      <c r="I56" s="63" t="str">
        <f aca="false">VLOOKUP($D56,'[2]5. Demanda'!$D$4:$J$357,6,FALSE())</f>
        <v>Sí</v>
      </c>
      <c r="J56" s="102" t="str">
        <f aca="false">IF(VLOOKUP($D56,'[2]5. Demanda'!$D$4:$J$357,7,FALSE())=0,"",VLOOKUP($D56,'[2]5. Demanda'!$D$4:$J$357,7,FALSE()))</f>
        <v/>
      </c>
      <c r="K56" s="79" t="n">
        <v>0.129284950327296</v>
      </c>
      <c r="L56" s="79" t="n">
        <v>0.0550751582126859</v>
      </c>
      <c r="M56" s="79" t="n">
        <v>0.189312363691211</v>
      </c>
      <c r="N56" s="79" t="n">
        <v>0.0806467292249844</v>
      </c>
      <c r="O56" s="79" t="n">
        <v>0.146290706481077</v>
      </c>
      <c r="P56" s="79" t="n">
        <v>0.0623195799982442</v>
      </c>
      <c r="Q56" s="80"/>
      <c r="R56" s="80"/>
      <c r="S56" s="80"/>
      <c r="T56" s="80"/>
      <c r="U56" s="80"/>
      <c r="V56" s="80"/>
      <c r="W56" s="80"/>
      <c r="X56" s="80"/>
      <c r="Y56" s="80"/>
      <c r="Z56" s="75"/>
    </row>
    <row r="57" customFormat="false" ht="15.75" hidden="false" customHeight="false" outlineLevel="0" collapsed="false">
      <c r="C57" s="69" t="n">
        <v>52</v>
      </c>
      <c r="D57" s="78" t="s">
        <v>1368</v>
      </c>
      <c r="E57" s="63" t="s">
        <v>1365</v>
      </c>
      <c r="F57" s="101" t="n">
        <f aca="false">VLOOKUP(D57,'[2]5. Demanda'!$D$4:$F$357,3,FALSE())</f>
        <v>13.8</v>
      </c>
      <c r="G57" s="63" t="str">
        <f aca="false">VLOOKUP(D57,'[2]5. Demanda'!D$4:J$357,4,FALSE())</f>
        <v>residencial</v>
      </c>
      <c r="H57" s="63" t="str">
        <f aca="false">VLOOKUP($D57,'[2]5. Demanda'!$D$4:$J$357,5,FALSE())</f>
        <v>Lizama 115 kV</v>
      </c>
      <c r="I57" s="63" t="str">
        <f aca="false">VLOOKUP($D57,'[2]5. Demanda'!$D$4:$J$357,6,FALSE())</f>
        <v>Sí</v>
      </c>
      <c r="J57" s="102" t="str">
        <f aca="false">IF(VLOOKUP($D57,'[2]5. Demanda'!$D$4:$J$357,7,FALSE())=0,"",VLOOKUP($D57,'[2]5. Demanda'!$D$4:$J$357,7,FALSE()))</f>
        <v/>
      </c>
      <c r="K57" s="79" t="n">
        <v>0.0389833373468168</v>
      </c>
      <c r="L57" s="79" t="n">
        <v>0.0166068321687798</v>
      </c>
      <c r="M57" s="79" t="n">
        <v>0.0574474149102401</v>
      </c>
      <c r="N57" s="79" t="n">
        <v>0.0244724962733987</v>
      </c>
      <c r="O57" s="79" t="n">
        <v>0.0771944924808066</v>
      </c>
      <c r="P57" s="79" t="n">
        <v>0.0328847160923633</v>
      </c>
      <c r="Q57" s="80"/>
      <c r="R57" s="80"/>
      <c r="S57" s="80"/>
      <c r="T57" s="80"/>
      <c r="U57" s="80"/>
      <c r="V57" s="80"/>
      <c r="W57" s="80"/>
      <c r="X57" s="80"/>
      <c r="Y57" s="80"/>
      <c r="Z57" s="75"/>
    </row>
    <row r="58" customFormat="false" ht="15.75" hidden="false" customHeight="false" outlineLevel="0" collapsed="false">
      <c r="C58" s="69" t="n">
        <v>53</v>
      </c>
      <c r="D58" s="78" t="s">
        <v>1369</v>
      </c>
      <c r="E58" s="63" t="s">
        <v>1370</v>
      </c>
      <c r="F58" s="101" t="n">
        <f aca="false">VLOOKUP(D58,'[2]5. Demanda'!$D$4:$F$357,3,FALSE())</f>
        <v>13.8</v>
      </c>
      <c r="G58" s="63" t="str">
        <f aca="false">VLOOKUP(D58,'[2]5. Demanda'!D$4:J$357,4,FALSE())</f>
        <v>residencial</v>
      </c>
      <c r="H58" s="63" t="str">
        <f aca="false">VLOOKUP($D58,'[2]5. Demanda'!$D$4:$J$357,5,FALSE())</f>
        <v>Palos 115 kV</v>
      </c>
      <c r="I58" s="63" t="str">
        <f aca="false">VLOOKUP($D58,'[2]5. Demanda'!$D$4:$J$357,6,FALSE())</f>
        <v>Sí</v>
      </c>
      <c r="J58" s="102" t="str">
        <f aca="false">IF(VLOOKUP($D58,'[2]5. Demanda'!$D$4:$J$357,7,FALSE())=0,"",VLOOKUP($D58,'[2]5. Demanda'!$D$4:$J$357,7,FALSE()))</f>
        <v/>
      </c>
      <c r="K58" s="79" t="n">
        <v>0.227074895402425</v>
      </c>
      <c r="L58" s="79" t="n">
        <v>0.0967335003707482</v>
      </c>
      <c r="M58" s="79" t="n">
        <v>0.289260692828425</v>
      </c>
      <c r="N58" s="79" t="n">
        <v>0.123224539143232</v>
      </c>
      <c r="O58" s="79" t="n">
        <v>0.354356811655472</v>
      </c>
      <c r="P58" s="79" t="n">
        <v>0.150955369640944</v>
      </c>
      <c r="Q58" s="80"/>
      <c r="R58" s="80"/>
      <c r="S58" s="80"/>
      <c r="T58" s="80"/>
      <c r="U58" s="80"/>
      <c r="V58" s="80"/>
      <c r="W58" s="80"/>
      <c r="X58" s="80"/>
      <c r="Y58" s="80"/>
      <c r="Z58" s="75"/>
    </row>
    <row r="59" customFormat="false" ht="15.75" hidden="false" customHeight="false" outlineLevel="0" collapsed="false">
      <c r="C59" s="69" t="n">
        <v>54</v>
      </c>
      <c r="D59" s="78" t="s">
        <v>1371</v>
      </c>
      <c r="E59" s="63" t="s">
        <v>1370</v>
      </c>
      <c r="F59" s="101" t="n">
        <f aca="false">VLOOKUP(D59,'[2]5. Demanda'!$D$4:$F$357,3,FALSE())</f>
        <v>13.8</v>
      </c>
      <c r="G59" s="63" t="str">
        <f aca="false">VLOOKUP(D59,'[2]5. Demanda'!D$4:J$357,4,FALSE())</f>
        <v>residencial</v>
      </c>
      <c r="H59" s="63" t="str">
        <f aca="false">VLOOKUP($D59,'[2]5. Demanda'!$D$4:$J$357,5,FALSE())</f>
        <v>Palos 115 kV</v>
      </c>
      <c r="I59" s="63" t="str">
        <f aca="false">VLOOKUP($D59,'[2]5. Demanda'!$D$4:$J$357,6,FALSE())</f>
        <v>Sí</v>
      </c>
      <c r="J59" s="102" t="str">
        <f aca="false">IF(VLOOKUP($D59,'[2]5. Demanda'!$D$4:$J$357,7,FALSE())=0,"",VLOOKUP($D59,'[2]5. Demanda'!$D$4:$J$357,7,FALSE()))</f>
        <v/>
      </c>
      <c r="K59" s="79" t="n">
        <v>0.225852607491918</v>
      </c>
      <c r="L59" s="79" t="n">
        <v>0.0962128079012674</v>
      </c>
      <c r="M59" s="79" t="n">
        <v>0.260539550586322</v>
      </c>
      <c r="N59" s="79" t="n">
        <v>0.110989383782702</v>
      </c>
      <c r="O59" s="79" t="n">
        <v>0.353642154295076</v>
      </c>
      <c r="P59" s="79" t="n">
        <v>0.150650926880267</v>
      </c>
      <c r="Q59" s="80"/>
      <c r="R59" s="80"/>
      <c r="S59" s="80"/>
      <c r="T59" s="80"/>
      <c r="U59" s="80"/>
      <c r="V59" s="80"/>
      <c r="W59" s="80"/>
      <c r="X59" s="80"/>
      <c r="Y59" s="80"/>
      <c r="Z59" s="75"/>
    </row>
    <row r="60" customFormat="false" ht="15.75" hidden="false" customHeight="false" outlineLevel="0" collapsed="false">
      <c r="C60" s="69" t="n">
        <v>55</v>
      </c>
      <c r="D60" s="78" t="s">
        <v>1372</v>
      </c>
      <c r="E60" s="63" t="s">
        <v>1373</v>
      </c>
      <c r="F60" s="101" t="n">
        <f aca="false">VLOOKUP(D60,'[2]5. Demanda'!$D$4:$F$357,3,FALSE())</f>
        <v>13.8</v>
      </c>
      <c r="G60" s="63" t="str">
        <f aca="false">VLOOKUP(D60,'[2]5. Demanda'!D$4:J$357,4,FALSE())</f>
        <v>residencial</v>
      </c>
      <c r="H60" s="63" t="str">
        <f aca="false">VLOOKUP($D60,'[2]5. Demanda'!$D$4:$J$357,5,FALSE())</f>
        <v>San Alberto 115 kV</v>
      </c>
      <c r="I60" s="63" t="str">
        <f aca="false">VLOOKUP($D60,'[2]5. Demanda'!$D$4:$J$357,6,FALSE())</f>
        <v>Sí</v>
      </c>
      <c r="J60" s="102" t="str">
        <f aca="false">IF(VLOOKUP($D60,'[2]5. Demanda'!$D$4:$J$357,7,FALSE())=0,"",VLOOKUP($D60,'[2]5. Demanda'!$D$4:$J$357,7,FALSE()))</f>
        <v/>
      </c>
      <c r="K60" s="79" t="n">
        <v>0.283761894347776</v>
      </c>
      <c r="L60" s="79" t="n">
        <v>0.120882060799583</v>
      </c>
      <c r="M60" s="79" t="n">
        <v>0.284025771072103</v>
      </c>
      <c r="N60" s="79" t="n">
        <v>0.120994471813426</v>
      </c>
      <c r="O60" s="79" t="n">
        <v>0.345109905322663</v>
      </c>
      <c r="P60" s="79" t="n">
        <v>0.147016204038389</v>
      </c>
      <c r="Q60" s="80"/>
      <c r="R60" s="80"/>
      <c r="S60" s="80"/>
      <c r="T60" s="80"/>
      <c r="U60" s="80"/>
      <c r="V60" s="80"/>
      <c r="W60" s="80"/>
      <c r="X60" s="80"/>
      <c r="Y60" s="80"/>
      <c r="Z60" s="75"/>
    </row>
    <row r="61" customFormat="false" ht="15.75" hidden="false" customHeight="false" outlineLevel="0" collapsed="false">
      <c r="C61" s="69" t="n">
        <v>56</v>
      </c>
      <c r="D61" s="78" t="s">
        <v>1374</v>
      </c>
      <c r="E61" s="63" t="s">
        <v>1373</v>
      </c>
      <c r="F61" s="101" t="n">
        <f aca="false">VLOOKUP(D61,'[2]5. Demanda'!$D$4:$F$357,3,FALSE())</f>
        <v>13.8</v>
      </c>
      <c r="G61" s="63" t="str">
        <f aca="false">VLOOKUP(D61,'[2]5. Demanda'!D$4:J$357,4,FALSE())</f>
        <v>residencial</v>
      </c>
      <c r="H61" s="63" t="str">
        <f aca="false">VLOOKUP($D61,'[2]5. Demanda'!$D$4:$J$357,5,FALSE())</f>
        <v>San Alberto 115 kV</v>
      </c>
      <c r="I61" s="63" t="str">
        <f aca="false">VLOOKUP($D61,'[2]5. Demanda'!$D$4:$J$357,6,FALSE())</f>
        <v>Sí</v>
      </c>
      <c r="J61" s="102" t="str">
        <f aca="false">IF(VLOOKUP($D61,'[2]5. Demanda'!$D$4:$J$357,7,FALSE())=0,"",VLOOKUP($D61,'[2]5. Demanda'!$D$4:$J$357,7,FALSE()))</f>
        <v/>
      </c>
      <c r="K61" s="79" t="n">
        <v>0.0195785568067293</v>
      </c>
      <c r="L61" s="79" t="n">
        <v>0.00834043027418805</v>
      </c>
      <c r="M61" s="79" t="n">
        <v>0.0128553469356631</v>
      </c>
      <c r="N61" s="79" t="n">
        <v>0.00547635486240453</v>
      </c>
      <c r="O61" s="79" t="n">
        <v>0.0220251609948374</v>
      </c>
      <c r="P61" s="79" t="n">
        <v>0.00938267929391347</v>
      </c>
      <c r="Q61" s="80"/>
      <c r="R61" s="80"/>
      <c r="S61" s="80"/>
      <c r="T61" s="80"/>
      <c r="U61" s="80"/>
      <c r="V61" s="80"/>
      <c r="W61" s="80"/>
      <c r="X61" s="80"/>
      <c r="Y61" s="80"/>
      <c r="Z61" s="75"/>
    </row>
    <row r="62" customFormat="false" ht="15.75" hidden="false" customHeight="false" outlineLevel="0" collapsed="false">
      <c r="C62" s="69" t="n">
        <v>57</v>
      </c>
      <c r="D62" s="78" t="s">
        <v>1375</v>
      </c>
      <c r="E62" s="63" t="s">
        <v>1376</v>
      </c>
      <c r="F62" s="101" t="n">
        <f aca="false">VLOOKUP(D62,'[2]5. Demanda'!$D$4:$F$357,3,FALSE())</f>
        <v>13.8</v>
      </c>
      <c r="G62" s="63" t="str">
        <f aca="false">VLOOKUP(D62,'[2]5. Demanda'!D$4:J$357,4,FALSE())</f>
        <v>residencial</v>
      </c>
      <c r="H62" s="63" t="str">
        <f aca="false">VLOOKUP($D62,'[2]5. Demanda'!$D$4:$J$357,5,FALSE())</f>
        <v>Rio Frio 115 kV</v>
      </c>
      <c r="I62" s="63" t="str">
        <f aca="false">VLOOKUP($D62,'[2]5. Demanda'!$D$4:$J$357,6,FALSE())</f>
        <v>Sí</v>
      </c>
      <c r="J62" s="102" t="str">
        <f aca="false">IF(VLOOKUP($D62,'[2]5. Demanda'!$D$4:$J$357,7,FALSE())=0,"",VLOOKUP($D62,'[2]5. Demanda'!$D$4:$J$357,7,FALSE()))</f>
        <v/>
      </c>
      <c r="K62" s="79" t="n">
        <v>0.0277513121969682</v>
      </c>
      <c r="L62" s="79" t="n">
        <v>0.0118220094913473</v>
      </c>
      <c r="M62" s="79" t="n">
        <v>0.0423715521556192</v>
      </c>
      <c r="N62" s="79" t="n">
        <v>0.0180502056332159</v>
      </c>
      <c r="O62" s="79" t="n">
        <v>0.0521962510134372</v>
      </c>
      <c r="P62" s="79" t="n">
        <v>0.0222355098207218</v>
      </c>
      <c r="Q62" s="80"/>
      <c r="R62" s="80"/>
      <c r="S62" s="80"/>
      <c r="T62" s="80"/>
      <c r="U62" s="80"/>
      <c r="V62" s="80"/>
      <c r="W62" s="80"/>
      <c r="X62" s="80"/>
      <c r="Y62" s="80"/>
      <c r="Z62" s="75"/>
    </row>
    <row r="63" customFormat="false" ht="15.75" hidden="false" customHeight="false" outlineLevel="0" collapsed="false">
      <c r="C63" s="69" t="n">
        <v>58</v>
      </c>
      <c r="D63" s="78" t="s">
        <v>1377</v>
      </c>
      <c r="E63" s="63" t="s">
        <v>1376</v>
      </c>
      <c r="F63" s="101" t="n">
        <f aca="false">VLOOKUP(D63,'[2]5. Demanda'!$D$4:$F$357,3,FALSE())</f>
        <v>13.8</v>
      </c>
      <c r="G63" s="63" t="str">
        <f aca="false">VLOOKUP(D63,'[2]5. Demanda'!D$4:J$357,4,FALSE())</f>
        <v>residencial</v>
      </c>
      <c r="H63" s="63" t="str">
        <f aca="false">VLOOKUP($D63,'[2]5. Demanda'!$D$4:$J$357,5,FALSE())</f>
        <v>Rio Frio 115 kV</v>
      </c>
      <c r="I63" s="63" t="str">
        <f aca="false">VLOOKUP($D63,'[2]5. Demanda'!$D$4:$J$357,6,FALSE())</f>
        <v>Sí</v>
      </c>
      <c r="J63" s="102" t="str">
        <f aca="false">IF(VLOOKUP($D63,'[2]5. Demanda'!$D$4:$J$357,7,FALSE())=0,"",VLOOKUP($D63,'[2]5. Demanda'!$D$4:$J$357,7,FALSE()))</f>
        <v/>
      </c>
      <c r="K63" s="79" t="n">
        <v>1.07334264337293</v>
      </c>
      <c r="L63" s="79" t="n">
        <v>0.457242051379786</v>
      </c>
      <c r="M63" s="79" t="n">
        <v>1.40880189439156</v>
      </c>
      <c r="N63" s="79" t="n">
        <v>0.600147093900111</v>
      </c>
      <c r="O63" s="79" t="n">
        <v>1.95932452046594</v>
      </c>
      <c r="P63" s="79" t="n">
        <v>0.834668750550415</v>
      </c>
      <c r="Q63" s="80"/>
      <c r="R63" s="80"/>
      <c r="S63" s="80"/>
      <c r="T63" s="80"/>
      <c r="U63" s="80"/>
      <c r="V63" s="80"/>
      <c r="W63" s="80"/>
      <c r="X63" s="80"/>
      <c r="Y63" s="80"/>
      <c r="Z63" s="75"/>
    </row>
    <row r="64" customFormat="false" ht="15.75" hidden="false" customHeight="false" outlineLevel="0" collapsed="false">
      <c r="C64" s="69" t="n">
        <v>59</v>
      </c>
      <c r="D64" s="78" t="s">
        <v>1378</v>
      </c>
      <c r="E64" s="63" t="s">
        <v>1376</v>
      </c>
      <c r="F64" s="101" t="n">
        <f aca="false">VLOOKUP(D64,'[2]5. Demanda'!$D$4:$F$357,3,FALSE())</f>
        <v>13.8</v>
      </c>
      <c r="G64" s="63" t="str">
        <f aca="false">VLOOKUP(D64,'[2]5. Demanda'!D$4:J$357,4,FALSE())</f>
        <v>residencial</v>
      </c>
      <c r="H64" s="63" t="str">
        <f aca="false">VLOOKUP($D64,'[2]5. Demanda'!$D$4:$J$357,5,FALSE())</f>
        <v>Rio Frio 115 kV</v>
      </c>
      <c r="I64" s="63" t="str">
        <f aca="false">VLOOKUP($D64,'[2]5. Demanda'!$D$4:$J$357,6,FALSE())</f>
        <v>Sí</v>
      </c>
      <c r="J64" s="102" t="str">
        <f aca="false">IF(VLOOKUP($D64,'[2]5. Demanda'!$D$4:$J$357,7,FALSE())=0,"",VLOOKUP($D64,'[2]5. Demanda'!$D$4:$J$357,7,FALSE()))</f>
        <v/>
      </c>
      <c r="K64" s="79" t="n">
        <v>1.2303945208802</v>
      </c>
      <c r="L64" s="79" t="n">
        <v>0.524145871038726</v>
      </c>
      <c r="M64" s="79" t="n">
        <v>2.29094496007152</v>
      </c>
      <c r="N64" s="79" t="n">
        <v>0.975938466256697</v>
      </c>
      <c r="O64" s="79" t="n">
        <v>1.76451856234848</v>
      </c>
      <c r="P64" s="79" t="n">
        <v>0.751681759899672</v>
      </c>
      <c r="Q64" s="80"/>
      <c r="R64" s="80"/>
      <c r="S64" s="80"/>
      <c r="T64" s="80"/>
      <c r="U64" s="80"/>
      <c r="V64" s="80"/>
      <c r="W64" s="80"/>
      <c r="X64" s="80"/>
      <c r="Y64" s="80"/>
      <c r="Z64" s="75"/>
    </row>
    <row r="65" customFormat="false" ht="15.75" hidden="false" customHeight="false" outlineLevel="0" collapsed="false">
      <c r="C65" s="69" t="n">
        <v>60</v>
      </c>
      <c r="D65" s="78" t="s">
        <v>1379</v>
      </c>
      <c r="E65" s="63" t="s">
        <v>1376</v>
      </c>
      <c r="F65" s="101" t="n">
        <f aca="false">VLOOKUP(D65,'[2]5. Demanda'!$D$4:$F$357,3,FALSE())</f>
        <v>13.8</v>
      </c>
      <c r="G65" s="63" t="str">
        <f aca="false">VLOOKUP(D65,'[2]5. Demanda'!D$4:J$357,4,FALSE())</f>
        <v>residencial</v>
      </c>
      <c r="H65" s="63" t="str">
        <f aca="false">VLOOKUP($D65,'[2]5. Demanda'!$D$4:$J$357,5,FALSE())</f>
        <v>Rio Frio 115 kV</v>
      </c>
      <c r="I65" s="63" t="str">
        <f aca="false">VLOOKUP($D65,'[2]5. Demanda'!$D$4:$J$357,6,FALSE())</f>
        <v>Sí</v>
      </c>
      <c r="J65" s="102" t="str">
        <f aca="false">IF(VLOOKUP($D65,'[2]5. Demanda'!$D$4:$J$357,7,FALSE())=0,"",VLOOKUP($D65,'[2]5. Demanda'!$D$4:$J$357,7,FALSE()))</f>
        <v/>
      </c>
      <c r="K65" s="79" t="n">
        <v>0</v>
      </c>
      <c r="L65" s="79" t="n">
        <v>0</v>
      </c>
      <c r="M65" s="79" t="n">
        <v>0</v>
      </c>
      <c r="N65" s="79" t="n">
        <v>0</v>
      </c>
      <c r="O65" s="79" t="n">
        <v>0</v>
      </c>
      <c r="P65" s="79" t="n">
        <v>0</v>
      </c>
      <c r="Q65" s="80"/>
      <c r="R65" s="80"/>
      <c r="S65" s="80"/>
      <c r="T65" s="80"/>
      <c r="U65" s="80"/>
      <c r="V65" s="80"/>
      <c r="W65" s="80"/>
      <c r="X65" s="80"/>
      <c r="Y65" s="80"/>
      <c r="Z65" s="75"/>
    </row>
    <row r="66" customFormat="false" ht="15.75" hidden="false" customHeight="false" outlineLevel="0" collapsed="false">
      <c r="C66" s="69" t="n">
        <v>61</v>
      </c>
      <c r="D66" s="78" t="s">
        <v>1380</v>
      </c>
      <c r="E66" s="63" t="s">
        <v>1381</v>
      </c>
      <c r="F66" s="101" t="n">
        <f aca="false">VLOOKUP(D66,'[2]5. Demanda'!$D$4:$F$357,3,FALSE())</f>
        <v>13.8</v>
      </c>
      <c r="G66" s="63" t="str">
        <f aca="false">VLOOKUP(D66,'[2]5. Demanda'!D$4:J$357,4,FALSE())</f>
        <v>industrial</v>
      </c>
      <c r="H66" s="63" t="str">
        <f aca="false">VLOOKUP($D66,'[2]5. Demanda'!$D$4:$J$357,5,FALSE())</f>
        <v>Palenque 115 kV
Real de Minas 115 kV</v>
      </c>
      <c r="I66" s="63" t="str">
        <f aca="false">VLOOKUP($D66,'[2]5. Demanda'!$D$4:$J$357,6,FALSE())</f>
        <v>Sí</v>
      </c>
      <c r="J66" s="102" t="str">
        <f aca="false">IF(VLOOKUP($D66,'[2]5. Demanda'!$D$4:$J$357,7,FALSE())=0,"",VLOOKUP($D66,'[2]5. Demanda'!$D$4:$J$357,7,FALSE()))</f>
        <v/>
      </c>
      <c r="K66" s="79" t="n">
        <v>0.551829036115912</v>
      </c>
      <c r="L66" s="79" t="n">
        <v>0.23507818499754</v>
      </c>
      <c r="M66" s="79" t="n">
        <v>1.38072301577544</v>
      </c>
      <c r="N66" s="79" t="n">
        <v>0.58818554169854</v>
      </c>
      <c r="O66" s="79" t="n">
        <v>0.898096348291145</v>
      </c>
      <c r="P66" s="79" t="n">
        <v>0.382587442290467</v>
      </c>
      <c r="Q66" s="80"/>
      <c r="R66" s="80"/>
      <c r="S66" s="80"/>
      <c r="T66" s="80"/>
      <c r="U66" s="80"/>
      <c r="V66" s="80"/>
      <c r="W66" s="80"/>
      <c r="X66" s="80"/>
      <c r="Y66" s="80"/>
      <c r="Z66" s="75"/>
    </row>
    <row r="67" customFormat="false" ht="15.75" hidden="false" customHeight="false" outlineLevel="0" collapsed="false">
      <c r="C67" s="69" t="n">
        <v>62</v>
      </c>
      <c r="D67" s="78" t="s">
        <v>1382</v>
      </c>
      <c r="E67" s="63" t="s">
        <v>1381</v>
      </c>
      <c r="F67" s="101" t="n">
        <f aca="false">VLOOKUP(D67,'[2]5. Demanda'!$D$4:$F$357,3,FALSE())</f>
        <v>13.8</v>
      </c>
      <c r="G67" s="63" t="str">
        <f aca="false">VLOOKUP(D67,'[2]5. Demanda'!D$4:J$357,4,FALSE())</f>
        <v>industrial</v>
      </c>
      <c r="H67" s="63" t="str">
        <f aca="false">VLOOKUP($D67,'[2]5. Demanda'!$D$4:$J$357,5,FALSE())</f>
        <v>Palenque 115 kV
Real de Minas 115 kV</v>
      </c>
      <c r="I67" s="63" t="str">
        <f aca="false">VLOOKUP($D67,'[2]5. Demanda'!$D$4:$J$357,6,FALSE())</f>
        <v>Sí</v>
      </c>
      <c r="J67" s="102" t="str">
        <f aca="false">IF(VLOOKUP($D67,'[2]5. Demanda'!$D$4:$J$357,7,FALSE())=0,"",VLOOKUP($D67,'[2]5. Demanda'!$D$4:$J$357,7,FALSE()))</f>
        <v/>
      </c>
      <c r="K67" s="79" t="n">
        <v>0.783252243481776</v>
      </c>
      <c r="L67" s="79" t="n">
        <v>0.333664058507917</v>
      </c>
      <c r="M67" s="79" t="n">
        <v>2.56081565620361</v>
      </c>
      <c r="N67" s="79" t="n">
        <v>1.0909029013964</v>
      </c>
      <c r="O67" s="79" t="n">
        <v>1.16243385394686</v>
      </c>
      <c r="P67" s="79" t="n">
        <v>0.495194748157695</v>
      </c>
      <c r="Q67" s="80"/>
      <c r="R67" s="80"/>
      <c r="S67" s="80"/>
      <c r="T67" s="80"/>
      <c r="U67" s="80"/>
      <c r="V67" s="80"/>
      <c r="W67" s="80"/>
      <c r="X67" s="80"/>
      <c r="Y67" s="80"/>
      <c r="Z67" s="75"/>
    </row>
    <row r="68" customFormat="false" ht="15.75" hidden="false" customHeight="false" outlineLevel="0" collapsed="false">
      <c r="C68" s="69" t="n">
        <v>63</v>
      </c>
      <c r="D68" s="78" t="s">
        <v>1383</v>
      </c>
      <c r="E68" s="63" t="s">
        <v>1381</v>
      </c>
      <c r="F68" s="101" t="n">
        <f aca="false">VLOOKUP(D68,'[2]5. Demanda'!$D$4:$F$357,3,FALSE())</f>
        <v>13.8</v>
      </c>
      <c r="G68" s="63" t="str">
        <f aca="false">VLOOKUP(D68,'[2]5. Demanda'!D$4:J$357,4,FALSE())</f>
        <v>residencial</v>
      </c>
      <c r="H68" s="63" t="str">
        <f aca="false">VLOOKUP($D68,'[2]5. Demanda'!$D$4:$J$357,5,FALSE())</f>
        <v>Palenque 115 kV
Real de Minas 115 kV</v>
      </c>
      <c r="I68" s="63" t="str">
        <f aca="false">VLOOKUP($D68,'[2]5. Demanda'!$D$4:$J$357,6,FALSE())</f>
        <v>Sí</v>
      </c>
      <c r="J68" s="102" t="str">
        <f aca="false">IF(VLOOKUP($D68,'[2]5. Demanda'!$D$4:$J$357,7,FALSE())=0,"",VLOOKUP($D68,'[2]5. Demanda'!$D$4:$J$357,7,FALSE()))</f>
        <v/>
      </c>
      <c r="K68" s="79" t="n">
        <v>1.36398613854125</v>
      </c>
      <c r="L68" s="79" t="n">
        <v>0.581055661853082</v>
      </c>
      <c r="M68" s="79" t="n">
        <v>2.89316682875598</v>
      </c>
      <c r="N68" s="79" t="n">
        <v>1.23248390803449</v>
      </c>
      <c r="O68" s="79" t="n">
        <v>2.19098846012419</v>
      </c>
      <c r="P68" s="79" t="n">
        <v>0.933357175587913</v>
      </c>
      <c r="Q68" s="80"/>
      <c r="R68" s="80"/>
      <c r="S68" s="80"/>
      <c r="T68" s="80"/>
      <c r="U68" s="80"/>
      <c r="V68" s="80"/>
      <c r="W68" s="80"/>
      <c r="X68" s="80"/>
      <c r="Y68" s="80"/>
      <c r="Z68" s="75"/>
    </row>
    <row r="69" customFormat="false" ht="15.75" hidden="false" customHeight="false" outlineLevel="0" collapsed="false">
      <c r="C69" s="69" t="n">
        <v>64</v>
      </c>
      <c r="D69" s="78" t="s">
        <v>1384</v>
      </c>
      <c r="E69" s="63" t="s">
        <v>1385</v>
      </c>
      <c r="F69" s="101" t="n">
        <f aca="false">VLOOKUP(D69,'[2]5. Demanda'!$D$4:$F$357,3,FALSE())</f>
        <v>13.8</v>
      </c>
      <c r="G69" s="63" t="str">
        <f aca="false">VLOOKUP(D69,'[2]5. Demanda'!D$4:J$357,4,FALSE())</f>
        <v>industrial</v>
      </c>
      <c r="H69" s="63" t="str">
        <f aca="false">VLOOKUP($D69,'[2]5. Demanda'!$D$4:$J$357,5,FALSE())</f>
        <v>Palos 115 kV</v>
      </c>
      <c r="I69" s="63" t="str">
        <f aca="false">VLOOKUP($D69,'[2]5. Demanda'!$D$4:$J$357,6,FALSE())</f>
        <v>Sí</v>
      </c>
      <c r="J69" s="102" t="str">
        <f aca="false">IF(VLOOKUP($D69,'[2]5. Demanda'!$D$4:$J$357,7,FALSE())=0,"",VLOOKUP($D69,'[2]5. Demanda'!$D$4:$J$357,7,FALSE()))</f>
        <v/>
      </c>
      <c r="K69" s="79" t="n">
        <v>0.496310231127326</v>
      </c>
      <c r="L69" s="79" t="n">
        <v>0.211427273110388</v>
      </c>
      <c r="M69" s="79" t="n">
        <v>1.81057797835884</v>
      </c>
      <c r="N69" s="79" t="n">
        <v>0.771302988956361</v>
      </c>
      <c r="O69" s="79" t="n">
        <v>0.753381637519366</v>
      </c>
      <c r="P69" s="79" t="n">
        <v>0.320939233653023</v>
      </c>
      <c r="Q69" s="80"/>
      <c r="R69" s="80"/>
      <c r="S69" s="80"/>
      <c r="T69" s="80"/>
      <c r="U69" s="80"/>
      <c r="V69" s="80"/>
      <c r="W69" s="80"/>
      <c r="X69" s="80"/>
      <c r="Y69" s="80"/>
      <c r="Z69" s="75"/>
    </row>
    <row r="70" customFormat="false" ht="15.75" hidden="false" customHeight="false" outlineLevel="0" collapsed="false">
      <c r="C70" s="69" t="n">
        <v>65</v>
      </c>
      <c r="D70" s="78" t="s">
        <v>1386</v>
      </c>
      <c r="E70" s="63" t="s">
        <v>1385</v>
      </c>
      <c r="F70" s="101" t="n">
        <f aca="false">VLOOKUP(D70,'[2]5. Demanda'!$D$4:$F$357,3,FALSE())</f>
        <v>13.8</v>
      </c>
      <c r="G70" s="63" t="str">
        <f aca="false">VLOOKUP(D70,'[2]5. Demanda'!D$4:J$357,4,FALSE())</f>
        <v>residencial</v>
      </c>
      <c r="H70" s="63" t="str">
        <f aca="false">VLOOKUP($D70,'[2]5. Demanda'!$D$4:$J$357,5,FALSE())</f>
        <v>Palos 115 kV</v>
      </c>
      <c r="I70" s="63" t="str">
        <f aca="false">VLOOKUP($D70,'[2]5. Demanda'!$D$4:$J$357,6,FALSE())</f>
        <v>Sí</v>
      </c>
      <c r="J70" s="102" t="str">
        <f aca="false">IF(VLOOKUP($D70,'[2]5. Demanda'!$D$4:$J$357,7,FALSE())=0,"",VLOOKUP($D70,'[2]5. Demanda'!$D$4:$J$357,7,FALSE()))</f>
        <v/>
      </c>
      <c r="K70" s="79" t="n">
        <v>1.28501873071107</v>
      </c>
      <c r="L70" s="79" t="n">
        <v>0.547415686984525</v>
      </c>
      <c r="M70" s="79" t="n">
        <v>1.81579364178058</v>
      </c>
      <c r="N70" s="79" t="n">
        <v>0.773524852269991</v>
      </c>
      <c r="O70" s="79" t="n">
        <v>2.23368355466543</v>
      </c>
      <c r="P70" s="79" t="n">
        <v>0.951545209700251</v>
      </c>
      <c r="Q70" s="80"/>
      <c r="R70" s="80"/>
      <c r="S70" s="80"/>
      <c r="T70" s="80"/>
      <c r="U70" s="80"/>
      <c r="V70" s="80"/>
      <c r="W70" s="80"/>
      <c r="X70" s="80"/>
      <c r="Y70" s="80"/>
      <c r="Z70" s="75"/>
    </row>
    <row r="71" customFormat="false" ht="15.75" hidden="false" customHeight="false" outlineLevel="0" collapsed="false">
      <c r="C71" s="69" t="n">
        <v>66</v>
      </c>
      <c r="D71" s="78" t="s">
        <v>1387</v>
      </c>
      <c r="E71" s="63" t="s">
        <v>1385</v>
      </c>
      <c r="F71" s="101" t="n">
        <f aca="false">VLOOKUP(D71,'[2]5. Demanda'!$D$4:$F$357,3,FALSE())</f>
        <v>13.8</v>
      </c>
      <c r="G71" s="63" t="str">
        <f aca="false">VLOOKUP(D71,'[2]5. Demanda'!D$4:J$357,4,FALSE())</f>
        <v>residencial</v>
      </c>
      <c r="H71" s="63" t="str">
        <f aca="false">VLOOKUP($D71,'[2]5. Demanda'!$D$4:$J$357,5,FALSE())</f>
        <v>Palos 115 kV</v>
      </c>
      <c r="I71" s="63" t="str">
        <f aca="false">VLOOKUP($D71,'[2]5. Demanda'!$D$4:$J$357,6,FALSE())</f>
        <v>Sí</v>
      </c>
      <c r="J71" s="102" t="str">
        <f aca="false">IF(VLOOKUP($D71,'[2]5. Demanda'!$D$4:$J$357,7,FALSE())=0,"",VLOOKUP($D71,'[2]5. Demanda'!$D$4:$J$357,7,FALSE()))</f>
        <v/>
      </c>
      <c r="K71" s="79" t="n">
        <v>1.88647152593782</v>
      </c>
      <c r="L71" s="79" t="n">
        <v>0.803633504841258</v>
      </c>
      <c r="M71" s="79" t="n">
        <v>3.24651365735512</v>
      </c>
      <c r="N71" s="79" t="n">
        <v>1.38300902669511</v>
      </c>
      <c r="O71" s="79" t="n">
        <v>2.83530055310789</v>
      </c>
      <c r="P71" s="79" t="n">
        <v>1.20783297783396</v>
      </c>
      <c r="Q71" s="80"/>
      <c r="R71" s="80"/>
      <c r="S71" s="80"/>
      <c r="T71" s="80"/>
      <c r="U71" s="80"/>
      <c r="V71" s="80"/>
      <c r="W71" s="80"/>
      <c r="X71" s="80"/>
      <c r="Y71" s="80"/>
      <c r="Z71" s="75"/>
    </row>
    <row r="72" customFormat="false" ht="15.75" hidden="false" customHeight="false" outlineLevel="0" collapsed="false">
      <c r="C72" s="69" t="n">
        <v>67</v>
      </c>
      <c r="D72" s="78" t="s">
        <v>1388</v>
      </c>
      <c r="E72" s="63" t="s">
        <v>1385</v>
      </c>
      <c r="F72" s="101" t="n">
        <f aca="false">VLOOKUP(D72,'[2]5. Demanda'!$D$4:$F$357,3,FALSE())</f>
        <v>13.8</v>
      </c>
      <c r="G72" s="63" t="str">
        <f aca="false">VLOOKUP(D72,'[2]5. Demanda'!D$4:J$357,4,FALSE())</f>
        <v>residencial</v>
      </c>
      <c r="H72" s="63" t="str">
        <f aca="false">VLOOKUP($D72,'[2]5. Demanda'!$D$4:$J$357,5,FALSE())</f>
        <v>Palos 115 kV</v>
      </c>
      <c r="I72" s="63" t="str">
        <f aca="false">VLOOKUP($D72,'[2]5. Demanda'!$D$4:$J$357,6,FALSE())</f>
        <v>Sí</v>
      </c>
      <c r="J72" s="102" t="str">
        <f aca="false">IF(VLOOKUP($D72,'[2]5. Demanda'!$D$4:$J$357,7,FALSE())=0,"",VLOOKUP($D72,'[2]5. Demanda'!$D$4:$J$357,7,FALSE()))</f>
        <v/>
      </c>
      <c r="K72" s="79" t="n">
        <v>1.50090038169014</v>
      </c>
      <c r="L72" s="79" t="n">
        <v>0.639380885198147</v>
      </c>
      <c r="M72" s="79" t="n">
        <v>2.54058177972952</v>
      </c>
      <c r="N72" s="79" t="n">
        <v>1.08228330611292</v>
      </c>
      <c r="O72" s="79" t="n">
        <v>2.50227720448182</v>
      </c>
      <c r="P72" s="79" t="n">
        <v>1.06596562538754</v>
      </c>
      <c r="Q72" s="80"/>
      <c r="R72" s="80"/>
      <c r="S72" s="80"/>
      <c r="T72" s="80"/>
      <c r="U72" s="80"/>
      <c r="V72" s="80"/>
      <c r="W72" s="80"/>
      <c r="X72" s="80"/>
      <c r="Y72" s="80"/>
      <c r="Z72" s="75"/>
    </row>
    <row r="73" customFormat="false" ht="15.75" hidden="false" customHeight="false" outlineLevel="0" collapsed="false">
      <c r="C73" s="69" t="n">
        <v>68</v>
      </c>
      <c r="D73" s="78" t="s">
        <v>1389</v>
      </c>
      <c r="E73" s="63" t="s">
        <v>1385</v>
      </c>
      <c r="F73" s="101" t="n">
        <f aca="false">VLOOKUP(D73,'[2]5. Demanda'!$D$4:$F$357,3,FALSE())</f>
        <v>13.8</v>
      </c>
      <c r="G73" s="63" t="str">
        <f aca="false">VLOOKUP(D73,'[2]5. Demanda'!D$4:J$357,4,FALSE())</f>
        <v>residencial</v>
      </c>
      <c r="H73" s="63" t="str">
        <f aca="false">VLOOKUP($D73,'[2]5. Demanda'!$D$4:$J$357,5,FALSE())</f>
        <v>Palos 115 kV</v>
      </c>
      <c r="I73" s="63" t="str">
        <f aca="false">VLOOKUP($D73,'[2]5. Demanda'!$D$4:$J$357,6,FALSE())</f>
        <v>Sí</v>
      </c>
      <c r="J73" s="102" t="str">
        <f aca="false">IF(VLOOKUP($D73,'[2]5. Demanda'!$D$4:$J$357,7,FALSE())=0,"",VLOOKUP($D73,'[2]5. Demanda'!$D$4:$J$357,7,FALSE()))</f>
        <v/>
      </c>
      <c r="K73" s="79" t="n">
        <v>1.47087249594192</v>
      </c>
      <c r="L73" s="79" t="n">
        <v>0.626589059435067</v>
      </c>
      <c r="M73" s="79" t="n">
        <v>2.86370223174167</v>
      </c>
      <c r="N73" s="79" t="n">
        <v>1.21993204226722</v>
      </c>
      <c r="O73" s="79" t="n">
        <v>2.02542412660155</v>
      </c>
      <c r="P73" s="79" t="n">
        <v>0.862827064851489</v>
      </c>
      <c r="Q73" s="80"/>
      <c r="R73" s="80"/>
      <c r="S73" s="80"/>
      <c r="T73" s="80"/>
      <c r="U73" s="80"/>
      <c r="V73" s="80"/>
      <c r="W73" s="80"/>
      <c r="X73" s="80"/>
      <c r="Y73" s="80"/>
      <c r="Z73" s="75"/>
    </row>
    <row r="74" customFormat="false" ht="15.75" hidden="false" customHeight="false" outlineLevel="0" collapsed="false">
      <c r="C74" s="69" t="n">
        <v>69</v>
      </c>
      <c r="D74" s="78" t="s">
        <v>1390</v>
      </c>
      <c r="E74" s="63" t="s">
        <v>1391</v>
      </c>
      <c r="F74" s="101" t="n">
        <f aca="false">VLOOKUP(D74,'[2]5. Demanda'!$D$4:$F$357,3,FALSE())</f>
        <v>13.8</v>
      </c>
      <c r="G74" s="63" t="str">
        <f aca="false">VLOOKUP(D74,'[2]5. Demanda'!D$4:J$357,4,FALSE())</f>
        <v>industrial</v>
      </c>
      <c r="H74" s="63" t="str">
        <f aca="false">VLOOKUP($D74,'[2]5. Demanda'!$D$4:$J$357,5,FALSE())</f>
        <v>Conucos 115 kV</v>
      </c>
      <c r="I74" s="63" t="str">
        <f aca="false">VLOOKUP($D74,'[2]5. Demanda'!$D$4:$J$357,6,FALSE())</f>
        <v>Sí</v>
      </c>
      <c r="J74" s="102" t="str">
        <f aca="false">IF(VLOOKUP($D74,'[2]5. Demanda'!$D$4:$J$357,7,FALSE())=0,"",VLOOKUP($D74,'[2]5. Demanda'!$D$4:$J$357,7,FALSE()))</f>
        <v/>
      </c>
      <c r="K74" s="79" t="n">
        <v>0.406083722773302</v>
      </c>
      <c r="L74" s="79" t="n">
        <v>0.172990941503376</v>
      </c>
      <c r="M74" s="79" t="n">
        <v>0.685538567562636</v>
      </c>
      <c r="N74" s="79" t="n">
        <v>0.292038206874252</v>
      </c>
      <c r="O74" s="79" t="n">
        <v>0.551958518737566</v>
      </c>
      <c r="P74" s="79" t="n">
        <v>0.235133344363385</v>
      </c>
      <c r="Q74" s="80"/>
      <c r="R74" s="80"/>
      <c r="S74" s="80"/>
      <c r="T74" s="80"/>
      <c r="U74" s="80"/>
      <c r="V74" s="80"/>
      <c r="W74" s="80"/>
      <c r="X74" s="80"/>
      <c r="Y74" s="80"/>
      <c r="Z74" s="75"/>
    </row>
    <row r="75" customFormat="false" ht="15.75" hidden="false" customHeight="false" outlineLevel="0" collapsed="false">
      <c r="C75" s="69" t="n">
        <v>70</v>
      </c>
      <c r="D75" s="78" t="s">
        <v>1392</v>
      </c>
      <c r="E75" s="63" t="s">
        <v>1393</v>
      </c>
      <c r="F75" s="101" t="n">
        <f aca="false">VLOOKUP(D75,'[2]5. Demanda'!$D$4:$F$357,3,FALSE())</f>
        <v>13.8</v>
      </c>
      <c r="G75" s="63" t="str">
        <f aca="false">VLOOKUP(D75,'[2]5. Demanda'!D$4:J$357,4,FALSE())</f>
        <v>residencial</v>
      </c>
      <c r="H75" s="63" t="str">
        <f aca="false">VLOOKUP($D75,'[2]5. Demanda'!$D$4:$J$357,5,FALSE())</f>
        <v>Palos 115 kV</v>
      </c>
      <c r="I75" s="63" t="str">
        <f aca="false">VLOOKUP($D75,'[2]5. Demanda'!$D$4:$J$357,6,FALSE())</f>
        <v>Sí</v>
      </c>
      <c r="J75" s="102" t="str">
        <f aca="false">IF(VLOOKUP($D75,'[2]5. Demanda'!$D$4:$J$357,7,FALSE())=0,"",VLOOKUP($D75,'[2]5. Demanda'!$D$4:$J$357,7,FALSE()))</f>
        <v/>
      </c>
      <c r="K75" s="79" t="n">
        <v>0.234918096918562</v>
      </c>
      <c r="L75" s="79" t="n">
        <v>0.10007469022542</v>
      </c>
      <c r="M75" s="79" t="n">
        <v>0.231927278423701</v>
      </c>
      <c r="N75" s="79" t="n">
        <v>0.0988006068818214</v>
      </c>
      <c r="O75" s="79" t="n">
        <v>0.306044046141361</v>
      </c>
      <c r="P75" s="79" t="n">
        <v>0.130374217715326</v>
      </c>
      <c r="Q75" s="80"/>
      <c r="R75" s="80"/>
      <c r="S75" s="80"/>
      <c r="T75" s="80"/>
      <c r="U75" s="80"/>
      <c r="V75" s="80"/>
      <c r="W75" s="80"/>
      <c r="X75" s="80"/>
      <c r="Y75" s="80"/>
      <c r="Z75" s="75"/>
    </row>
    <row r="76" customFormat="false" ht="15.75" hidden="false" customHeight="false" outlineLevel="0" collapsed="false">
      <c r="C76" s="69" t="n">
        <v>71</v>
      </c>
      <c r="D76" s="78" t="s">
        <v>1394</v>
      </c>
      <c r="E76" s="63" t="s">
        <v>1393</v>
      </c>
      <c r="F76" s="101" t="n">
        <f aca="false">VLOOKUP(D76,'[2]5. Demanda'!$D$4:$F$357,3,FALSE())</f>
        <v>13.8</v>
      </c>
      <c r="G76" s="63" t="str">
        <f aca="false">VLOOKUP(D76,'[2]5. Demanda'!D$4:J$357,4,FALSE())</f>
        <v>residencial</v>
      </c>
      <c r="H76" s="63" t="str">
        <f aca="false">VLOOKUP($D76,'[2]5. Demanda'!$D$4:$J$357,5,FALSE())</f>
        <v>Palos 115 kV</v>
      </c>
      <c r="I76" s="63" t="str">
        <f aca="false">VLOOKUP($D76,'[2]5. Demanda'!$D$4:$J$357,6,FALSE())</f>
        <v>Sí</v>
      </c>
      <c r="J76" s="102" t="str">
        <f aca="false">IF(VLOOKUP($D76,'[2]5. Demanda'!$D$4:$J$357,7,FALSE())=0,"",VLOOKUP($D76,'[2]5. Demanda'!$D$4:$J$357,7,FALSE()))</f>
        <v/>
      </c>
      <c r="K76" s="79" t="n">
        <v>0.576821119076924</v>
      </c>
      <c r="L76" s="79" t="n">
        <v>0.245724767756459</v>
      </c>
      <c r="M76" s="79" t="n">
        <v>0.683466093198513</v>
      </c>
      <c r="N76" s="79" t="n">
        <v>0.291155336492148</v>
      </c>
      <c r="O76" s="79" t="n">
        <v>0.813452187613836</v>
      </c>
      <c r="P76" s="79" t="n">
        <v>0.346529180835587</v>
      </c>
      <c r="Q76" s="80"/>
      <c r="R76" s="80"/>
      <c r="S76" s="80"/>
      <c r="T76" s="80"/>
      <c r="U76" s="80"/>
      <c r="V76" s="80"/>
      <c r="W76" s="80"/>
      <c r="X76" s="80"/>
      <c r="Y76" s="80"/>
      <c r="Z76" s="75"/>
    </row>
    <row r="77" customFormat="false" ht="15.75" hidden="false" customHeight="false" outlineLevel="0" collapsed="false">
      <c r="C77" s="69" t="n">
        <v>72</v>
      </c>
      <c r="D77" s="78" t="s">
        <v>1395</v>
      </c>
      <c r="E77" s="63" t="s">
        <v>1396</v>
      </c>
      <c r="F77" s="101" t="n">
        <f aca="false">VLOOKUP(D77,'[2]5. Demanda'!$D$4:$F$357,3,FALSE())</f>
        <v>13.8</v>
      </c>
      <c r="G77" s="63" t="str">
        <f aca="false">VLOOKUP(D77,'[2]5. Demanda'!D$4:J$357,4,FALSE())</f>
        <v>residencial</v>
      </c>
      <c r="H77" s="63" t="str">
        <f aca="false">VLOOKUP($D77,'[2]5. Demanda'!$D$4:$J$357,5,FALSE())</f>
        <v>Palos 115 kV</v>
      </c>
      <c r="I77" s="63" t="str">
        <f aca="false">VLOOKUP($D77,'[2]5. Demanda'!$D$4:$J$357,6,FALSE())</f>
        <v>Sí</v>
      </c>
      <c r="J77" s="102" t="str">
        <f aca="false">IF(VLOOKUP($D77,'[2]5. Demanda'!$D$4:$J$357,7,FALSE())=0,"",VLOOKUP($D77,'[2]5. Demanda'!$D$4:$J$357,7,FALSE()))</f>
        <v/>
      </c>
      <c r="K77" s="79" t="n">
        <v>0.000765157776184998</v>
      </c>
      <c r="L77" s="79" t="n">
        <v>0.000325955847717554</v>
      </c>
      <c r="M77" s="79" t="n">
        <v>0.00102203698440582</v>
      </c>
      <c r="N77" s="79" t="n">
        <v>0.000435385932182107</v>
      </c>
      <c r="O77" s="79" t="n">
        <v>0.00121104749465771</v>
      </c>
      <c r="P77" s="79" t="n">
        <v>0.000515904072380404</v>
      </c>
      <c r="Q77" s="80"/>
      <c r="R77" s="80"/>
      <c r="S77" s="80"/>
      <c r="T77" s="80"/>
      <c r="U77" s="80"/>
      <c r="V77" s="80"/>
      <c r="W77" s="80"/>
      <c r="X77" s="80"/>
      <c r="Y77" s="80"/>
      <c r="Z77" s="75"/>
    </row>
    <row r="78" customFormat="false" ht="15.75" hidden="false" customHeight="false" outlineLevel="0" collapsed="false">
      <c r="C78" s="69" t="n">
        <v>73</v>
      </c>
      <c r="D78" s="78" t="s">
        <v>1397</v>
      </c>
      <c r="E78" s="63" t="s">
        <v>1396</v>
      </c>
      <c r="F78" s="101" t="n">
        <f aca="false">VLOOKUP(D78,'[2]5. Demanda'!$D$4:$F$357,3,FALSE())</f>
        <v>13.8</v>
      </c>
      <c r="G78" s="63" t="str">
        <f aca="false">VLOOKUP(D78,'[2]5. Demanda'!D$4:J$357,4,FALSE())</f>
        <v>residencial</v>
      </c>
      <c r="H78" s="63" t="str">
        <f aca="false">VLOOKUP($D78,'[2]5. Demanda'!$D$4:$J$357,5,FALSE())</f>
        <v>Palos 115 kV</v>
      </c>
      <c r="I78" s="63" t="str">
        <f aca="false">VLOOKUP($D78,'[2]5. Demanda'!$D$4:$J$357,6,FALSE())</f>
        <v>Sí</v>
      </c>
      <c r="J78" s="102" t="str">
        <f aca="false">IF(VLOOKUP($D78,'[2]5. Demanda'!$D$4:$J$357,7,FALSE())=0,"",VLOOKUP($D78,'[2]5. Demanda'!$D$4:$J$357,7,FALSE()))</f>
        <v/>
      </c>
      <c r="K78" s="79" t="n">
        <v>0.0629167059333422</v>
      </c>
      <c r="L78" s="79" t="n">
        <v>0.0268024044927699</v>
      </c>
      <c r="M78" s="79" t="n">
        <v>0.068269098394928</v>
      </c>
      <c r="N78" s="79" t="n">
        <v>0.0290825141334664</v>
      </c>
      <c r="O78" s="79" t="n">
        <v>0.0846720655290167</v>
      </c>
      <c r="P78" s="79" t="n">
        <v>0.036070148871929</v>
      </c>
      <c r="Q78" s="80"/>
      <c r="R78" s="80"/>
      <c r="S78" s="80"/>
      <c r="T78" s="80"/>
      <c r="U78" s="80"/>
      <c r="V78" s="80"/>
      <c r="W78" s="80"/>
      <c r="X78" s="80"/>
      <c r="Y78" s="80"/>
      <c r="Z78" s="75"/>
    </row>
    <row r="79" customFormat="false" ht="15.75" hidden="false" customHeight="false" outlineLevel="0" collapsed="false">
      <c r="C79" s="69" t="n">
        <v>74</v>
      </c>
      <c r="D79" s="78" t="s">
        <v>1398</v>
      </c>
      <c r="E79" s="63" t="s">
        <v>1396</v>
      </c>
      <c r="F79" s="101" t="n">
        <f aca="false">VLOOKUP(D79,'[2]5. Demanda'!$D$4:$F$357,3,FALSE())</f>
        <v>13.8</v>
      </c>
      <c r="G79" s="63" t="str">
        <f aca="false">VLOOKUP(D79,'[2]5. Demanda'!D$4:J$357,4,FALSE())</f>
        <v>residencial</v>
      </c>
      <c r="H79" s="63" t="str">
        <f aca="false">VLOOKUP($D79,'[2]5. Demanda'!$D$4:$J$357,5,FALSE())</f>
        <v>Palos 115 kV</v>
      </c>
      <c r="I79" s="63" t="str">
        <f aca="false">VLOOKUP($D79,'[2]5. Demanda'!$D$4:$J$357,6,FALSE())</f>
        <v>Sí</v>
      </c>
      <c r="J79" s="102" t="str">
        <f aca="false">IF(VLOOKUP($D79,'[2]5. Demanda'!$D$4:$J$357,7,FALSE())=0,"",VLOOKUP($D79,'[2]5. Demanda'!$D$4:$J$357,7,FALSE()))</f>
        <v/>
      </c>
      <c r="K79" s="79" t="n">
        <v>0.527129631614862</v>
      </c>
      <c r="L79" s="79" t="n">
        <v>0.224556282740466</v>
      </c>
      <c r="M79" s="79" t="n">
        <v>0.596708039624215</v>
      </c>
      <c r="N79" s="79" t="n">
        <v>0.254196560434047</v>
      </c>
      <c r="O79" s="79" t="n">
        <v>0.71780037735233</v>
      </c>
      <c r="P79" s="79" t="n">
        <v>0.305781680293987</v>
      </c>
      <c r="Q79" s="80"/>
      <c r="R79" s="80"/>
      <c r="S79" s="80"/>
      <c r="T79" s="80"/>
      <c r="U79" s="80"/>
      <c r="V79" s="80"/>
      <c r="W79" s="80"/>
      <c r="X79" s="80"/>
      <c r="Y79" s="80"/>
      <c r="Z79" s="75"/>
    </row>
    <row r="80" customFormat="false" ht="15.75" hidden="false" customHeight="false" outlineLevel="0" collapsed="false">
      <c r="C80" s="69" t="n">
        <v>75</v>
      </c>
      <c r="D80" s="78" t="s">
        <v>1399</v>
      </c>
      <c r="E80" s="63" t="s">
        <v>1396</v>
      </c>
      <c r="F80" s="101" t="n">
        <f aca="false">VLOOKUP(D80,'[2]5. Demanda'!$D$4:$F$357,3,FALSE())</f>
        <v>13.8</v>
      </c>
      <c r="G80" s="63" t="str">
        <f aca="false">VLOOKUP(D80,'[2]5. Demanda'!D$4:J$357,4,FALSE())</f>
        <v>residencial</v>
      </c>
      <c r="H80" s="63" t="str">
        <f aca="false">VLOOKUP($D80,'[2]5. Demanda'!$D$4:$J$357,5,FALSE())</f>
        <v>Palos 115 kV</v>
      </c>
      <c r="I80" s="63" t="str">
        <f aca="false">VLOOKUP($D80,'[2]5. Demanda'!$D$4:$J$357,6,FALSE())</f>
        <v>Sí</v>
      </c>
      <c r="J80" s="102" t="str">
        <f aca="false">IF(VLOOKUP($D80,'[2]5. Demanda'!$D$4:$J$357,7,FALSE())=0,"",VLOOKUP($D80,'[2]5. Demanda'!$D$4:$J$357,7,FALSE()))</f>
        <v/>
      </c>
      <c r="K80" s="79" t="n">
        <v>0.0587684596074731</v>
      </c>
      <c r="L80" s="79" t="n">
        <v>0.0250352589578561</v>
      </c>
      <c r="M80" s="79" t="n">
        <v>0.100909653371212</v>
      </c>
      <c r="N80" s="79" t="n">
        <v>0.0429873323270589</v>
      </c>
      <c r="O80" s="79" t="n">
        <v>0.100308624949356</v>
      </c>
      <c r="P80" s="79" t="n">
        <v>0.0427312952915012</v>
      </c>
      <c r="Q80" s="80"/>
      <c r="R80" s="80"/>
      <c r="S80" s="80"/>
      <c r="T80" s="80"/>
      <c r="U80" s="80"/>
      <c r="V80" s="80"/>
      <c r="W80" s="80"/>
      <c r="X80" s="80"/>
      <c r="Y80" s="80"/>
      <c r="Z80" s="75"/>
    </row>
    <row r="81" customFormat="false" ht="15.75" hidden="false" customHeight="false" outlineLevel="0" collapsed="false">
      <c r="C81" s="69" t="n">
        <v>76</v>
      </c>
      <c r="D81" s="78" t="s">
        <v>1400</v>
      </c>
      <c r="E81" s="63" t="s">
        <v>1401</v>
      </c>
      <c r="F81" s="101" t="n">
        <f aca="false">VLOOKUP(D81,'[2]5. Demanda'!$D$4:$F$357,3,FALSE())</f>
        <v>13.8</v>
      </c>
      <c r="G81" s="63" t="str">
        <f aca="false">VLOOKUP(D81,'[2]5. Demanda'!D$4:J$357,4,FALSE())</f>
        <v>residencial</v>
      </c>
      <c r="H81" s="63" t="str">
        <f aca="false">VLOOKUP($D81,'[2]5. Demanda'!$D$4:$J$357,5,FALSE())</f>
        <v>Palenque 115 kV</v>
      </c>
      <c r="I81" s="63" t="str">
        <f aca="false">VLOOKUP($D81,'[2]5. Demanda'!$D$4:$J$357,6,FALSE())</f>
        <v>Sí</v>
      </c>
      <c r="J81" s="102" t="str">
        <f aca="false">IF(VLOOKUP($D81,'[2]5. Demanda'!$D$4:$J$357,7,FALSE())=0,"",VLOOKUP($D81,'[2]5. Demanda'!$D$4:$J$357,7,FALSE()))</f>
        <v/>
      </c>
      <c r="K81" s="79" t="n">
        <v>1.14351871653243</v>
      </c>
      <c r="L81" s="79" t="n">
        <v>0.487136933361179</v>
      </c>
      <c r="M81" s="79" t="n">
        <v>1.40400832366747</v>
      </c>
      <c r="N81" s="79" t="n">
        <v>0.598105041322724</v>
      </c>
      <c r="O81" s="79" t="n">
        <v>1.61023371650858</v>
      </c>
      <c r="P81" s="79" t="n">
        <v>0.685956690795026</v>
      </c>
      <c r="Q81" s="80"/>
      <c r="R81" s="80"/>
      <c r="S81" s="80"/>
      <c r="T81" s="80"/>
      <c r="U81" s="80"/>
      <c r="V81" s="80"/>
      <c r="W81" s="80"/>
      <c r="X81" s="80"/>
      <c r="Y81" s="80"/>
      <c r="Z81" s="75"/>
    </row>
    <row r="82" customFormat="false" ht="15.75" hidden="false" customHeight="false" outlineLevel="0" collapsed="false">
      <c r="C82" s="69" t="n">
        <v>77</v>
      </c>
      <c r="D82" s="78" t="s">
        <v>1402</v>
      </c>
      <c r="E82" s="63" t="s">
        <v>1401</v>
      </c>
      <c r="F82" s="101" t="n">
        <f aca="false">VLOOKUP(D82,'[2]5. Demanda'!$D$4:$F$357,3,FALSE())</f>
        <v>13.8</v>
      </c>
      <c r="G82" s="63" t="str">
        <f aca="false">VLOOKUP(D82,'[2]5. Demanda'!D$4:J$357,4,FALSE())</f>
        <v>industrial</v>
      </c>
      <c r="H82" s="63" t="str">
        <f aca="false">VLOOKUP($D82,'[2]5. Demanda'!$D$4:$J$357,5,FALSE())</f>
        <v>Palenque 115 kV</v>
      </c>
      <c r="I82" s="63" t="str">
        <f aca="false">VLOOKUP($D82,'[2]5. Demanda'!$D$4:$J$357,6,FALSE())</f>
        <v>Sí</v>
      </c>
      <c r="J82" s="102" t="str">
        <f aca="false">IF(VLOOKUP($D82,'[2]5. Demanda'!$D$4:$J$357,7,FALSE())=0,"",VLOOKUP($D82,'[2]5. Demanda'!$D$4:$J$357,7,FALSE()))</f>
        <v/>
      </c>
      <c r="K82" s="79" t="n">
        <v>1.69703949170377</v>
      </c>
      <c r="L82" s="79" t="n">
        <v>0.722935796178498</v>
      </c>
      <c r="M82" s="79" t="n">
        <v>2.49343858806027</v>
      </c>
      <c r="N82" s="79" t="n">
        <v>1.06220039055885</v>
      </c>
      <c r="O82" s="79" t="n">
        <v>2.23697781510164</v>
      </c>
      <c r="P82" s="79" t="n">
        <v>0.952948558769564</v>
      </c>
      <c r="Q82" s="80"/>
      <c r="R82" s="80"/>
      <c r="S82" s="80"/>
      <c r="T82" s="80"/>
      <c r="U82" s="80"/>
      <c r="V82" s="80"/>
      <c r="W82" s="80"/>
      <c r="X82" s="80"/>
      <c r="Y82" s="80"/>
      <c r="Z82" s="75"/>
    </row>
    <row r="83" customFormat="false" ht="15.75" hidden="false" customHeight="false" outlineLevel="0" collapsed="false">
      <c r="C83" s="69" t="n">
        <v>78</v>
      </c>
      <c r="D83" s="78" t="s">
        <v>1403</v>
      </c>
      <c r="E83" s="63" t="s">
        <v>1401</v>
      </c>
      <c r="F83" s="101" t="n">
        <f aca="false">VLOOKUP(D83,'[2]5. Demanda'!$D$4:$F$357,3,FALSE())</f>
        <v>13.8</v>
      </c>
      <c r="G83" s="63" t="str">
        <f aca="false">VLOOKUP(D83,'[2]5. Demanda'!D$4:J$357,4,FALSE())</f>
        <v>industrial</v>
      </c>
      <c r="H83" s="63" t="str">
        <f aca="false">VLOOKUP($D83,'[2]5. Demanda'!$D$4:$J$357,5,FALSE())</f>
        <v>Palenque 115 kV</v>
      </c>
      <c r="I83" s="63" t="str">
        <f aca="false">VLOOKUP($D83,'[2]5. Demanda'!$D$4:$J$357,6,FALSE())</f>
        <v>Sí</v>
      </c>
      <c r="J83" s="102" t="str">
        <f aca="false">IF(VLOOKUP($D83,'[2]5. Demanda'!$D$4:$J$357,7,FALSE())=0,"",VLOOKUP($D83,'[2]5. Demanda'!$D$4:$J$357,7,FALSE()))</f>
        <v/>
      </c>
      <c r="K83" s="79" t="n">
        <v>1.87821475827145</v>
      </c>
      <c r="L83" s="79" t="n">
        <v>0.800116136544331</v>
      </c>
      <c r="M83" s="79" t="n">
        <v>3.52134268535177</v>
      </c>
      <c r="N83" s="79" t="n">
        <v>1.50008570236413</v>
      </c>
      <c r="O83" s="79" t="n">
        <v>2.48374668968146</v>
      </c>
      <c r="P83" s="79" t="n">
        <v>1.05807165913851</v>
      </c>
      <c r="Q83" s="80"/>
      <c r="R83" s="80"/>
      <c r="S83" s="80"/>
      <c r="T83" s="80"/>
      <c r="U83" s="80"/>
      <c r="V83" s="80"/>
      <c r="W83" s="80"/>
      <c r="X83" s="80"/>
      <c r="Y83" s="80"/>
      <c r="Z83" s="75"/>
    </row>
    <row r="84" customFormat="false" ht="15.75" hidden="false" customHeight="false" outlineLevel="0" collapsed="false">
      <c r="C84" s="69" t="n">
        <v>79</v>
      </c>
      <c r="D84" s="78" t="s">
        <v>1404</v>
      </c>
      <c r="E84" s="63" t="s">
        <v>1405</v>
      </c>
      <c r="F84" s="101" t="n">
        <f aca="false">VLOOKUP(D84,'[2]5. Demanda'!$D$4:$F$357,3,FALSE())</f>
        <v>13.8</v>
      </c>
      <c r="G84" s="63" t="str">
        <f aca="false">VLOOKUP(D84,'[2]5. Demanda'!D$4:J$357,4,FALSE())</f>
        <v>residencial</v>
      </c>
      <c r="H84" s="63" t="str">
        <f aca="false">VLOOKUP($D84,'[2]5. Demanda'!$D$4:$J$357,5,FALSE())</f>
        <v>Palenque 115 kV</v>
      </c>
      <c r="I84" s="63" t="str">
        <f aca="false">VLOOKUP($D84,'[2]5. Demanda'!$D$4:$J$357,6,FALSE())</f>
        <v>Sí</v>
      </c>
      <c r="J84" s="102" t="str">
        <f aca="false">IF(VLOOKUP($D84,'[2]5. Demanda'!$D$4:$J$357,7,FALSE())=0,"",VLOOKUP($D84,'[2]5. Demanda'!$D$4:$J$357,7,FALSE()))</f>
        <v/>
      </c>
      <c r="K84" s="79" t="n">
        <v>2.24213682646261</v>
      </c>
      <c r="L84" s="79" t="n">
        <v>0.955146288406364</v>
      </c>
      <c r="M84" s="79" t="n">
        <v>2.91000667085372</v>
      </c>
      <c r="N84" s="79" t="n">
        <v>1.23965765072814</v>
      </c>
      <c r="O84" s="79" t="n">
        <v>3.22648096579715</v>
      </c>
      <c r="P84" s="79" t="n">
        <v>1.374475135827</v>
      </c>
      <c r="Q84" s="80"/>
      <c r="R84" s="80"/>
      <c r="S84" s="80"/>
      <c r="T84" s="80"/>
      <c r="U84" s="80"/>
      <c r="V84" s="80"/>
      <c r="W84" s="80"/>
      <c r="X84" s="80"/>
      <c r="Y84" s="80"/>
      <c r="Z84" s="75"/>
    </row>
    <row r="85" customFormat="false" ht="15.75" hidden="false" customHeight="false" outlineLevel="0" collapsed="false">
      <c r="C85" s="69" t="n">
        <v>80</v>
      </c>
      <c r="D85" s="78" t="s">
        <v>1406</v>
      </c>
      <c r="E85" s="63" t="s">
        <v>1405</v>
      </c>
      <c r="F85" s="101" t="n">
        <f aca="false">VLOOKUP(D85,'[2]5. Demanda'!$D$4:$F$357,3,FALSE())</f>
        <v>13.8</v>
      </c>
      <c r="G85" s="63" t="str">
        <f aca="false">VLOOKUP(D85,'[2]5. Demanda'!D$4:J$357,4,FALSE())</f>
        <v>industrial</v>
      </c>
      <c r="H85" s="63" t="str">
        <f aca="false">VLOOKUP($D85,'[2]5. Demanda'!$D$4:$J$357,5,FALSE())</f>
        <v>Palenque 115 kV</v>
      </c>
      <c r="I85" s="63" t="str">
        <f aca="false">VLOOKUP($D85,'[2]5. Demanda'!$D$4:$J$357,6,FALSE())</f>
        <v>Sí</v>
      </c>
      <c r="J85" s="102" t="str">
        <f aca="false">IF(VLOOKUP($D85,'[2]5. Demanda'!$D$4:$J$357,7,FALSE())=0,"",VLOOKUP($D85,'[2]5. Demanda'!$D$4:$J$357,7,FALSE()))</f>
        <v/>
      </c>
      <c r="K85" s="79" t="n">
        <v>0.726465040260994</v>
      </c>
      <c r="L85" s="79" t="n">
        <v>0.3094728112365</v>
      </c>
      <c r="M85" s="79" t="n">
        <v>0.880661930790971</v>
      </c>
      <c r="N85" s="79" t="n">
        <v>0.37516041153602</v>
      </c>
      <c r="O85" s="79" t="n">
        <v>0.942430572174263</v>
      </c>
      <c r="P85" s="79" t="n">
        <v>0.401473742578459</v>
      </c>
      <c r="Q85" s="80"/>
      <c r="R85" s="80"/>
      <c r="S85" s="80"/>
      <c r="T85" s="80"/>
      <c r="U85" s="80"/>
      <c r="V85" s="80"/>
      <c r="W85" s="80"/>
      <c r="X85" s="80"/>
      <c r="Y85" s="80"/>
      <c r="Z85" s="75"/>
    </row>
    <row r="86" customFormat="false" ht="15.75" hidden="false" customHeight="false" outlineLevel="0" collapsed="false">
      <c r="C86" s="69" t="n">
        <v>81</v>
      </c>
      <c r="D86" s="78" t="s">
        <v>1407</v>
      </c>
      <c r="E86" s="63" t="s">
        <v>1408</v>
      </c>
      <c r="F86" s="101" t="n">
        <f aca="false">VLOOKUP(D86,'[2]5. Demanda'!$D$4:$F$357,3,FALSE())</f>
        <v>13.8</v>
      </c>
      <c r="G86" s="63" t="str">
        <f aca="false">VLOOKUP(D86,'[2]5. Demanda'!D$4:J$357,4,FALSE())</f>
        <v>residencial</v>
      </c>
      <c r="H86" s="63" t="str">
        <f aca="false">VLOOKUP($D86,'[2]5. Demanda'!$D$4:$J$357,5,FALSE())</f>
        <v>Palos 115 kV</v>
      </c>
      <c r="I86" s="63" t="str">
        <f aca="false">VLOOKUP($D86,'[2]5. Demanda'!$D$4:$J$357,6,FALSE())</f>
        <v>Sí</v>
      </c>
      <c r="J86" s="102" t="str">
        <f aca="false">IF(VLOOKUP($D86,'[2]5. Demanda'!$D$4:$J$357,7,FALSE())=0,"",VLOOKUP($D86,'[2]5. Demanda'!$D$4:$J$357,7,FALSE()))</f>
        <v/>
      </c>
      <c r="K86" s="79" t="n">
        <v>0.0912749483031071</v>
      </c>
      <c r="L86" s="79" t="n">
        <v>0.0388829651550479</v>
      </c>
      <c r="M86" s="79" t="n">
        <v>0.197267396713014</v>
      </c>
      <c r="N86" s="79" t="n">
        <v>0.0840355591015772</v>
      </c>
      <c r="O86" s="79" t="n">
        <v>0.174976987215136</v>
      </c>
      <c r="P86" s="79" t="n">
        <v>0.0745398844185355</v>
      </c>
      <c r="Q86" s="80"/>
      <c r="R86" s="80"/>
      <c r="S86" s="80"/>
      <c r="T86" s="80"/>
      <c r="U86" s="80"/>
      <c r="V86" s="80"/>
      <c r="W86" s="80"/>
      <c r="X86" s="80"/>
      <c r="Y86" s="80"/>
      <c r="Z86" s="75"/>
    </row>
    <row r="87" customFormat="false" ht="15.75" hidden="false" customHeight="false" outlineLevel="0" collapsed="false">
      <c r="C87" s="69" t="n">
        <v>82</v>
      </c>
      <c r="D87" s="78" t="s">
        <v>1409</v>
      </c>
      <c r="E87" s="63" t="s">
        <v>1408</v>
      </c>
      <c r="F87" s="101" t="n">
        <f aca="false">VLOOKUP(D87,'[2]5. Demanda'!$D$4:$F$357,3,FALSE())</f>
        <v>13.8</v>
      </c>
      <c r="G87" s="63" t="str">
        <f aca="false">VLOOKUP(D87,'[2]5. Demanda'!D$4:J$357,4,FALSE())</f>
        <v>residencial</v>
      </c>
      <c r="H87" s="63" t="str">
        <f aca="false">VLOOKUP($D87,'[2]5. Demanda'!$D$4:$J$357,5,FALSE())</f>
        <v>Palos 115 kV</v>
      </c>
      <c r="I87" s="63" t="str">
        <f aca="false">VLOOKUP($D87,'[2]5. Demanda'!$D$4:$J$357,6,FALSE())</f>
        <v>Sí</v>
      </c>
      <c r="J87" s="102" t="str">
        <f aca="false">IF(VLOOKUP($D87,'[2]5. Demanda'!$D$4:$J$357,7,FALSE())=0,"",VLOOKUP($D87,'[2]5. Demanda'!$D$4:$J$357,7,FALSE()))</f>
        <v/>
      </c>
      <c r="K87" s="79" t="n">
        <v>0.262686132428709</v>
      </c>
      <c r="L87" s="79" t="n">
        <v>0.111903823818349</v>
      </c>
      <c r="M87" s="79" t="n">
        <v>0.409607204689045</v>
      </c>
      <c r="N87" s="79" t="n">
        <v>0.174491938514071</v>
      </c>
      <c r="O87" s="79" t="n">
        <v>0.490158821988079</v>
      </c>
      <c r="P87" s="79" t="n">
        <v>0.208806783790345</v>
      </c>
      <c r="Q87" s="80"/>
      <c r="R87" s="80"/>
      <c r="S87" s="80"/>
      <c r="T87" s="80"/>
      <c r="U87" s="80"/>
      <c r="V87" s="80"/>
      <c r="W87" s="80"/>
      <c r="X87" s="80"/>
      <c r="Y87" s="80"/>
      <c r="Z87" s="75"/>
    </row>
    <row r="88" customFormat="false" ht="15.75" hidden="false" customHeight="false" outlineLevel="0" collapsed="false">
      <c r="C88" s="69" t="n">
        <v>83</v>
      </c>
      <c r="D88" s="78" t="s">
        <v>1410</v>
      </c>
      <c r="E88" s="63" t="s">
        <v>1408</v>
      </c>
      <c r="F88" s="101" t="n">
        <f aca="false">VLOOKUP(D88,'[2]5. Demanda'!$D$4:$F$357,3,FALSE())</f>
        <v>13.8</v>
      </c>
      <c r="G88" s="63" t="str">
        <f aca="false">VLOOKUP(D88,'[2]5. Demanda'!D$4:J$357,4,FALSE())</f>
        <v>residencial</v>
      </c>
      <c r="H88" s="63" t="str">
        <f aca="false">VLOOKUP($D88,'[2]5. Demanda'!$D$4:$J$357,5,FALSE())</f>
        <v>Palos 115 kV</v>
      </c>
      <c r="I88" s="63" t="str">
        <f aca="false">VLOOKUP($D88,'[2]5. Demanda'!$D$4:$J$357,6,FALSE())</f>
        <v>Sí</v>
      </c>
      <c r="J88" s="102" t="str">
        <f aca="false">IF(VLOOKUP($D88,'[2]5. Demanda'!$D$4:$J$357,7,FALSE())=0,"",VLOOKUP($D88,'[2]5. Demanda'!$D$4:$J$357,7,FALSE()))</f>
        <v/>
      </c>
      <c r="K88" s="79" t="n">
        <v>0.199744607956866</v>
      </c>
      <c r="L88" s="79" t="n">
        <v>0.0850908466724505</v>
      </c>
      <c r="M88" s="79" t="n">
        <v>0.309159116590448</v>
      </c>
      <c r="N88" s="79" t="n">
        <v>0.131701232169776</v>
      </c>
      <c r="O88" s="79" t="n">
        <v>0.307846096507514</v>
      </c>
      <c r="P88" s="79" t="n">
        <v>0.131141887956695</v>
      </c>
      <c r="Q88" s="80"/>
      <c r="R88" s="80"/>
      <c r="S88" s="80"/>
      <c r="T88" s="80"/>
      <c r="U88" s="80"/>
      <c r="V88" s="80"/>
      <c r="W88" s="80"/>
      <c r="X88" s="80"/>
      <c r="Y88" s="80"/>
      <c r="Z88" s="75"/>
    </row>
    <row r="89" customFormat="false" ht="15.75" hidden="false" customHeight="false" outlineLevel="0" collapsed="false">
      <c r="C89" s="69" t="n">
        <v>84</v>
      </c>
      <c r="D89" s="78" t="s">
        <v>1411</v>
      </c>
      <c r="E89" s="63" t="s">
        <v>1412</v>
      </c>
      <c r="F89" s="101" t="n">
        <f aca="false">VLOOKUP(D89,'[2]5. Demanda'!$D$4:$F$357,3,FALSE())</f>
        <v>13.8</v>
      </c>
      <c r="G89" s="63" t="str">
        <f aca="false">VLOOKUP(D89,'[2]5. Demanda'!D$4:J$357,4,FALSE())</f>
        <v>industrial</v>
      </c>
      <c r="H89" s="63" t="str">
        <f aca="false">VLOOKUP($D89,'[2]5. Demanda'!$D$4:$J$357,5,FALSE())</f>
        <v>Principal 115 kV</v>
      </c>
      <c r="I89" s="63" t="str">
        <f aca="false">VLOOKUP($D89,'[2]5. Demanda'!$D$4:$J$357,6,FALSE())</f>
        <v>Sí</v>
      </c>
      <c r="J89" s="102" t="str">
        <f aca="false">IF(VLOOKUP($D89,'[2]5. Demanda'!$D$4:$J$357,7,FALSE())=0,"",VLOOKUP($D89,'[2]5. Demanda'!$D$4:$J$357,7,FALSE()))</f>
        <v/>
      </c>
      <c r="K89" s="79" t="n">
        <v>1.25625696311583</v>
      </c>
      <c r="L89" s="79" t="n">
        <v>0.535163225296027</v>
      </c>
      <c r="M89" s="79" t="n">
        <v>2.55339061193748</v>
      </c>
      <c r="N89" s="79" t="n">
        <v>1.0877398457843</v>
      </c>
      <c r="O89" s="79" t="n">
        <v>1.78641048727262</v>
      </c>
      <c r="P89" s="79" t="n">
        <v>0.761007680865145</v>
      </c>
      <c r="Q89" s="80"/>
      <c r="R89" s="80"/>
      <c r="S89" s="80"/>
      <c r="T89" s="80"/>
      <c r="U89" s="80"/>
      <c r="V89" s="80"/>
      <c r="W89" s="80"/>
      <c r="X89" s="80"/>
      <c r="Y89" s="80"/>
      <c r="Z89" s="75"/>
    </row>
    <row r="90" customFormat="false" ht="15.75" hidden="false" customHeight="false" outlineLevel="0" collapsed="false">
      <c r="C90" s="69" t="n">
        <v>85</v>
      </c>
      <c r="D90" s="78" t="s">
        <v>1413</v>
      </c>
      <c r="E90" s="63" t="s">
        <v>1412</v>
      </c>
      <c r="F90" s="101" t="n">
        <f aca="false">VLOOKUP(D90,'[2]5. Demanda'!$D$4:$F$357,3,FALSE())</f>
        <v>13.8</v>
      </c>
      <c r="G90" s="63" t="str">
        <f aca="false">VLOOKUP(D90,'[2]5. Demanda'!D$4:J$357,4,FALSE())</f>
        <v>residencial</v>
      </c>
      <c r="H90" s="63" t="str">
        <f aca="false">VLOOKUP($D90,'[2]5. Demanda'!$D$4:$J$357,5,FALSE())</f>
        <v>Principal 115 kV</v>
      </c>
      <c r="I90" s="63" t="str">
        <f aca="false">VLOOKUP($D90,'[2]5. Demanda'!$D$4:$J$357,6,FALSE())</f>
        <v>Sí</v>
      </c>
      <c r="J90" s="102" t="str">
        <f aca="false">IF(VLOOKUP($D90,'[2]5. Demanda'!$D$4:$J$357,7,FALSE())=0,"",VLOOKUP($D90,'[2]5. Demanda'!$D$4:$J$357,7,FALSE()))</f>
        <v/>
      </c>
      <c r="K90" s="79" t="n">
        <v>0.996598936823668</v>
      </c>
      <c r="L90" s="79" t="n">
        <v>0.424549369290121</v>
      </c>
      <c r="M90" s="79" t="n">
        <v>1.61352437860438</v>
      </c>
      <c r="N90" s="79" t="n">
        <v>0.687358506977746</v>
      </c>
      <c r="O90" s="79" t="n">
        <v>1.54172149303793</v>
      </c>
      <c r="P90" s="79" t="n">
        <v>0.656770605813006</v>
      </c>
      <c r="Q90" s="80"/>
      <c r="R90" s="80"/>
      <c r="S90" s="80"/>
      <c r="T90" s="80"/>
      <c r="U90" s="80"/>
      <c r="V90" s="80"/>
      <c r="W90" s="80"/>
      <c r="X90" s="80"/>
      <c r="Y90" s="80"/>
      <c r="Z90" s="75"/>
    </row>
    <row r="91" customFormat="false" ht="15.75" hidden="false" customHeight="false" outlineLevel="0" collapsed="false">
      <c r="C91" s="69" t="n">
        <v>86</v>
      </c>
      <c r="D91" s="78" t="s">
        <v>1414</v>
      </c>
      <c r="E91" s="63" t="s">
        <v>1412</v>
      </c>
      <c r="F91" s="101" t="n">
        <f aca="false">VLOOKUP(D91,'[2]5. Demanda'!$D$4:$F$357,3,FALSE())</f>
        <v>13.8</v>
      </c>
      <c r="G91" s="63" t="str">
        <f aca="false">VLOOKUP(D91,'[2]5. Demanda'!D$4:J$357,4,FALSE())</f>
        <v>residencial</v>
      </c>
      <c r="H91" s="63" t="str">
        <f aca="false">VLOOKUP($D91,'[2]5. Demanda'!$D$4:$J$357,5,FALSE())</f>
        <v>Principal 115 kV</v>
      </c>
      <c r="I91" s="63" t="str">
        <f aca="false">VLOOKUP($D91,'[2]5. Demanda'!$D$4:$J$357,6,FALSE())</f>
        <v>Sí</v>
      </c>
      <c r="J91" s="102" t="str">
        <f aca="false">IF(VLOOKUP($D91,'[2]5. Demanda'!$D$4:$J$357,7,FALSE())=0,"",VLOOKUP($D91,'[2]5. Demanda'!$D$4:$J$357,7,FALSE()))</f>
        <v/>
      </c>
      <c r="K91" s="79" t="n">
        <v>1.18530892004408</v>
      </c>
      <c r="L91" s="79" t="n">
        <v>0.504939485509109</v>
      </c>
      <c r="M91" s="79" t="n">
        <v>1.89709180960288</v>
      </c>
      <c r="N91" s="79" t="n">
        <v>0.808157726737431</v>
      </c>
      <c r="O91" s="79" t="n">
        <v>2.06086950577147</v>
      </c>
      <c r="P91" s="79" t="n">
        <v>0.87792673314815</v>
      </c>
      <c r="Q91" s="80"/>
      <c r="R91" s="80"/>
      <c r="S91" s="80"/>
      <c r="T91" s="80"/>
      <c r="U91" s="80"/>
      <c r="V91" s="80"/>
      <c r="W91" s="80"/>
      <c r="X91" s="80"/>
      <c r="Y91" s="80"/>
      <c r="Z91" s="75"/>
    </row>
    <row r="92" customFormat="false" ht="15.75" hidden="false" customHeight="false" outlineLevel="0" collapsed="false">
      <c r="C92" s="69" t="n">
        <v>87</v>
      </c>
      <c r="D92" s="78" t="s">
        <v>1415</v>
      </c>
      <c r="E92" s="63" t="s">
        <v>1416</v>
      </c>
      <c r="F92" s="101" t="n">
        <f aca="false">VLOOKUP(D92,'[2]5. Demanda'!$D$4:$F$357,3,FALSE())</f>
        <v>13.8</v>
      </c>
      <c r="G92" s="63" t="str">
        <f aca="false">VLOOKUP(D92,'[2]5. Demanda'!D$4:J$357,4,FALSE())</f>
        <v>industrial</v>
      </c>
      <c r="H92" s="63" t="str">
        <f aca="false">VLOOKUP($D92,'[2]5. Demanda'!$D$4:$J$357,5,FALSE())</f>
        <v>Principal 115 kV</v>
      </c>
      <c r="I92" s="63" t="str">
        <f aca="false">VLOOKUP($D92,'[2]5. Demanda'!$D$4:$J$357,6,FALSE())</f>
        <v>Sí</v>
      </c>
      <c r="J92" s="102" t="str">
        <f aca="false">IF(VLOOKUP($D92,'[2]5. Demanda'!$D$4:$J$357,7,FALSE())=0,"",VLOOKUP($D92,'[2]5. Demanda'!$D$4:$J$357,7,FALSE()))</f>
        <v/>
      </c>
      <c r="K92" s="79" t="n">
        <v>0.390020375396463</v>
      </c>
      <c r="L92" s="79" t="n">
        <v>0.166147984175666</v>
      </c>
      <c r="M92" s="79" t="n">
        <v>1.07082065219511</v>
      </c>
      <c r="N92" s="79" t="n">
        <v>0.456167687636924</v>
      </c>
      <c r="O92" s="79" t="n">
        <v>0.608844716172314</v>
      </c>
      <c r="P92" s="79" t="n">
        <v>0.25936676299336</v>
      </c>
      <c r="Q92" s="80"/>
      <c r="R92" s="80"/>
      <c r="S92" s="80"/>
      <c r="T92" s="80"/>
      <c r="U92" s="80"/>
      <c r="V92" s="80"/>
      <c r="W92" s="80"/>
      <c r="X92" s="80"/>
      <c r="Y92" s="80"/>
      <c r="Z92" s="75"/>
    </row>
    <row r="93" customFormat="false" ht="15.75" hidden="false" customHeight="false" outlineLevel="0" collapsed="false">
      <c r="C93" s="69" t="n">
        <v>88</v>
      </c>
      <c r="D93" s="78" t="s">
        <v>1417</v>
      </c>
      <c r="E93" s="63" t="s">
        <v>1416</v>
      </c>
      <c r="F93" s="101" t="n">
        <f aca="false">VLOOKUP(D93,'[2]5. Demanda'!$D$4:$F$357,3,FALSE())</f>
        <v>13.8</v>
      </c>
      <c r="G93" s="63" t="str">
        <f aca="false">VLOOKUP(D93,'[2]5. Demanda'!D$4:J$357,4,FALSE())</f>
        <v>residencial</v>
      </c>
      <c r="H93" s="63" t="str">
        <f aca="false">VLOOKUP($D93,'[2]5. Demanda'!$D$4:$J$357,5,FALSE())</f>
        <v>Principal 115 kV</v>
      </c>
      <c r="I93" s="63" t="str">
        <f aca="false">VLOOKUP($D93,'[2]5. Demanda'!$D$4:$J$357,6,FALSE())</f>
        <v>Sí</v>
      </c>
      <c r="J93" s="102" t="str">
        <f aca="false">IF(VLOOKUP($D93,'[2]5. Demanda'!$D$4:$J$357,7,FALSE())=0,"",VLOOKUP($D93,'[2]5. Demanda'!$D$4:$J$357,7,FALSE()))</f>
        <v/>
      </c>
      <c r="K93" s="79" t="n">
        <v>1.47513691964154</v>
      </c>
      <c r="L93" s="79" t="n">
        <v>0.628405696323951</v>
      </c>
      <c r="M93" s="79" t="n">
        <v>1.76174169407936</v>
      </c>
      <c r="N93" s="79" t="n">
        <v>0.750498818970581</v>
      </c>
      <c r="O93" s="79" t="n">
        <v>2.24003415885273</v>
      </c>
      <c r="P93" s="79" t="n">
        <v>0.954250555755427</v>
      </c>
      <c r="Q93" s="80"/>
      <c r="R93" s="80"/>
      <c r="S93" s="80"/>
      <c r="T93" s="80"/>
      <c r="U93" s="80"/>
      <c r="V93" s="80"/>
      <c r="W93" s="80"/>
      <c r="X93" s="80"/>
      <c r="Y93" s="80"/>
      <c r="Z93" s="75"/>
    </row>
    <row r="94" customFormat="false" ht="15.75" hidden="false" customHeight="false" outlineLevel="0" collapsed="false">
      <c r="C94" s="69" t="n">
        <v>89</v>
      </c>
      <c r="D94" s="78" t="s">
        <v>1418</v>
      </c>
      <c r="E94" s="63" t="s">
        <v>1412</v>
      </c>
      <c r="F94" s="101" t="n">
        <f aca="false">VLOOKUP(D94,'[2]5. Demanda'!$D$4:$F$357,3,FALSE())</f>
        <v>13.8</v>
      </c>
      <c r="G94" s="63" t="str">
        <f aca="false">VLOOKUP(D94,'[2]5. Demanda'!D$4:J$357,4,FALSE())</f>
        <v>residencial</v>
      </c>
      <c r="H94" s="63" t="str">
        <f aca="false">VLOOKUP($D94,'[2]5. Demanda'!$D$4:$J$357,5,FALSE())</f>
        <v>Principal 115 kV</v>
      </c>
      <c r="I94" s="63" t="str">
        <f aca="false">VLOOKUP($D94,'[2]5. Demanda'!$D$4:$J$357,6,FALSE())</f>
        <v>Sí</v>
      </c>
      <c r="J94" s="102" t="str">
        <f aca="false">IF(VLOOKUP($D94,'[2]5. Demanda'!$D$4:$J$357,7,FALSE())=0,"",VLOOKUP($D94,'[2]5. Demanda'!$D$4:$J$357,7,FALSE()))</f>
        <v/>
      </c>
      <c r="K94" s="79" t="n">
        <v>0.15176798907458</v>
      </c>
      <c r="L94" s="79" t="n">
        <v>0.0646528926123502</v>
      </c>
      <c r="M94" s="79" t="n">
        <v>0.171862323885216</v>
      </c>
      <c r="N94" s="79" t="n">
        <v>0.0732130433961247</v>
      </c>
      <c r="O94" s="79" t="n">
        <v>0.23653412523288</v>
      </c>
      <c r="P94" s="79" t="n">
        <v>0.100763115404545</v>
      </c>
      <c r="Q94" s="80"/>
      <c r="R94" s="80"/>
      <c r="S94" s="80"/>
      <c r="T94" s="80"/>
      <c r="U94" s="80"/>
      <c r="V94" s="80"/>
      <c r="W94" s="80"/>
      <c r="X94" s="80"/>
      <c r="Y94" s="80"/>
      <c r="Z94" s="75"/>
    </row>
    <row r="95" customFormat="false" ht="15.75" hidden="false" customHeight="false" outlineLevel="0" collapsed="false">
      <c r="C95" s="69" t="n">
        <v>90</v>
      </c>
      <c r="D95" s="78" t="s">
        <v>1419</v>
      </c>
      <c r="E95" s="63" t="s">
        <v>1416</v>
      </c>
      <c r="F95" s="101" t="n">
        <f aca="false">VLOOKUP(D95,'[2]5. Demanda'!$D$4:$F$357,3,FALSE())</f>
        <v>13.8</v>
      </c>
      <c r="G95" s="63" t="str">
        <f aca="false">VLOOKUP(D95,'[2]5. Demanda'!D$4:J$357,4,FALSE())</f>
        <v>residencial</v>
      </c>
      <c r="H95" s="63" t="str">
        <f aca="false">VLOOKUP($D95,'[2]5. Demanda'!$D$4:$J$357,5,FALSE())</f>
        <v>Principal 115 kV</v>
      </c>
      <c r="I95" s="63" t="str">
        <f aca="false">VLOOKUP($D95,'[2]5. Demanda'!$D$4:$J$357,6,FALSE())</f>
        <v>Sí</v>
      </c>
      <c r="J95" s="102" t="str">
        <f aca="false">IF(VLOOKUP($D95,'[2]5. Demanda'!$D$4:$J$357,7,FALSE())=0,"",VLOOKUP($D95,'[2]5. Demanda'!$D$4:$J$357,7,FALSE()))</f>
        <v/>
      </c>
      <c r="K95" s="79" t="n">
        <v>1.64354589281344</v>
      </c>
      <c r="L95" s="79" t="n">
        <v>0.700147618476513</v>
      </c>
      <c r="M95" s="79" t="n">
        <v>2.55869828431689</v>
      </c>
      <c r="N95" s="79" t="n">
        <v>1.09000090474976</v>
      </c>
      <c r="O95" s="79" t="n">
        <v>2.7377858047831</v>
      </c>
      <c r="P95" s="79" t="n">
        <v>1.16629186900062</v>
      </c>
      <c r="Q95" s="80"/>
      <c r="R95" s="80"/>
      <c r="S95" s="80"/>
      <c r="T95" s="80"/>
      <c r="U95" s="80"/>
      <c r="V95" s="80"/>
      <c r="W95" s="80"/>
      <c r="X95" s="80"/>
      <c r="Y95" s="80"/>
      <c r="Z95" s="75"/>
    </row>
    <row r="96" customFormat="false" ht="15.75" hidden="false" customHeight="false" outlineLevel="0" collapsed="false">
      <c r="C96" s="69" t="n">
        <v>91</v>
      </c>
      <c r="D96" s="78" t="s">
        <v>1420</v>
      </c>
      <c r="E96" s="63" t="s">
        <v>1416</v>
      </c>
      <c r="F96" s="101" t="n">
        <f aca="false">VLOOKUP(D96,'[2]5. Demanda'!$D$4:$F$357,3,FALSE())</f>
        <v>13.8</v>
      </c>
      <c r="G96" s="63" t="str">
        <f aca="false">VLOOKUP(D96,'[2]5. Demanda'!D$4:J$357,4,FALSE())</f>
        <v>residencial</v>
      </c>
      <c r="H96" s="63" t="str">
        <f aca="false">VLOOKUP($D96,'[2]5. Demanda'!$D$4:$J$357,5,FALSE())</f>
        <v>Principal 115 kV</v>
      </c>
      <c r="I96" s="63" t="str">
        <f aca="false">VLOOKUP($D96,'[2]5. Demanda'!$D$4:$J$357,6,FALSE())</f>
        <v>Sí</v>
      </c>
      <c r="J96" s="102" t="str">
        <f aca="false">IF(VLOOKUP($D96,'[2]5. Demanda'!$D$4:$J$357,7,FALSE())=0,"",VLOOKUP($D96,'[2]5. Demanda'!$D$4:$J$357,7,FALSE()))</f>
        <v/>
      </c>
      <c r="K96" s="79" t="n">
        <v>0.857126289865584</v>
      </c>
      <c r="L96" s="79" t="n">
        <v>0.365134270486183</v>
      </c>
      <c r="M96" s="79" t="n">
        <v>1.26319633039484</v>
      </c>
      <c r="N96" s="79" t="n">
        <v>0.538119383378002</v>
      </c>
      <c r="O96" s="79" t="n">
        <v>1.18817265334386</v>
      </c>
      <c r="P96" s="79" t="n">
        <v>0.506159430786304</v>
      </c>
      <c r="Q96" s="80"/>
      <c r="R96" s="80"/>
      <c r="S96" s="80"/>
      <c r="T96" s="80"/>
      <c r="U96" s="80"/>
      <c r="V96" s="80"/>
      <c r="W96" s="80"/>
      <c r="X96" s="80"/>
      <c r="Y96" s="80"/>
      <c r="Z96" s="75"/>
    </row>
    <row r="97" customFormat="false" ht="15.75" hidden="false" customHeight="false" outlineLevel="0" collapsed="false">
      <c r="C97" s="69" t="n">
        <v>92</v>
      </c>
      <c r="D97" s="78" t="s">
        <v>1421</v>
      </c>
      <c r="E97" s="63" t="s">
        <v>1412</v>
      </c>
      <c r="F97" s="101" t="n">
        <f aca="false">VLOOKUP(D97,'[2]5. Demanda'!$D$4:$F$357,3,FALSE())</f>
        <v>13.8</v>
      </c>
      <c r="G97" s="63" t="str">
        <f aca="false">VLOOKUP(D97,'[2]5. Demanda'!D$4:J$357,4,FALSE())</f>
        <v>residencial</v>
      </c>
      <c r="H97" s="63" t="str">
        <f aca="false">VLOOKUP($D97,'[2]5. Demanda'!$D$4:$J$357,5,FALSE())</f>
        <v>Principal 115 kV</v>
      </c>
      <c r="I97" s="63" t="str">
        <f aca="false">VLOOKUP($D97,'[2]5. Demanda'!$D$4:$J$357,6,FALSE())</f>
        <v>Sí</v>
      </c>
      <c r="J97" s="102" t="str">
        <f aca="false">IF(VLOOKUP($D97,'[2]5. Demanda'!$D$4:$J$357,7,FALSE())=0,"",VLOOKUP($D97,'[2]5. Demanda'!$D$4:$J$357,7,FALSE()))</f>
        <v/>
      </c>
      <c r="K97" s="79" t="n">
        <v>0.0243587559834092</v>
      </c>
      <c r="L97" s="79" t="n">
        <v>0.0103767865962294</v>
      </c>
      <c r="M97" s="79" t="n">
        <v>0.107061623052079</v>
      </c>
      <c r="N97" s="79" t="n">
        <v>0.0456080604368323</v>
      </c>
      <c r="O97" s="79" t="n">
        <v>0.0435066677214038</v>
      </c>
      <c r="P97" s="79" t="n">
        <v>0.0185337628393486</v>
      </c>
      <c r="Q97" s="80"/>
      <c r="R97" s="80"/>
      <c r="S97" s="80"/>
      <c r="T97" s="80"/>
      <c r="U97" s="80"/>
      <c r="V97" s="80"/>
      <c r="W97" s="80"/>
      <c r="X97" s="80"/>
      <c r="Y97" s="80"/>
      <c r="Z97" s="75"/>
    </row>
    <row r="98" customFormat="false" ht="15.75" hidden="false" customHeight="false" outlineLevel="0" collapsed="false">
      <c r="C98" s="69" t="n">
        <v>93</v>
      </c>
      <c r="D98" s="78" t="s">
        <v>1422</v>
      </c>
      <c r="E98" s="63" t="s">
        <v>1416</v>
      </c>
      <c r="F98" s="101" t="n">
        <f aca="false">VLOOKUP(D98,'[2]5. Demanda'!$D$4:$F$357,3,FALSE())</f>
        <v>13.8</v>
      </c>
      <c r="G98" s="63" t="str">
        <f aca="false">VLOOKUP(D98,'[2]5. Demanda'!D$4:J$357,4,FALSE())</f>
        <v>residencial</v>
      </c>
      <c r="H98" s="63" t="str">
        <f aca="false">VLOOKUP($D98,'[2]5. Demanda'!$D$4:$J$357,5,FALSE())</f>
        <v>Principal 115 kV</v>
      </c>
      <c r="I98" s="63" t="str">
        <f aca="false">VLOOKUP($D98,'[2]5. Demanda'!$D$4:$J$357,6,FALSE())</f>
        <v>Sí</v>
      </c>
      <c r="J98" s="102" t="str">
        <f aca="false">IF(VLOOKUP($D98,'[2]5. Demanda'!$D$4:$J$357,7,FALSE())=0,"",VLOOKUP($D98,'[2]5. Demanda'!$D$4:$J$357,7,FALSE()))</f>
        <v/>
      </c>
      <c r="K98" s="79" t="n">
        <v>0.408079521924646</v>
      </c>
      <c r="L98" s="79" t="n">
        <v>0.173841148381615</v>
      </c>
      <c r="M98" s="79" t="n">
        <v>1.33026413297561</v>
      </c>
      <c r="N98" s="79" t="n">
        <v>0.566690147637586</v>
      </c>
      <c r="O98" s="79" t="n">
        <v>0.692758990961872</v>
      </c>
      <c r="P98" s="79" t="n">
        <v>0.295114094362075</v>
      </c>
      <c r="Q98" s="80"/>
      <c r="R98" s="80"/>
      <c r="S98" s="80"/>
      <c r="T98" s="80"/>
      <c r="U98" s="80"/>
      <c r="V98" s="80"/>
      <c r="W98" s="80"/>
      <c r="X98" s="80"/>
      <c r="Y98" s="80"/>
      <c r="Z98" s="75"/>
    </row>
    <row r="99" customFormat="false" ht="15.75" hidden="false" customHeight="false" outlineLevel="0" collapsed="false">
      <c r="C99" s="69" t="n">
        <v>94</v>
      </c>
      <c r="D99" s="78" t="s">
        <v>1423</v>
      </c>
      <c r="E99" s="63" t="s">
        <v>1424</v>
      </c>
      <c r="F99" s="101" t="n">
        <f aca="false">VLOOKUP(D99,'[2]5. Demanda'!$D$4:$F$357,3,FALSE())</f>
        <v>11.4</v>
      </c>
      <c r="G99" s="63" t="str">
        <f aca="false">VLOOKUP(D99,'[2]5. Demanda'!D$4:J$357,4,FALSE())</f>
        <v>residencial</v>
      </c>
      <c r="H99" s="63" t="str">
        <f aca="false">VLOOKUP($D99,'[2]5. Demanda'!$D$4:$J$357,5,FALSE())</f>
        <v>Palos 115 kV</v>
      </c>
      <c r="I99" s="63" t="str">
        <f aca="false">VLOOKUP($D99,'[2]5. Demanda'!$D$4:$J$357,6,FALSE())</f>
        <v>Sí</v>
      </c>
      <c r="J99" s="102" t="str">
        <f aca="false">IF(VLOOKUP($D99,'[2]5. Demanda'!$D$4:$J$357,7,FALSE())=0,"",VLOOKUP($D99,'[2]5. Demanda'!$D$4:$J$357,7,FALSE()))</f>
        <v/>
      </c>
      <c r="K99" s="79" t="n">
        <v>0.0899504452912281</v>
      </c>
      <c r="L99" s="79" t="n">
        <v>0.0383187292347205</v>
      </c>
      <c r="M99" s="79" t="n">
        <v>0.140766013415045</v>
      </c>
      <c r="N99" s="79" t="n">
        <v>0.0599660706074142</v>
      </c>
      <c r="O99" s="79" t="n">
        <v>0.183835206472197</v>
      </c>
      <c r="P99" s="79" t="n">
        <v>0.0783134700201868</v>
      </c>
      <c r="Q99" s="80"/>
      <c r="R99" s="80"/>
      <c r="S99" s="80"/>
      <c r="T99" s="80"/>
      <c r="U99" s="80"/>
      <c r="V99" s="80"/>
      <c r="W99" s="80"/>
      <c r="X99" s="80"/>
      <c r="Y99" s="80"/>
      <c r="Z99" s="75"/>
    </row>
    <row r="100" customFormat="false" ht="15.75" hidden="false" customHeight="false" outlineLevel="0" collapsed="false">
      <c r="C100" s="69" t="n">
        <v>95</v>
      </c>
      <c r="D100" s="78" t="s">
        <v>1425</v>
      </c>
      <c r="E100" s="63" t="s">
        <v>1424</v>
      </c>
      <c r="F100" s="101" t="n">
        <f aca="false">VLOOKUP(D100,'[2]5. Demanda'!$D$4:$F$357,3,FALSE())</f>
        <v>11.4</v>
      </c>
      <c r="G100" s="63" t="str">
        <f aca="false">VLOOKUP(D100,'[2]5. Demanda'!D$4:J$357,4,FALSE())</f>
        <v>residencial</v>
      </c>
      <c r="H100" s="63" t="str">
        <f aca="false">VLOOKUP($D100,'[2]5. Demanda'!$D$4:$J$357,5,FALSE())</f>
        <v>Palos 115 kV</v>
      </c>
      <c r="I100" s="63" t="str">
        <f aca="false">VLOOKUP($D100,'[2]5. Demanda'!$D$4:$J$357,6,FALSE())</f>
        <v>Sí</v>
      </c>
      <c r="J100" s="102" t="str">
        <f aca="false">IF(VLOOKUP($D100,'[2]5. Demanda'!$D$4:$J$357,7,FALSE())=0,"",VLOOKUP($D100,'[2]5. Demanda'!$D$4:$J$357,7,FALSE()))</f>
        <v/>
      </c>
      <c r="K100" s="79" t="n">
        <v>0.482370363461258</v>
      </c>
      <c r="L100" s="79" t="n">
        <v>0.205488914351469</v>
      </c>
      <c r="M100" s="79" t="n">
        <v>0.696311169428245</v>
      </c>
      <c r="N100" s="79" t="n">
        <v>0.296627316052147</v>
      </c>
      <c r="O100" s="79" t="n">
        <v>0.865885872982835</v>
      </c>
      <c r="P100" s="79" t="n">
        <v>0.368865837268228</v>
      </c>
      <c r="Q100" s="80"/>
      <c r="R100" s="80"/>
      <c r="S100" s="80"/>
      <c r="T100" s="80"/>
      <c r="U100" s="80"/>
      <c r="V100" s="80"/>
      <c r="W100" s="80"/>
      <c r="X100" s="80"/>
      <c r="Y100" s="80"/>
      <c r="Z100" s="75"/>
    </row>
    <row r="101" customFormat="false" ht="15.75" hidden="false" customHeight="false" outlineLevel="0" collapsed="false">
      <c r="C101" s="69" t="n">
        <v>96</v>
      </c>
      <c r="D101" s="78" t="s">
        <v>1426</v>
      </c>
      <c r="E101" s="63" t="s">
        <v>1427</v>
      </c>
      <c r="F101" s="101" t="n">
        <f aca="false">VLOOKUP(D101,'[2]5. Demanda'!$D$4:$F$357,3,FALSE())</f>
        <v>13.8</v>
      </c>
      <c r="G101" s="63" t="str">
        <f aca="false">VLOOKUP(D101,'[2]5. Demanda'!D$4:J$357,4,FALSE())</f>
        <v>industrial</v>
      </c>
      <c r="H101" s="63" t="str">
        <f aca="false">VLOOKUP($D101,'[2]5. Demanda'!$D$4:$J$357,5,FALSE())</f>
        <v>Palenque 115 kV
Real de Minas 115 kV</v>
      </c>
      <c r="I101" s="63" t="str">
        <f aca="false">VLOOKUP($D101,'[2]5. Demanda'!$D$4:$J$357,6,FALSE())</f>
        <v>Sí</v>
      </c>
      <c r="J101" s="102" t="str">
        <f aca="false">IF(VLOOKUP($D101,'[2]5. Demanda'!$D$4:$J$357,7,FALSE())=0,"",VLOOKUP($D101,'[2]5. Demanda'!$D$4:$J$357,7,FALSE()))</f>
        <v/>
      </c>
      <c r="K101" s="79" t="n">
        <v>1.30175648185737</v>
      </c>
      <c r="L101" s="79" t="n">
        <v>0.55454593911498</v>
      </c>
      <c r="M101" s="79" t="n">
        <v>2.67704001593889</v>
      </c>
      <c r="N101" s="79" t="n">
        <v>1.1404142713152</v>
      </c>
      <c r="O101" s="79" t="n">
        <v>2.21702288409078</v>
      </c>
      <c r="P101" s="79" t="n">
        <v>0.944447793755817</v>
      </c>
      <c r="Q101" s="80"/>
      <c r="R101" s="80"/>
      <c r="S101" s="80"/>
      <c r="T101" s="80"/>
      <c r="U101" s="80"/>
      <c r="V101" s="80"/>
      <c r="W101" s="80"/>
      <c r="X101" s="80"/>
      <c r="Y101" s="80"/>
      <c r="Z101" s="75"/>
    </row>
    <row r="102" customFormat="false" ht="15.75" hidden="false" customHeight="false" outlineLevel="0" collapsed="false">
      <c r="C102" s="69" t="n">
        <v>97</v>
      </c>
      <c r="D102" s="78" t="s">
        <v>1428</v>
      </c>
      <c r="E102" s="63" t="s">
        <v>1427</v>
      </c>
      <c r="F102" s="101" t="n">
        <f aca="false">VLOOKUP(D102,'[2]5. Demanda'!$D$4:$F$357,3,FALSE())</f>
        <v>13.8</v>
      </c>
      <c r="G102" s="63" t="str">
        <f aca="false">VLOOKUP(D102,'[2]5. Demanda'!D$4:J$357,4,FALSE())</f>
        <v>industrial</v>
      </c>
      <c r="H102" s="63" t="str">
        <f aca="false">VLOOKUP($D102,'[2]5. Demanda'!$D$4:$J$357,5,FALSE())</f>
        <v>Palenque 115 kV
Real de Minas 115 kV</v>
      </c>
      <c r="I102" s="63" t="str">
        <f aca="false">VLOOKUP($D102,'[2]5. Demanda'!$D$4:$J$357,6,FALSE())</f>
        <v>Sí</v>
      </c>
      <c r="J102" s="102" t="str">
        <f aca="false">IF(VLOOKUP($D102,'[2]5. Demanda'!$D$4:$J$357,7,FALSE())=0,"",VLOOKUP($D102,'[2]5. Demanda'!$D$4:$J$357,7,FALSE()))</f>
        <v/>
      </c>
      <c r="K102" s="79" t="n">
        <v>0.515702493233987</v>
      </c>
      <c r="L102" s="79" t="n">
        <v>0.219688342174671</v>
      </c>
      <c r="M102" s="79" t="n">
        <v>1.50385754524591</v>
      </c>
      <c r="N102" s="79" t="n">
        <v>0.640640631597731</v>
      </c>
      <c r="O102" s="79" t="n">
        <v>0.828813457436129</v>
      </c>
      <c r="P102" s="79" t="n">
        <v>0.353073054377471</v>
      </c>
      <c r="Q102" s="80"/>
      <c r="R102" s="80"/>
      <c r="S102" s="80"/>
      <c r="T102" s="80"/>
      <c r="U102" s="80"/>
      <c r="V102" s="80"/>
      <c r="W102" s="80"/>
      <c r="X102" s="80"/>
      <c r="Y102" s="80"/>
      <c r="Z102" s="75"/>
    </row>
    <row r="103" customFormat="false" ht="15.75" hidden="false" customHeight="false" outlineLevel="0" collapsed="false">
      <c r="C103" s="69" t="n">
        <v>98</v>
      </c>
      <c r="D103" s="78" t="s">
        <v>1429</v>
      </c>
      <c r="E103" s="63" t="s">
        <v>1427</v>
      </c>
      <c r="F103" s="101" t="n">
        <f aca="false">VLOOKUP(D103,'[2]5. Demanda'!$D$4:$F$357,3,FALSE())</f>
        <v>13.8</v>
      </c>
      <c r="G103" s="63" t="str">
        <f aca="false">VLOOKUP(D103,'[2]5. Demanda'!D$4:J$357,4,FALSE())</f>
        <v>residencial</v>
      </c>
      <c r="H103" s="63" t="str">
        <f aca="false">VLOOKUP($D103,'[2]5. Demanda'!$D$4:$J$357,5,FALSE())</f>
        <v>Palenque 115 kV
Real de Minas 115 kV</v>
      </c>
      <c r="I103" s="63" t="str">
        <f aca="false">VLOOKUP($D103,'[2]5. Demanda'!$D$4:$J$357,6,FALSE())</f>
        <v>Sí</v>
      </c>
      <c r="J103" s="102" t="str">
        <f aca="false">IF(VLOOKUP($D103,'[2]5. Demanda'!$D$4:$J$357,7,FALSE())=0,"",VLOOKUP($D103,'[2]5. Demanda'!$D$4:$J$357,7,FALSE()))</f>
        <v/>
      </c>
      <c r="K103" s="79" t="n">
        <v>1.66603281686424</v>
      </c>
      <c r="L103" s="79" t="n">
        <v>0.709727008008542</v>
      </c>
      <c r="M103" s="79" t="n">
        <v>3.89106895634554</v>
      </c>
      <c r="N103" s="79" t="n">
        <v>1.65758843426616</v>
      </c>
      <c r="O103" s="79" t="n">
        <v>2.73439773813947</v>
      </c>
      <c r="P103" s="79" t="n">
        <v>1.16484855865429</v>
      </c>
      <c r="Q103" s="80"/>
      <c r="R103" s="80"/>
      <c r="S103" s="80"/>
      <c r="T103" s="80"/>
      <c r="U103" s="80"/>
      <c r="V103" s="80"/>
      <c r="W103" s="80"/>
      <c r="X103" s="80"/>
      <c r="Y103" s="80"/>
      <c r="Z103" s="75"/>
    </row>
    <row r="104" customFormat="false" ht="15.75" hidden="false" customHeight="false" outlineLevel="0" collapsed="false">
      <c r="C104" s="69" t="n">
        <v>99</v>
      </c>
      <c r="D104" s="78" t="s">
        <v>1430</v>
      </c>
      <c r="E104" s="63" t="s">
        <v>1427</v>
      </c>
      <c r="F104" s="101" t="n">
        <f aca="false">VLOOKUP(D104,'[2]5. Demanda'!$D$4:$F$357,3,FALSE())</f>
        <v>13.8</v>
      </c>
      <c r="G104" s="63" t="str">
        <f aca="false">VLOOKUP(D104,'[2]5. Demanda'!D$4:J$357,4,FALSE())</f>
        <v>residencial</v>
      </c>
      <c r="H104" s="63" t="str">
        <f aca="false">VLOOKUP($D104,'[2]5. Demanda'!$D$4:$J$357,5,FALSE())</f>
        <v>Palenque 115 kV
Real de Minas 115 kV</v>
      </c>
      <c r="I104" s="63" t="str">
        <f aca="false">VLOOKUP($D104,'[2]5. Demanda'!$D$4:$J$357,6,FALSE())</f>
        <v>Sí</v>
      </c>
      <c r="J104" s="102" t="str">
        <f aca="false">IF(VLOOKUP($D104,'[2]5. Demanda'!$D$4:$J$357,7,FALSE())=0,"",VLOOKUP($D104,'[2]5. Demanda'!$D$4:$J$357,7,FALSE()))</f>
        <v/>
      </c>
      <c r="K104" s="79" t="n">
        <v>1.87555699351806</v>
      </c>
      <c r="L104" s="79" t="n">
        <v>0.798983933500475</v>
      </c>
      <c r="M104" s="79" t="n">
        <v>3.40915220771433</v>
      </c>
      <c r="N104" s="79" t="n">
        <v>1.45229275902311</v>
      </c>
      <c r="O104" s="79" t="n">
        <v>3.02663707714727</v>
      </c>
      <c r="P104" s="79" t="n">
        <v>1.28934199575643</v>
      </c>
      <c r="Q104" s="80"/>
      <c r="R104" s="80"/>
      <c r="S104" s="80"/>
      <c r="T104" s="80"/>
      <c r="U104" s="80"/>
      <c r="V104" s="80"/>
      <c r="W104" s="80"/>
      <c r="X104" s="80"/>
      <c r="Y104" s="80"/>
      <c r="Z104" s="75"/>
    </row>
    <row r="105" customFormat="false" ht="15.75" hidden="false" customHeight="false" outlineLevel="0" collapsed="false">
      <c r="C105" s="69" t="n">
        <v>100</v>
      </c>
      <c r="D105" s="78" t="s">
        <v>1431</v>
      </c>
      <c r="E105" s="63" t="s">
        <v>1432</v>
      </c>
      <c r="F105" s="101" t="n">
        <f aca="false">VLOOKUP(D105,'[2]5. Demanda'!$D$4:$F$357,3,FALSE())</f>
        <v>13.8</v>
      </c>
      <c r="G105" s="63" t="str">
        <f aca="false">VLOOKUP(D105,'[2]5. Demanda'!D$4:J$357,4,FALSE())</f>
        <v>residencial</v>
      </c>
      <c r="H105" s="63" t="str">
        <f aca="false">VLOOKUP($D105,'[2]5. Demanda'!$D$4:$J$357,5,FALSE())</f>
        <v>Palenque 115 kV
Real de Minas 115 kV</v>
      </c>
      <c r="I105" s="63" t="str">
        <f aca="false">VLOOKUP($D105,'[2]5. Demanda'!$D$4:$J$357,6,FALSE())</f>
        <v>Sí</v>
      </c>
      <c r="J105" s="102" t="str">
        <f aca="false">IF(VLOOKUP($D105,'[2]5. Demanda'!$D$4:$J$357,7,FALSE())=0,"",VLOOKUP($D105,'[2]5. Demanda'!$D$4:$J$357,7,FALSE()))</f>
        <v/>
      </c>
      <c r="K105" s="79" t="n">
        <v>1.29228195601218</v>
      </c>
      <c r="L105" s="79" t="n">
        <v>0.550509808006195</v>
      </c>
      <c r="M105" s="79" t="n">
        <v>2.22251553591184</v>
      </c>
      <c r="N105" s="79" t="n">
        <v>0.946787653633447</v>
      </c>
      <c r="O105" s="79" t="n">
        <v>1.99795419311466</v>
      </c>
      <c r="P105" s="79" t="n">
        <v>0.851124922188695</v>
      </c>
      <c r="Q105" s="80"/>
      <c r="R105" s="80"/>
      <c r="S105" s="80"/>
      <c r="T105" s="80"/>
      <c r="U105" s="80"/>
      <c r="V105" s="80"/>
      <c r="W105" s="80"/>
      <c r="X105" s="80"/>
      <c r="Y105" s="80"/>
      <c r="Z105" s="75"/>
    </row>
    <row r="106" customFormat="false" ht="15.75" hidden="false" customHeight="false" outlineLevel="0" collapsed="false">
      <c r="C106" s="69" t="n">
        <v>101</v>
      </c>
      <c r="D106" s="78" t="s">
        <v>1433</v>
      </c>
      <c r="E106" s="63" t="s">
        <v>1432</v>
      </c>
      <c r="F106" s="101" t="n">
        <f aca="false">VLOOKUP(D106,'[2]5. Demanda'!$D$4:$F$357,3,FALSE())</f>
        <v>13.8</v>
      </c>
      <c r="G106" s="63" t="str">
        <f aca="false">VLOOKUP(D106,'[2]5. Demanda'!D$4:J$357,4,FALSE())</f>
        <v>industrial</v>
      </c>
      <c r="H106" s="63" t="str">
        <f aca="false">VLOOKUP($D106,'[2]5. Demanda'!$D$4:$J$357,5,FALSE())</f>
        <v>Palenque 115 kV
Real de Minas 115 kV</v>
      </c>
      <c r="I106" s="63" t="str">
        <f aca="false">VLOOKUP($D106,'[2]5. Demanda'!$D$4:$J$357,6,FALSE())</f>
        <v>Sí</v>
      </c>
      <c r="J106" s="102" t="str">
        <f aca="false">IF(VLOOKUP($D106,'[2]5. Demanda'!$D$4:$J$357,7,FALSE())=0,"",VLOOKUP($D106,'[2]5. Demanda'!$D$4:$J$357,7,FALSE()))</f>
        <v/>
      </c>
      <c r="K106" s="79" t="n">
        <v>0.616798812361916</v>
      </c>
      <c r="L106" s="79" t="n">
        <v>0.262755193781106</v>
      </c>
      <c r="M106" s="79" t="n">
        <v>2.59926118195671</v>
      </c>
      <c r="N106" s="79" t="n">
        <v>1.10728062678564</v>
      </c>
      <c r="O106" s="79" t="n">
        <v>1.27387743206607</v>
      </c>
      <c r="P106" s="79" t="n">
        <v>0.542669513636313</v>
      </c>
      <c r="Q106" s="80"/>
      <c r="R106" s="80"/>
      <c r="S106" s="80"/>
      <c r="T106" s="80"/>
      <c r="U106" s="80"/>
      <c r="V106" s="80"/>
      <c r="W106" s="80"/>
      <c r="X106" s="80"/>
      <c r="Y106" s="80"/>
      <c r="Z106" s="75"/>
    </row>
    <row r="107" customFormat="false" ht="15.75" hidden="false" customHeight="false" outlineLevel="0" collapsed="false">
      <c r="C107" s="69" t="n">
        <v>102</v>
      </c>
      <c r="D107" s="78" t="s">
        <v>1434</v>
      </c>
      <c r="E107" s="63" t="s">
        <v>1432</v>
      </c>
      <c r="F107" s="101" t="n">
        <f aca="false">VLOOKUP(D107,'[2]5. Demanda'!$D$4:$F$357,3,FALSE())</f>
        <v>13.8</v>
      </c>
      <c r="G107" s="63" t="str">
        <f aca="false">VLOOKUP(D107,'[2]5. Demanda'!D$4:J$357,4,FALSE())</f>
        <v>residencial</v>
      </c>
      <c r="H107" s="63" t="str">
        <f aca="false">VLOOKUP($D107,'[2]5. Demanda'!$D$4:$J$357,5,FALSE())</f>
        <v>Palenque 115 kV
Real de Minas 115 kV</v>
      </c>
      <c r="I107" s="63" t="str">
        <f aca="false">VLOOKUP($D107,'[2]5. Demanda'!$D$4:$J$357,6,FALSE())</f>
        <v>Sí</v>
      </c>
      <c r="J107" s="102" t="str">
        <f aca="false">IF(VLOOKUP($D107,'[2]5. Demanda'!$D$4:$J$357,7,FALSE())=0,"",VLOOKUP($D107,'[2]5. Demanda'!$D$4:$J$357,7,FALSE()))</f>
        <v/>
      </c>
      <c r="K107" s="79" t="n">
        <v>1.53169068837891</v>
      </c>
      <c r="L107" s="79" t="n">
        <v>0.652497500921852</v>
      </c>
      <c r="M107" s="79" t="n">
        <v>3.34171746186133</v>
      </c>
      <c r="N107" s="79" t="n">
        <v>1.42356567758413</v>
      </c>
      <c r="O107" s="79" t="n">
        <v>2.67630605994202</v>
      </c>
      <c r="P107" s="79" t="n">
        <v>1.14010160736982</v>
      </c>
      <c r="Q107" s="80"/>
      <c r="R107" s="80"/>
      <c r="S107" s="80"/>
      <c r="T107" s="80"/>
      <c r="U107" s="80"/>
      <c r="V107" s="80"/>
      <c r="W107" s="80"/>
      <c r="X107" s="80"/>
      <c r="Y107" s="80"/>
      <c r="Z107" s="75"/>
    </row>
    <row r="108" customFormat="false" ht="15.75" hidden="false" customHeight="false" outlineLevel="0" collapsed="false">
      <c r="C108" s="69" t="n">
        <v>103</v>
      </c>
      <c r="D108" s="78" t="s">
        <v>1435</v>
      </c>
      <c r="E108" s="63" t="s">
        <v>1432</v>
      </c>
      <c r="F108" s="101" t="n">
        <f aca="false">VLOOKUP(D108,'[2]5. Demanda'!$D$4:$F$357,3,FALSE())</f>
        <v>13.8</v>
      </c>
      <c r="G108" s="63" t="str">
        <f aca="false">VLOOKUP(D108,'[2]5. Demanda'!D$4:J$357,4,FALSE())</f>
        <v>industrial</v>
      </c>
      <c r="H108" s="63" t="str">
        <f aca="false">VLOOKUP($D108,'[2]5. Demanda'!$D$4:$J$357,5,FALSE())</f>
        <v>Palenque 115 kV
Real de Minas 115 kV</v>
      </c>
      <c r="I108" s="63" t="str">
        <f aca="false">VLOOKUP($D108,'[2]5. Demanda'!$D$4:$J$357,6,FALSE())</f>
        <v>Sí</v>
      </c>
      <c r="J108" s="102" t="str">
        <f aca="false">IF(VLOOKUP($D108,'[2]5. Demanda'!$D$4:$J$357,7,FALSE())=0,"",VLOOKUP($D108,'[2]5. Demanda'!$D$4:$J$357,7,FALSE()))</f>
        <v/>
      </c>
      <c r="K108" s="79" t="n">
        <v>0.3250117773033</v>
      </c>
      <c r="L108" s="79" t="n">
        <v>0.138454437354463</v>
      </c>
      <c r="M108" s="79" t="n">
        <v>1.35137709749263</v>
      </c>
      <c r="N108" s="79" t="n">
        <v>0.575684232859183</v>
      </c>
      <c r="O108" s="79" t="n">
        <v>0.639107074392691</v>
      </c>
      <c r="P108" s="79" t="n">
        <v>0.272258473611315</v>
      </c>
      <c r="Q108" s="80"/>
      <c r="R108" s="80"/>
      <c r="S108" s="80"/>
      <c r="T108" s="80"/>
      <c r="U108" s="80"/>
      <c r="V108" s="80"/>
      <c r="W108" s="80"/>
      <c r="X108" s="80"/>
      <c r="Y108" s="80"/>
      <c r="Z108" s="75"/>
    </row>
    <row r="109" customFormat="false" ht="15.75" hidden="false" customHeight="false" outlineLevel="0" collapsed="false">
      <c r="C109" s="69" t="n">
        <v>104</v>
      </c>
      <c r="D109" s="78" t="s">
        <v>1436</v>
      </c>
      <c r="E109" s="63" t="s">
        <v>1432</v>
      </c>
      <c r="F109" s="101" t="n">
        <f aca="false">VLOOKUP(D109,'[2]5. Demanda'!$D$4:$F$357,3,FALSE())</f>
        <v>13.8</v>
      </c>
      <c r="G109" s="63" t="str">
        <f aca="false">VLOOKUP(D109,'[2]5. Demanda'!D$4:J$357,4,FALSE())</f>
        <v>industrial</v>
      </c>
      <c r="H109" s="63" t="str">
        <f aca="false">VLOOKUP($D109,'[2]5. Demanda'!$D$4:$J$357,5,FALSE())</f>
        <v>Palenque 115 kV
Real de Minas 115 kV</v>
      </c>
      <c r="I109" s="63" t="str">
        <f aca="false">VLOOKUP($D109,'[2]5. Demanda'!$D$4:$J$357,6,FALSE())</f>
        <v>Sí</v>
      </c>
      <c r="J109" s="102" t="str">
        <f aca="false">IF(VLOOKUP($D109,'[2]5. Demanda'!$D$4:$J$357,7,FALSE())=0,"",VLOOKUP($D109,'[2]5. Demanda'!$D$4:$J$357,7,FALSE()))</f>
        <v/>
      </c>
      <c r="K109" s="79" t="n">
        <v>1.1655611204084</v>
      </c>
      <c r="L109" s="79" t="n">
        <v>0.496526958091695</v>
      </c>
      <c r="M109" s="79" t="n">
        <v>2.62838270793161</v>
      </c>
      <c r="N109" s="79" t="n">
        <v>1.11968634490212</v>
      </c>
      <c r="O109" s="79" t="n">
        <v>1.83669718860213</v>
      </c>
      <c r="P109" s="79" t="n">
        <v>0.782429725926888</v>
      </c>
      <c r="Q109" s="80"/>
      <c r="R109" s="80"/>
      <c r="S109" s="80"/>
      <c r="T109" s="80"/>
      <c r="U109" s="80"/>
      <c r="V109" s="80"/>
      <c r="W109" s="80"/>
      <c r="X109" s="80"/>
      <c r="Y109" s="80"/>
      <c r="Z109" s="75"/>
    </row>
    <row r="110" customFormat="false" ht="15.75" hidden="false" customHeight="false" outlineLevel="0" collapsed="false">
      <c r="C110" s="69" t="n">
        <v>105</v>
      </c>
      <c r="D110" s="78" t="s">
        <v>1437</v>
      </c>
      <c r="E110" s="63" t="s">
        <v>1432</v>
      </c>
      <c r="F110" s="101" t="n">
        <f aca="false">VLOOKUP(D110,'[2]5. Demanda'!$D$4:$F$357,3,FALSE())</f>
        <v>13.8</v>
      </c>
      <c r="G110" s="63" t="str">
        <f aca="false">VLOOKUP(D110,'[2]5. Demanda'!D$4:J$357,4,FALSE())</f>
        <v>residencial</v>
      </c>
      <c r="H110" s="63" t="str">
        <f aca="false">VLOOKUP($D110,'[2]5. Demanda'!$D$4:$J$357,5,FALSE())</f>
        <v>Palenque 115 kV
Real de Minas 115 kV</v>
      </c>
      <c r="I110" s="63" t="str">
        <f aca="false">VLOOKUP($D110,'[2]5. Demanda'!$D$4:$J$357,6,FALSE())</f>
        <v>Sí</v>
      </c>
      <c r="J110" s="102" t="str">
        <f aca="false">IF(VLOOKUP($D110,'[2]5. Demanda'!$D$4:$J$357,7,FALSE())=0,"",VLOOKUP($D110,'[2]5. Demanda'!$D$4:$J$357,7,FALSE()))</f>
        <v/>
      </c>
      <c r="K110" s="79" t="n">
        <v>1.04848504944803</v>
      </c>
      <c r="L110" s="79" t="n">
        <v>0.446652760710341</v>
      </c>
      <c r="M110" s="79" t="n">
        <v>1.97790883156353</v>
      </c>
      <c r="N110" s="79" t="n">
        <v>0.842585633926109</v>
      </c>
      <c r="O110" s="79" t="n">
        <v>1.76121338422066</v>
      </c>
      <c r="P110" s="79" t="n">
        <v>0.750273759913209</v>
      </c>
      <c r="Q110" s="80"/>
      <c r="R110" s="80"/>
      <c r="S110" s="80"/>
      <c r="T110" s="80"/>
      <c r="U110" s="80"/>
      <c r="V110" s="80"/>
      <c r="W110" s="80"/>
      <c r="X110" s="80"/>
      <c r="Y110" s="80"/>
      <c r="Z110" s="75"/>
    </row>
    <row r="111" customFormat="false" ht="15.75" hidden="false" customHeight="false" outlineLevel="0" collapsed="false">
      <c r="C111" s="69" t="n">
        <v>106</v>
      </c>
      <c r="D111" s="78" t="s">
        <v>1438</v>
      </c>
      <c r="E111" s="63" t="s">
        <v>1439</v>
      </c>
      <c r="F111" s="101" t="n">
        <f aca="false">VLOOKUP(D111,'[2]5. Demanda'!$D$4:$F$357,3,FALSE())</f>
        <v>13.8</v>
      </c>
      <c r="G111" s="63" t="str">
        <f aca="false">VLOOKUP(D111,'[2]5. Demanda'!D$4:J$357,4,FALSE())</f>
        <v>residencial</v>
      </c>
      <c r="H111" s="63" t="str">
        <f aca="false">VLOOKUP($D111,'[2]5. Demanda'!$D$4:$J$357,5,FALSE())</f>
        <v>Piedecuesta 115 kV</v>
      </c>
      <c r="I111" s="63" t="str">
        <f aca="false">VLOOKUP($D111,'[2]5. Demanda'!$D$4:$J$357,6,FALSE())</f>
        <v>No</v>
      </c>
      <c r="J111" s="102" t="n">
        <f aca="false">IF(VLOOKUP($D111,'[2]5. Demanda'!$D$4:$J$357,7,FALSE())=0,"",VLOOKUP($D111,'[2]5. Demanda'!$D$4:$J$357,7,FALSE()))</f>
        <v>46752</v>
      </c>
      <c r="K111" s="79" t="n">
        <v>0</v>
      </c>
      <c r="L111" s="79" t="n">
        <v>0</v>
      </c>
      <c r="M111" s="79" t="n">
        <v>0</v>
      </c>
      <c r="N111" s="79" t="n">
        <v>0</v>
      </c>
      <c r="O111" s="79" t="n">
        <v>0</v>
      </c>
      <c r="P111" s="79" t="n">
        <v>0</v>
      </c>
      <c r="Q111" s="80"/>
      <c r="R111" s="80"/>
      <c r="S111" s="80"/>
      <c r="T111" s="80"/>
      <c r="U111" s="80"/>
      <c r="V111" s="80"/>
      <c r="W111" s="80"/>
      <c r="X111" s="80"/>
      <c r="Y111" s="80"/>
      <c r="Z111" s="75"/>
    </row>
    <row r="112" customFormat="false" ht="15.75" hidden="false" customHeight="false" outlineLevel="0" collapsed="false">
      <c r="C112" s="69" t="n">
        <v>107</v>
      </c>
      <c r="D112" s="78" t="s">
        <v>1440</v>
      </c>
      <c r="E112" s="63" t="s">
        <v>1439</v>
      </c>
      <c r="F112" s="101" t="n">
        <f aca="false">VLOOKUP(D112,'[2]5. Demanda'!$D$4:$F$357,3,FALSE())</f>
        <v>13.8</v>
      </c>
      <c r="G112" s="63" t="str">
        <f aca="false">VLOOKUP(D112,'[2]5. Demanda'!D$4:J$357,4,FALSE())</f>
        <v>residencial</v>
      </c>
      <c r="H112" s="63" t="str">
        <f aca="false">VLOOKUP($D112,'[2]5. Demanda'!$D$4:$J$357,5,FALSE())</f>
        <v>Piedecuesta 115 kV</v>
      </c>
      <c r="I112" s="63" t="str">
        <f aca="false">VLOOKUP($D112,'[2]5. Demanda'!$D$4:$J$357,6,FALSE())</f>
        <v>No</v>
      </c>
      <c r="J112" s="102" t="n">
        <f aca="false">IF(VLOOKUP($D112,'[2]5. Demanda'!$D$4:$J$357,7,FALSE())=0,"",VLOOKUP($D112,'[2]5. Demanda'!$D$4:$J$357,7,FALSE()))</f>
        <v>46752</v>
      </c>
      <c r="K112" s="79" t="n">
        <v>0</v>
      </c>
      <c r="L112" s="79" t="n">
        <v>0</v>
      </c>
      <c r="M112" s="79" t="n">
        <v>0</v>
      </c>
      <c r="N112" s="79" t="n">
        <v>0</v>
      </c>
      <c r="O112" s="79" t="n">
        <v>0</v>
      </c>
      <c r="P112" s="79" t="n">
        <v>0</v>
      </c>
      <c r="Q112" s="80"/>
      <c r="R112" s="80"/>
      <c r="S112" s="80"/>
      <c r="T112" s="80"/>
      <c r="U112" s="80"/>
      <c r="V112" s="80"/>
      <c r="W112" s="80"/>
      <c r="X112" s="80"/>
      <c r="Y112" s="80"/>
      <c r="Z112" s="75"/>
    </row>
    <row r="113" customFormat="false" ht="15.75" hidden="false" customHeight="false" outlineLevel="0" collapsed="false">
      <c r="C113" s="69" t="n">
        <v>108</v>
      </c>
      <c r="D113" s="78" t="s">
        <v>1441</v>
      </c>
      <c r="E113" s="63" t="s">
        <v>1439</v>
      </c>
      <c r="F113" s="101" t="n">
        <f aca="false">VLOOKUP(D113,'[2]5. Demanda'!$D$4:$F$357,3,FALSE())</f>
        <v>13.8</v>
      </c>
      <c r="G113" s="63" t="str">
        <f aca="false">VLOOKUP(D113,'[2]5. Demanda'!D$4:J$357,4,FALSE())</f>
        <v>residencial</v>
      </c>
      <c r="H113" s="63" t="str">
        <f aca="false">VLOOKUP($D113,'[2]5. Demanda'!$D$4:$J$357,5,FALSE())</f>
        <v>Piedecuesta 115 kV</v>
      </c>
      <c r="I113" s="63" t="str">
        <f aca="false">VLOOKUP($D113,'[2]5. Demanda'!$D$4:$J$357,6,FALSE())</f>
        <v>No</v>
      </c>
      <c r="J113" s="102" t="n">
        <f aca="false">IF(VLOOKUP($D113,'[2]5. Demanda'!$D$4:$J$357,7,FALSE())=0,"",VLOOKUP($D113,'[2]5. Demanda'!$D$4:$J$357,7,FALSE()))</f>
        <v>46752</v>
      </c>
      <c r="K113" s="79" t="n">
        <v>0</v>
      </c>
      <c r="L113" s="79" t="n">
        <v>0</v>
      </c>
      <c r="M113" s="79" t="n">
        <v>0</v>
      </c>
      <c r="N113" s="79" t="n">
        <v>0</v>
      </c>
      <c r="O113" s="79" t="n">
        <v>0</v>
      </c>
      <c r="P113" s="79" t="n">
        <v>0</v>
      </c>
      <c r="Q113" s="80"/>
      <c r="R113" s="80"/>
      <c r="S113" s="80"/>
      <c r="T113" s="80"/>
      <c r="U113" s="80"/>
      <c r="V113" s="80"/>
      <c r="W113" s="80"/>
      <c r="X113" s="80"/>
      <c r="Y113" s="80"/>
      <c r="Z113" s="75"/>
    </row>
    <row r="114" customFormat="false" ht="15.75" hidden="false" customHeight="false" outlineLevel="0" collapsed="false">
      <c r="C114" s="69" t="n">
        <v>109</v>
      </c>
      <c r="D114" s="78" t="s">
        <v>1442</v>
      </c>
      <c r="E114" s="63" t="s">
        <v>1443</v>
      </c>
      <c r="F114" s="101" t="n">
        <f aca="false">VLOOKUP(D114,'[2]5. Demanda'!$D$4:$F$357,3,FALSE())</f>
        <v>13.8</v>
      </c>
      <c r="G114" s="63" t="str">
        <f aca="false">VLOOKUP(D114,'[2]5. Demanda'!D$4:J$357,4,FALSE())</f>
        <v>residencial</v>
      </c>
      <c r="H114" s="63" t="str">
        <f aca="false">VLOOKUP($D114,'[2]5. Demanda'!$D$4:$J$357,5,FALSE())</f>
        <v>Piedecuesta 115 kV</v>
      </c>
      <c r="I114" s="63" t="str">
        <f aca="false">VLOOKUP($D114,'[2]5. Demanda'!$D$4:$J$357,6,FALSE())</f>
        <v>No</v>
      </c>
      <c r="J114" s="102" t="n">
        <f aca="false">IF(VLOOKUP($D114,'[2]5. Demanda'!$D$4:$J$357,7,FALSE())=0,"",VLOOKUP($D114,'[2]5. Demanda'!$D$4:$J$357,7,FALSE()))</f>
        <v>46752</v>
      </c>
      <c r="K114" s="79" t="n">
        <v>0</v>
      </c>
      <c r="L114" s="79" t="n">
        <v>0</v>
      </c>
      <c r="M114" s="79" t="n">
        <v>0</v>
      </c>
      <c r="N114" s="79" t="n">
        <v>0</v>
      </c>
      <c r="O114" s="79" t="n">
        <v>0</v>
      </c>
      <c r="P114" s="79" t="n">
        <v>0</v>
      </c>
      <c r="Q114" s="80"/>
      <c r="R114" s="80"/>
      <c r="S114" s="80"/>
      <c r="T114" s="80"/>
      <c r="U114" s="80"/>
      <c r="V114" s="80"/>
      <c r="W114" s="80"/>
      <c r="X114" s="80"/>
      <c r="Y114" s="80"/>
      <c r="Z114" s="75"/>
    </row>
    <row r="115" customFormat="false" ht="15.75" hidden="false" customHeight="false" outlineLevel="0" collapsed="false">
      <c r="C115" s="69" t="n">
        <v>110</v>
      </c>
      <c r="D115" s="78" t="s">
        <v>1444</v>
      </c>
      <c r="E115" s="63" t="s">
        <v>1443</v>
      </c>
      <c r="F115" s="101" t="n">
        <f aca="false">VLOOKUP(D115,'[2]5. Demanda'!$D$4:$F$357,3,FALSE())</f>
        <v>13.8</v>
      </c>
      <c r="G115" s="63" t="str">
        <f aca="false">VLOOKUP(D115,'[2]5. Demanda'!D$4:J$357,4,FALSE())</f>
        <v>residencial</v>
      </c>
      <c r="H115" s="63" t="str">
        <f aca="false">VLOOKUP($D115,'[2]5. Demanda'!$D$4:$J$357,5,FALSE())</f>
        <v>Piedecuesta 115 kV</v>
      </c>
      <c r="I115" s="63" t="str">
        <f aca="false">VLOOKUP($D115,'[2]5. Demanda'!$D$4:$J$357,6,FALSE())</f>
        <v>No</v>
      </c>
      <c r="J115" s="102" t="n">
        <f aca="false">IF(VLOOKUP($D115,'[2]5. Demanda'!$D$4:$J$357,7,FALSE())=0,"",VLOOKUP($D115,'[2]5. Demanda'!$D$4:$J$357,7,FALSE()))</f>
        <v>46752</v>
      </c>
      <c r="K115" s="79" t="n">
        <v>0</v>
      </c>
      <c r="L115" s="79" t="n">
        <v>0</v>
      </c>
      <c r="M115" s="79" t="n">
        <v>0</v>
      </c>
      <c r="N115" s="79" t="n">
        <v>0</v>
      </c>
      <c r="O115" s="79" t="n">
        <v>0</v>
      </c>
      <c r="P115" s="79" t="n">
        <v>0</v>
      </c>
      <c r="Q115" s="80"/>
      <c r="R115" s="80"/>
      <c r="S115" s="80"/>
      <c r="T115" s="80"/>
      <c r="U115" s="80"/>
      <c r="V115" s="80"/>
      <c r="W115" s="80"/>
      <c r="X115" s="80"/>
      <c r="Y115" s="80"/>
      <c r="Z115" s="75"/>
    </row>
    <row r="116" customFormat="false" ht="15.75" hidden="false" customHeight="false" outlineLevel="0" collapsed="false">
      <c r="C116" s="69" t="n">
        <v>111</v>
      </c>
      <c r="D116" s="78" t="s">
        <v>1445</v>
      </c>
      <c r="E116" s="63" t="s">
        <v>1443</v>
      </c>
      <c r="F116" s="101" t="n">
        <f aca="false">VLOOKUP(D116,'[2]5. Demanda'!$D$4:$F$357,3,FALSE())</f>
        <v>13.8</v>
      </c>
      <c r="G116" s="63" t="str">
        <f aca="false">VLOOKUP(D116,'[2]5. Demanda'!D$4:J$357,4,FALSE())</f>
        <v>residencial</v>
      </c>
      <c r="H116" s="63" t="str">
        <f aca="false">VLOOKUP($D116,'[2]5. Demanda'!$D$4:$J$357,5,FALSE())</f>
        <v>Piedecuesta 115 kV</v>
      </c>
      <c r="I116" s="63" t="str">
        <f aca="false">VLOOKUP($D116,'[2]5. Demanda'!$D$4:$J$357,6,FALSE())</f>
        <v>No</v>
      </c>
      <c r="J116" s="102" t="n">
        <f aca="false">IF(VLOOKUP($D116,'[2]5. Demanda'!$D$4:$J$357,7,FALSE())=0,"",VLOOKUP($D116,'[2]5. Demanda'!$D$4:$J$357,7,FALSE()))</f>
        <v>46752</v>
      </c>
      <c r="K116" s="79" t="n">
        <v>0</v>
      </c>
      <c r="L116" s="79" t="n">
        <v>0</v>
      </c>
      <c r="M116" s="79" t="n">
        <v>0</v>
      </c>
      <c r="N116" s="79" t="n">
        <v>0</v>
      </c>
      <c r="O116" s="79" t="n">
        <v>0</v>
      </c>
      <c r="P116" s="79" t="n">
        <v>0</v>
      </c>
      <c r="Q116" s="80"/>
      <c r="R116" s="80"/>
      <c r="S116" s="80"/>
      <c r="T116" s="80"/>
      <c r="U116" s="80"/>
      <c r="V116" s="80"/>
      <c r="W116" s="80"/>
      <c r="X116" s="80"/>
      <c r="Y116" s="80"/>
      <c r="Z116" s="75"/>
    </row>
    <row r="117" customFormat="false" ht="15.75" hidden="false" customHeight="false" outlineLevel="0" collapsed="false">
      <c r="C117" s="69" t="n">
        <v>112</v>
      </c>
      <c r="D117" s="78" t="s">
        <v>1446</v>
      </c>
      <c r="E117" s="63" t="s">
        <v>1447</v>
      </c>
      <c r="F117" s="101" t="n">
        <f aca="false">VLOOKUP(D117,'[2]5. Demanda'!$D$4:$F$357,3,FALSE())</f>
        <v>13.8</v>
      </c>
      <c r="G117" s="63" t="str">
        <f aca="false">VLOOKUP(D117,'[2]5. Demanda'!D$4:J$357,4,FALSE())</f>
        <v>residencial</v>
      </c>
      <c r="H117" s="63" t="str">
        <f aca="false">VLOOKUP($D117,'[2]5. Demanda'!$D$4:$J$357,5,FALSE())</f>
        <v>Palenque 115 kV
Real de Minas 115 kV</v>
      </c>
      <c r="I117" s="63" t="str">
        <f aca="false">VLOOKUP($D117,'[2]5. Demanda'!$D$4:$J$357,6,FALSE())</f>
        <v>Sí</v>
      </c>
      <c r="J117" s="102" t="str">
        <f aca="false">IF(VLOOKUP($D117,'[2]5. Demanda'!$D$4:$J$357,7,FALSE())=0,"",VLOOKUP($D117,'[2]5. Demanda'!$D$4:$J$357,7,FALSE()))</f>
        <v/>
      </c>
      <c r="K117" s="79" t="n">
        <v>0.180747420093077</v>
      </c>
      <c r="L117" s="79" t="n">
        <v>0.076998078530872</v>
      </c>
      <c r="M117" s="79" t="n">
        <v>0.263081399336671</v>
      </c>
      <c r="N117" s="79" t="n">
        <v>0.112072206816038</v>
      </c>
      <c r="O117" s="79" t="n">
        <v>0.277199816477802</v>
      </c>
      <c r="P117" s="79" t="n">
        <v>0.118086627332827</v>
      </c>
      <c r="Q117" s="80"/>
      <c r="R117" s="80"/>
      <c r="S117" s="80"/>
      <c r="T117" s="80"/>
      <c r="U117" s="80"/>
      <c r="V117" s="80"/>
      <c r="W117" s="80"/>
      <c r="X117" s="80"/>
      <c r="Y117" s="80"/>
      <c r="Z117" s="75"/>
    </row>
    <row r="118" customFormat="false" ht="15.75" hidden="false" customHeight="false" outlineLevel="0" collapsed="false">
      <c r="C118" s="69" t="n">
        <v>113</v>
      </c>
      <c r="D118" s="78" t="s">
        <v>1448</v>
      </c>
      <c r="E118" s="63" t="s">
        <v>1447</v>
      </c>
      <c r="F118" s="101" t="n">
        <f aca="false">VLOOKUP(D118,'[2]5. Demanda'!$D$4:$F$357,3,FALSE())</f>
        <v>13.8</v>
      </c>
      <c r="G118" s="63" t="str">
        <f aca="false">VLOOKUP(D118,'[2]5. Demanda'!D$4:J$357,4,FALSE())</f>
        <v>residencial</v>
      </c>
      <c r="H118" s="63" t="str">
        <f aca="false">VLOOKUP($D118,'[2]5. Demanda'!$D$4:$J$357,5,FALSE())</f>
        <v>Palenque 115 kV
Real de Minas 115 kV</v>
      </c>
      <c r="I118" s="63" t="str">
        <f aca="false">VLOOKUP($D118,'[2]5. Demanda'!$D$4:$J$357,6,FALSE())</f>
        <v>Sí</v>
      </c>
      <c r="J118" s="102" t="str">
        <f aca="false">IF(VLOOKUP($D118,'[2]5. Demanda'!$D$4:$J$357,7,FALSE())=0,"",VLOOKUP($D118,'[2]5. Demanda'!$D$4:$J$357,7,FALSE()))</f>
        <v/>
      </c>
      <c r="K118" s="79" t="n">
        <v>0.277828938020444</v>
      </c>
      <c r="L118" s="79" t="n">
        <v>0.118354631987725</v>
      </c>
      <c r="M118" s="79" t="n">
        <v>0.401510577034036</v>
      </c>
      <c r="N118" s="79" t="n">
        <v>0.171042789576317</v>
      </c>
      <c r="O118" s="79" t="n">
        <v>0.443832406899244</v>
      </c>
      <c r="P118" s="79" t="n">
        <v>0.189071813602516</v>
      </c>
      <c r="Q118" s="80"/>
      <c r="R118" s="80"/>
      <c r="S118" s="80"/>
      <c r="T118" s="80"/>
      <c r="U118" s="80"/>
      <c r="V118" s="80"/>
      <c r="W118" s="80"/>
      <c r="X118" s="80"/>
      <c r="Y118" s="80"/>
      <c r="Z118" s="75"/>
    </row>
    <row r="119" customFormat="false" ht="15.75" hidden="false" customHeight="false" outlineLevel="0" collapsed="false">
      <c r="C119" s="69" t="n">
        <v>114</v>
      </c>
      <c r="D119" s="78" t="s">
        <v>1449</v>
      </c>
      <c r="E119" s="63" t="s">
        <v>1450</v>
      </c>
      <c r="F119" s="101" t="n">
        <f aca="false">VLOOKUP(D119,'[2]5. Demanda'!$D$4:$F$357,3,FALSE())</f>
        <v>13.8</v>
      </c>
      <c r="G119" s="63" t="str">
        <f aca="false">VLOOKUP(D119,'[2]5. Demanda'!D$4:J$357,4,FALSE())</f>
        <v>residencial</v>
      </c>
      <c r="H119" s="63" t="str">
        <f aca="false">VLOOKUP($D119,'[2]5. Demanda'!$D$4:$J$357,5,FALSE())</f>
        <v>Generacion palmas</v>
      </c>
      <c r="I119" s="63" t="str">
        <f aca="false">VLOOKUP($D119,'[2]5. Demanda'!$D$4:$J$357,6,FALSE())</f>
        <v>Sí</v>
      </c>
      <c r="J119" s="102" t="str">
        <f aca="false">IF(VLOOKUP($D119,'[2]5. Demanda'!$D$4:$J$357,7,FALSE())=0,"",VLOOKUP($D119,'[2]5. Demanda'!$D$4:$J$357,7,FALSE()))</f>
        <v/>
      </c>
      <c r="K119" s="79" t="n">
        <v>0.174930079512176</v>
      </c>
      <c r="L119" s="79" t="n">
        <v>0.0745199018207514</v>
      </c>
      <c r="M119" s="79" t="n">
        <v>0.221511944491187</v>
      </c>
      <c r="N119" s="79" t="n">
        <v>0.0943636932061076</v>
      </c>
      <c r="O119" s="79" t="n">
        <v>0.270050052699569</v>
      </c>
      <c r="P119" s="79" t="n">
        <v>0.115040840717504</v>
      </c>
      <c r="Q119" s="80"/>
      <c r="R119" s="80"/>
      <c r="S119" s="80"/>
      <c r="T119" s="80"/>
      <c r="U119" s="80"/>
      <c r="V119" s="80"/>
      <c r="W119" s="80"/>
      <c r="X119" s="80"/>
      <c r="Y119" s="80"/>
      <c r="Z119" s="75"/>
    </row>
    <row r="120" customFormat="false" ht="15.75" hidden="false" customHeight="false" outlineLevel="0" collapsed="false">
      <c r="C120" s="69" t="n">
        <v>115</v>
      </c>
      <c r="D120" s="78" t="s">
        <v>1451</v>
      </c>
      <c r="E120" s="63" t="s">
        <v>1450</v>
      </c>
      <c r="F120" s="101" t="n">
        <f aca="false">VLOOKUP(D120,'[2]5. Demanda'!$D$4:$F$357,3,FALSE())</f>
        <v>13.8</v>
      </c>
      <c r="G120" s="63" t="str">
        <f aca="false">VLOOKUP(D120,'[2]5. Demanda'!D$4:J$357,4,FALSE())</f>
        <v>residencial</v>
      </c>
      <c r="H120" s="63" t="str">
        <f aca="false">VLOOKUP($D120,'[2]5. Demanda'!$D$4:$J$357,5,FALSE())</f>
        <v>Generacion palmas</v>
      </c>
      <c r="I120" s="63" t="str">
        <f aca="false">VLOOKUP($D120,'[2]5. Demanda'!$D$4:$J$357,6,FALSE())</f>
        <v>Sí</v>
      </c>
      <c r="J120" s="102" t="str">
        <f aca="false">IF(VLOOKUP($D120,'[2]5. Demanda'!$D$4:$J$357,7,FALSE())=0,"",VLOOKUP($D120,'[2]5. Demanda'!$D$4:$J$357,7,FALSE()))</f>
        <v/>
      </c>
      <c r="K120" s="79" t="n">
        <v>0.0483359022752987</v>
      </c>
      <c r="L120" s="79" t="n">
        <v>0.0205910081446112</v>
      </c>
      <c r="M120" s="79" t="n">
        <v>0.0466142435183917</v>
      </c>
      <c r="N120" s="79" t="n">
        <v>0.0198575845853735</v>
      </c>
      <c r="O120" s="79" t="n">
        <v>0.0667457958297413</v>
      </c>
      <c r="P120" s="79" t="n">
        <v>0.0284335899580612</v>
      </c>
      <c r="Q120" s="80"/>
      <c r="R120" s="80"/>
      <c r="S120" s="80"/>
      <c r="T120" s="80"/>
      <c r="U120" s="80"/>
      <c r="V120" s="80"/>
      <c r="W120" s="80"/>
      <c r="X120" s="80"/>
      <c r="Y120" s="80"/>
      <c r="Z120" s="75"/>
    </row>
    <row r="121" customFormat="false" ht="15.75" hidden="false" customHeight="false" outlineLevel="0" collapsed="false">
      <c r="C121" s="69" t="n">
        <v>116</v>
      </c>
      <c r="D121" s="78" t="s">
        <v>1452</v>
      </c>
      <c r="E121" s="63" t="s">
        <v>1450</v>
      </c>
      <c r="F121" s="101" t="n">
        <f aca="false">VLOOKUP(D121,'[2]5. Demanda'!$D$4:$F$357,3,FALSE())</f>
        <v>13.8</v>
      </c>
      <c r="G121" s="63" t="str">
        <f aca="false">VLOOKUP(D121,'[2]5. Demanda'!D$4:J$357,4,FALSE())</f>
        <v>residencial</v>
      </c>
      <c r="H121" s="63" t="str">
        <f aca="false">VLOOKUP($D121,'[2]5. Demanda'!$D$4:$J$357,5,FALSE())</f>
        <v>Generacion palmas</v>
      </c>
      <c r="I121" s="63" t="str">
        <f aca="false">VLOOKUP($D121,'[2]5. Demanda'!$D$4:$J$357,6,FALSE())</f>
        <v>Sí</v>
      </c>
      <c r="J121" s="102" t="str">
        <f aca="false">IF(VLOOKUP($D121,'[2]5. Demanda'!$D$4:$J$357,7,FALSE())=0,"",VLOOKUP($D121,'[2]5. Demanda'!$D$4:$J$357,7,FALSE()))</f>
        <v/>
      </c>
      <c r="K121" s="79" t="n">
        <v>0.000261836498910472</v>
      </c>
      <c r="L121" s="79" t="n">
        <v>0.00011154188145521</v>
      </c>
      <c r="M121" s="79" t="n">
        <v>0.000423604070802075</v>
      </c>
      <c r="N121" s="79" t="n">
        <v>0.000180454578509719</v>
      </c>
      <c r="O121" s="79" t="n">
        <v>0.000438258610836781</v>
      </c>
      <c r="P121" s="79" t="n">
        <v>0.0001866973864228</v>
      </c>
      <c r="Q121" s="80"/>
      <c r="R121" s="80"/>
      <c r="S121" s="80"/>
      <c r="T121" s="80"/>
      <c r="U121" s="80"/>
      <c r="V121" s="80"/>
      <c r="W121" s="80"/>
      <c r="X121" s="80"/>
      <c r="Y121" s="80"/>
      <c r="Z121" s="75"/>
    </row>
    <row r="122" customFormat="false" ht="15.75" hidden="false" customHeight="false" outlineLevel="0" collapsed="false">
      <c r="C122" s="69" t="n">
        <v>117</v>
      </c>
      <c r="D122" s="78" t="s">
        <v>1453</v>
      </c>
      <c r="E122" s="63" t="s">
        <v>1454</v>
      </c>
      <c r="F122" s="101" t="n">
        <f aca="false">VLOOKUP(D122,'[2]5. Demanda'!$D$4:$F$357,3,FALSE())</f>
        <v>13.8</v>
      </c>
      <c r="G122" s="63" t="str">
        <f aca="false">VLOOKUP(D122,'[2]5. Demanda'!D$4:J$357,4,FALSE())</f>
        <v>residencial</v>
      </c>
      <c r="H122" s="63" t="str">
        <f aca="false">VLOOKUP($D122,'[2]5. Demanda'!$D$4:$J$357,5,FALSE())</f>
        <v>Piedecuesta 115 kV</v>
      </c>
      <c r="I122" s="63" t="str">
        <f aca="false">VLOOKUP($D122,'[2]5. Demanda'!$D$4:$J$357,6,FALSE())</f>
        <v>Sí</v>
      </c>
      <c r="J122" s="102" t="str">
        <f aca="false">IF(VLOOKUP($D122,'[2]5. Demanda'!$D$4:$J$357,7,FALSE())=0,"",VLOOKUP($D122,'[2]5. Demanda'!$D$4:$J$357,7,FALSE()))</f>
        <v/>
      </c>
      <c r="K122" s="79" t="n">
        <v>0.935545147971811</v>
      </c>
      <c r="L122" s="79" t="n">
        <v>0.453105195236548</v>
      </c>
      <c r="M122" s="79" t="n">
        <v>1.21904367766024</v>
      </c>
      <c r="N122" s="79" t="n">
        <v>0.590409799853683</v>
      </c>
      <c r="O122" s="79" t="n">
        <v>1.53089206031751</v>
      </c>
      <c r="P122" s="79" t="n">
        <v>0.741444864932533</v>
      </c>
      <c r="Q122" s="80"/>
      <c r="R122" s="80"/>
      <c r="S122" s="80"/>
      <c r="T122" s="80"/>
      <c r="U122" s="80"/>
      <c r="V122" s="80"/>
      <c r="W122" s="80"/>
      <c r="X122" s="80"/>
      <c r="Y122" s="80"/>
      <c r="Z122" s="75"/>
    </row>
    <row r="123" customFormat="false" ht="15.75" hidden="false" customHeight="false" outlineLevel="0" collapsed="false">
      <c r="C123" s="69" t="n">
        <v>118</v>
      </c>
      <c r="D123" s="78" t="s">
        <v>1455</v>
      </c>
      <c r="E123" s="63" t="s">
        <v>1456</v>
      </c>
      <c r="F123" s="101" t="n">
        <f aca="false">VLOOKUP(D123,'[2]5. Demanda'!$D$4:$F$357,3,FALSE())</f>
        <v>13.8</v>
      </c>
      <c r="G123" s="63" t="str">
        <f aca="false">VLOOKUP(D123,'[2]5. Demanda'!D$4:J$357,4,FALSE())</f>
        <v>residencial</v>
      </c>
      <c r="H123" s="63" t="str">
        <f aca="false">VLOOKUP($D123,'[2]5. Demanda'!$D$4:$J$357,5,FALSE())</f>
        <v>Piedecuesta 115 kV</v>
      </c>
      <c r="I123" s="63" t="str">
        <f aca="false">VLOOKUP($D123,'[2]5. Demanda'!$D$4:$J$357,6,FALSE())</f>
        <v>Sí</v>
      </c>
      <c r="J123" s="102" t="str">
        <f aca="false">IF(VLOOKUP($D123,'[2]5. Demanda'!$D$4:$J$357,7,FALSE())=0,"",VLOOKUP($D123,'[2]5. Demanda'!$D$4:$J$357,7,FALSE()))</f>
        <v/>
      </c>
      <c r="K123" s="79" t="n">
        <v>0.774081173263935</v>
      </c>
      <c r="L123" s="79" t="n">
        <v>0.329757198955057</v>
      </c>
      <c r="M123" s="79" t="n">
        <v>1.39997583543873</v>
      </c>
      <c r="N123" s="79" t="n">
        <v>0.596387208530691</v>
      </c>
      <c r="O123" s="79" t="n">
        <v>1.2002944541657</v>
      </c>
      <c r="P123" s="79" t="n">
        <v>0.511323296312766</v>
      </c>
      <c r="Q123" s="80"/>
      <c r="R123" s="80"/>
      <c r="S123" s="80"/>
      <c r="T123" s="80"/>
      <c r="U123" s="80"/>
      <c r="V123" s="80"/>
      <c r="W123" s="80"/>
      <c r="X123" s="80"/>
      <c r="Y123" s="80"/>
      <c r="Z123" s="75"/>
    </row>
    <row r="124" customFormat="false" ht="15.75" hidden="false" customHeight="false" outlineLevel="0" collapsed="false">
      <c r="C124" s="69" t="n">
        <v>119</v>
      </c>
      <c r="D124" s="78" t="s">
        <v>1457</v>
      </c>
      <c r="E124" s="63" t="s">
        <v>1456</v>
      </c>
      <c r="F124" s="101" t="n">
        <f aca="false">VLOOKUP(D124,'[2]5. Demanda'!$D$4:$F$357,3,FALSE())</f>
        <v>13.8</v>
      </c>
      <c r="G124" s="63" t="str">
        <f aca="false">VLOOKUP(D124,'[2]5. Demanda'!D$4:J$357,4,FALSE())</f>
        <v>residencial</v>
      </c>
      <c r="H124" s="63" t="str">
        <f aca="false">VLOOKUP($D124,'[2]5. Demanda'!$D$4:$J$357,5,FALSE())</f>
        <v>Piedecuesta 115 kV</v>
      </c>
      <c r="I124" s="63" t="str">
        <f aca="false">VLOOKUP($D124,'[2]5. Demanda'!$D$4:$J$357,6,FALSE())</f>
        <v>Sí</v>
      </c>
      <c r="J124" s="102" t="str">
        <f aca="false">IF(VLOOKUP($D124,'[2]5. Demanda'!$D$4:$J$357,7,FALSE())=0,"",VLOOKUP($D124,'[2]5. Demanda'!$D$4:$J$357,7,FALSE()))</f>
        <v/>
      </c>
      <c r="K124" s="79" t="n">
        <v>0.523833823231215</v>
      </c>
      <c r="L124" s="79" t="n">
        <v>0.223152274248306</v>
      </c>
      <c r="M124" s="79" t="n">
        <v>0.586093718508436</v>
      </c>
      <c r="N124" s="79" t="n">
        <v>0.249674878573229</v>
      </c>
      <c r="O124" s="79" t="n">
        <v>0.807673054946766</v>
      </c>
      <c r="P124" s="79" t="n">
        <v>0.344067280628601</v>
      </c>
      <c r="Q124" s="80"/>
      <c r="R124" s="80"/>
      <c r="S124" s="80"/>
      <c r="T124" s="80"/>
      <c r="U124" s="80"/>
      <c r="V124" s="80"/>
      <c r="W124" s="80"/>
      <c r="X124" s="80"/>
      <c r="Y124" s="80"/>
      <c r="Z124" s="75"/>
    </row>
    <row r="125" customFormat="false" ht="15.75" hidden="false" customHeight="false" outlineLevel="0" collapsed="false">
      <c r="C125" s="69" t="n">
        <v>120</v>
      </c>
      <c r="D125" s="78" t="s">
        <v>1458</v>
      </c>
      <c r="E125" s="63" t="s">
        <v>1459</v>
      </c>
      <c r="F125" s="101" t="n">
        <f aca="false">VLOOKUP(D125,'[2]5. Demanda'!$D$4:$F$357,3,FALSE())</f>
        <v>13.8</v>
      </c>
      <c r="G125" s="63" t="str">
        <f aca="false">VLOOKUP(D125,'[2]5. Demanda'!D$4:J$357,4,FALSE())</f>
        <v>residencial</v>
      </c>
      <c r="H125" s="63" t="str">
        <f aca="false">VLOOKUP($D125,'[2]5. Demanda'!$D$4:$J$357,5,FALSE())</f>
        <v>Piedecuesta 115 kV</v>
      </c>
      <c r="I125" s="63" t="str">
        <f aca="false">VLOOKUP($D125,'[2]5. Demanda'!$D$4:$J$357,6,FALSE())</f>
        <v>Sí</v>
      </c>
      <c r="J125" s="102" t="str">
        <f aca="false">IF(VLOOKUP($D125,'[2]5. Demanda'!$D$4:$J$357,7,FALSE())=0,"",VLOOKUP($D125,'[2]5. Demanda'!$D$4:$J$357,7,FALSE()))</f>
        <v/>
      </c>
      <c r="K125" s="79" t="n">
        <v>1.07844769887023</v>
      </c>
      <c r="L125" s="79" t="n">
        <v>0.459416795914912</v>
      </c>
      <c r="M125" s="79" t="n">
        <v>0.973145677078145</v>
      </c>
      <c r="N125" s="79" t="n">
        <v>0.414558322475949</v>
      </c>
      <c r="O125" s="79" t="n">
        <v>1.85048282416127</v>
      </c>
      <c r="P125" s="79" t="n">
        <v>0.788302382083386</v>
      </c>
      <c r="Q125" s="80"/>
      <c r="R125" s="80"/>
      <c r="S125" s="80"/>
      <c r="T125" s="80"/>
      <c r="U125" s="80"/>
      <c r="V125" s="80"/>
      <c r="W125" s="80"/>
      <c r="X125" s="80"/>
      <c r="Y125" s="80"/>
      <c r="Z125" s="75"/>
    </row>
    <row r="126" customFormat="false" ht="15.75" hidden="false" customHeight="false" outlineLevel="0" collapsed="false">
      <c r="C126" s="69" t="n">
        <v>121</v>
      </c>
      <c r="D126" s="78" t="s">
        <v>1460</v>
      </c>
      <c r="E126" s="63" t="s">
        <v>1459</v>
      </c>
      <c r="F126" s="101" t="n">
        <f aca="false">VLOOKUP(D126,'[2]5. Demanda'!$D$4:$F$357,3,FALSE())</f>
        <v>13.8</v>
      </c>
      <c r="G126" s="63" t="str">
        <f aca="false">VLOOKUP(D126,'[2]5. Demanda'!D$4:J$357,4,FALSE())</f>
        <v>residencial</v>
      </c>
      <c r="H126" s="63" t="str">
        <f aca="false">VLOOKUP($D126,'[2]5. Demanda'!$D$4:$J$357,5,FALSE())</f>
        <v>Piedecuesta 115 kV</v>
      </c>
      <c r="I126" s="63" t="str">
        <f aca="false">VLOOKUP($D126,'[2]5. Demanda'!$D$4:$J$357,6,FALSE())</f>
        <v>Sí</v>
      </c>
      <c r="J126" s="102" t="str">
        <f aca="false">IF(VLOOKUP($D126,'[2]5. Demanda'!$D$4:$J$357,7,FALSE())=0,"",VLOOKUP($D126,'[2]5. Demanda'!$D$4:$J$357,7,FALSE()))</f>
        <v/>
      </c>
      <c r="K126" s="79" t="n">
        <v>0.246974834911048</v>
      </c>
      <c r="L126" s="79" t="n">
        <v>0.10521083910264</v>
      </c>
      <c r="M126" s="79" t="n">
        <v>0.279843143049371</v>
      </c>
      <c r="N126" s="79" t="n">
        <v>0.119212679736981</v>
      </c>
      <c r="O126" s="79" t="n">
        <v>0.374119815250064</v>
      </c>
      <c r="P126" s="79" t="n">
        <v>0.159374373917734</v>
      </c>
      <c r="Q126" s="80"/>
      <c r="R126" s="80"/>
      <c r="S126" s="80"/>
      <c r="T126" s="80"/>
      <c r="U126" s="80"/>
      <c r="V126" s="80"/>
      <c r="W126" s="80"/>
      <c r="X126" s="80"/>
      <c r="Y126" s="80"/>
      <c r="Z126" s="75"/>
    </row>
    <row r="127" customFormat="false" ht="15.75" hidden="false" customHeight="false" outlineLevel="0" collapsed="false">
      <c r="C127" s="69" t="n">
        <v>122</v>
      </c>
      <c r="D127" s="78" t="s">
        <v>1461</v>
      </c>
      <c r="E127" s="63" t="s">
        <v>1459</v>
      </c>
      <c r="F127" s="101" t="n">
        <f aca="false">VLOOKUP(D127,'[2]5. Demanda'!$D$4:$F$357,3,FALSE())</f>
        <v>13.8</v>
      </c>
      <c r="G127" s="63" t="str">
        <f aca="false">VLOOKUP(D127,'[2]5. Demanda'!D$4:J$357,4,FALSE())</f>
        <v>residencial</v>
      </c>
      <c r="H127" s="63" t="str">
        <f aca="false">VLOOKUP($D127,'[2]5. Demanda'!$D$4:$J$357,5,FALSE())</f>
        <v>Piedecuesta 115 kV</v>
      </c>
      <c r="I127" s="63" t="str">
        <f aca="false">VLOOKUP($D127,'[2]5. Demanda'!$D$4:$J$357,6,FALSE())</f>
        <v>Sí</v>
      </c>
      <c r="J127" s="102" t="str">
        <f aca="false">IF(VLOOKUP($D127,'[2]5. Demanda'!$D$4:$J$357,7,FALSE())=0,"",VLOOKUP($D127,'[2]5. Demanda'!$D$4:$J$357,7,FALSE()))</f>
        <v/>
      </c>
      <c r="K127" s="79" t="n">
        <v>0.156110132718275</v>
      </c>
      <c r="L127" s="79" t="n">
        <v>0.0665026380587715</v>
      </c>
      <c r="M127" s="79" t="n">
        <v>0.262207057121993</v>
      </c>
      <c r="N127" s="79" t="n">
        <v>0.111699738592293</v>
      </c>
      <c r="O127" s="79" t="n">
        <v>0.273947969333137</v>
      </c>
      <c r="P127" s="79" t="n">
        <v>0.116701346250052</v>
      </c>
      <c r="Q127" s="80"/>
      <c r="R127" s="80"/>
      <c r="S127" s="80"/>
      <c r="T127" s="80"/>
      <c r="U127" s="80"/>
      <c r="V127" s="80"/>
      <c r="W127" s="80"/>
      <c r="X127" s="80"/>
      <c r="Y127" s="80"/>
      <c r="Z127" s="75"/>
    </row>
    <row r="128" customFormat="false" ht="15.75" hidden="false" customHeight="false" outlineLevel="0" collapsed="false">
      <c r="C128" s="69" t="n">
        <v>123</v>
      </c>
      <c r="D128" s="78" t="s">
        <v>1462</v>
      </c>
      <c r="E128" s="63" t="s">
        <v>1463</v>
      </c>
      <c r="F128" s="101" t="n">
        <f aca="false">VLOOKUP(D128,'[2]5. Demanda'!$D$4:$F$357,3,FALSE())</f>
        <v>13.8</v>
      </c>
      <c r="G128" s="63" t="str">
        <f aca="false">VLOOKUP(D128,'[2]5. Demanda'!D$4:J$357,4,FALSE())</f>
        <v>residencial</v>
      </c>
      <c r="H128" s="63" t="str">
        <f aca="false">VLOOKUP($D128,'[2]5. Demanda'!$D$4:$J$357,5,FALSE())</f>
        <v>Piedecuesta 115 kV</v>
      </c>
      <c r="I128" s="63" t="str">
        <f aca="false">VLOOKUP($D128,'[2]5. Demanda'!$D$4:$J$357,6,FALSE())</f>
        <v>Sí</v>
      </c>
      <c r="J128" s="102" t="str">
        <f aca="false">IF(VLOOKUP($D128,'[2]5. Demanda'!$D$4:$J$357,7,FALSE())=0,"",VLOOKUP($D128,'[2]5. Demanda'!$D$4:$J$357,7,FALSE()))</f>
        <v/>
      </c>
      <c r="K128" s="79" t="n">
        <v>0.712946248443651</v>
      </c>
      <c r="L128" s="79" t="n">
        <v>0.303713830037995</v>
      </c>
      <c r="M128" s="79" t="n">
        <v>0.954827424958044</v>
      </c>
      <c r="N128" s="79" t="n">
        <v>0.406754779750053</v>
      </c>
      <c r="O128" s="79" t="n">
        <v>1.2381786043504</v>
      </c>
      <c r="P128" s="79" t="n">
        <v>0.527461876711287</v>
      </c>
      <c r="Q128" s="80"/>
      <c r="R128" s="80"/>
      <c r="S128" s="80"/>
      <c r="T128" s="80"/>
      <c r="U128" s="80"/>
      <c r="V128" s="80"/>
      <c r="W128" s="80"/>
      <c r="X128" s="80"/>
      <c r="Y128" s="80"/>
      <c r="Z128" s="75"/>
    </row>
    <row r="129" customFormat="false" ht="15.75" hidden="false" customHeight="false" outlineLevel="0" collapsed="false">
      <c r="C129" s="69" t="n">
        <v>124</v>
      </c>
      <c r="D129" s="78" t="s">
        <v>1464</v>
      </c>
      <c r="E129" s="63" t="s">
        <v>1463</v>
      </c>
      <c r="F129" s="101" t="n">
        <f aca="false">VLOOKUP(D129,'[2]5. Demanda'!$D$4:$F$357,3,FALSE())</f>
        <v>13.8</v>
      </c>
      <c r="G129" s="63" t="str">
        <f aca="false">VLOOKUP(D129,'[2]5. Demanda'!D$4:J$357,4,FALSE())</f>
        <v>residencial</v>
      </c>
      <c r="H129" s="63" t="str">
        <f aca="false">VLOOKUP($D129,'[2]5. Demanda'!$D$4:$J$357,5,FALSE())</f>
        <v>Piedecuesta 115 kV</v>
      </c>
      <c r="I129" s="63" t="str">
        <f aca="false">VLOOKUP($D129,'[2]5. Demanda'!$D$4:$J$357,6,FALSE())</f>
        <v>Sí</v>
      </c>
      <c r="J129" s="102" t="str">
        <f aca="false">IF(VLOOKUP($D129,'[2]5. Demanda'!$D$4:$J$357,7,FALSE())=0,"",VLOOKUP($D129,'[2]5. Demanda'!$D$4:$J$357,7,FALSE()))</f>
        <v/>
      </c>
      <c r="K129" s="79" t="n">
        <v>0.943984482023043</v>
      </c>
      <c r="L129" s="79" t="n">
        <v>0.402135705402076</v>
      </c>
      <c r="M129" s="79" t="n">
        <v>1.20612060511928</v>
      </c>
      <c r="N129" s="79" t="n">
        <v>0.513805226225935</v>
      </c>
      <c r="O129" s="79" t="n">
        <v>1.60789430967577</v>
      </c>
      <c r="P129" s="79" t="n">
        <v>0.684960107657431</v>
      </c>
      <c r="Q129" s="80"/>
      <c r="R129" s="80"/>
      <c r="S129" s="80"/>
      <c r="T129" s="80"/>
      <c r="U129" s="80"/>
      <c r="V129" s="80"/>
      <c r="W129" s="80"/>
      <c r="X129" s="80"/>
      <c r="Y129" s="80"/>
      <c r="Z129" s="75"/>
    </row>
    <row r="130" customFormat="false" ht="15.75" hidden="false" customHeight="false" outlineLevel="0" collapsed="false">
      <c r="C130" s="69" t="n">
        <v>125</v>
      </c>
      <c r="D130" s="78" t="s">
        <v>1465</v>
      </c>
      <c r="E130" s="63" t="s">
        <v>1463</v>
      </c>
      <c r="F130" s="101" t="n">
        <f aca="false">VLOOKUP(D130,'[2]5. Demanda'!$D$4:$F$357,3,FALSE())</f>
        <v>13.8</v>
      </c>
      <c r="G130" s="63" t="str">
        <f aca="false">VLOOKUP(D130,'[2]5. Demanda'!D$4:J$357,4,FALSE())</f>
        <v>residencial</v>
      </c>
      <c r="H130" s="63" t="str">
        <f aca="false">VLOOKUP($D130,'[2]5. Demanda'!$D$4:$J$357,5,FALSE())</f>
        <v>Piedecuesta 115 kV</v>
      </c>
      <c r="I130" s="63" t="str">
        <f aca="false">VLOOKUP($D130,'[2]5. Demanda'!$D$4:$J$357,6,FALSE())</f>
        <v>Sí</v>
      </c>
      <c r="J130" s="102" t="str">
        <f aca="false">IF(VLOOKUP($D130,'[2]5. Demanda'!$D$4:$J$357,7,FALSE())=0,"",VLOOKUP($D130,'[2]5. Demanda'!$D$4:$J$357,7,FALSE()))</f>
        <v/>
      </c>
      <c r="K130" s="79" t="n">
        <v>2.34460552504538</v>
      </c>
      <c r="L130" s="79" t="n">
        <v>0.998797771212422</v>
      </c>
      <c r="M130" s="79" t="n">
        <v>3.73840011614637</v>
      </c>
      <c r="N130" s="79" t="n">
        <v>1.59255178068174</v>
      </c>
      <c r="O130" s="79" t="n">
        <v>4.0760267594641</v>
      </c>
      <c r="P130" s="79" t="n">
        <v>1.73638012845514</v>
      </c>
      <c r="Q130" s="80"/>
      <c r="R130" s="80"/>
      <c r="S130" s="80"/>
      <c r="T130" s="80"/>
      <c r="U130" s="80"/>
      <c r="V130" s="80"/>
      <c r="W130" s="80"/>
      <c r="X130" s="80"/>
      <c r="Y130" s="80"/>
      <c r="Z130" s="75"/>
    </row>
    <row r="131" customFormat="false" ht="15.75" hidden="false" customHeight="false" outlineLevel="0" collapsed="false">
      <c r="C131" s="69" t="n">
        <v>126</v>
      </c>
      <c r="D131" s="78" t="s">
        <v>1466</v>
      </c>
      <c r="E131" s="63" t="s">
        <v>1463</v>
      </c>
      <c r="F131" s="101" t="n">
        <f aca="false">VLOOKUP(D131,'[2]5. Demanda'!$D$4:$F$357,3,FALSE())</f>
        <v>13.8</v>
      </c>
      <c r="G131" s="63" t="str">
        <f aca="false">VLOOKUP(D131,'[2]5. Demanda'!D$4:J$357,4,FALSE())</f>
        <v>residencial</v>
      </c>
      <c r="H131" s="63" t="str">
        <f aca="false">VLOOKUP($D131,'[2]5. Demanda'!$D$4:$J$357,5,FALSE())</f>
        <v>Piedecuesta 115 kV</v>
      </c>
      <c r="I131" s="63" t="str">
        <f aca="false">VLOOKUP($D131,'[2]5. Demanda'!$D$4:$J$357,6,FALSE())</f>
        <v>Sí</v>
      </c>
      <c r="J131" s="102" t="str">
        <f aca="false">IF(VLOOKUP($D131,'[2]5. Demanda'!$D$4:$J$357,7,FALSE())=0,"",VLOOKUP($D131,'[2]5. Demanda'!$D$4:$J$357,7,FALSE()))</f>
        <v/>
      </c>
      <c r="K131" s="79" t="n">
        <v>0.469026859909202</v>
      </c>
      <c r="L131" s="79" t="n">
        <v>0.199804605641286</v>
      </c>
      <c r="M131" s="79" t="n">
        <v>0.78650493053806</v>
      </c>
      <c r="N131" s="79" t="n">
        <v>0.335049697391543</v>
      </c>
      <c r="O131" s="79" t="n">
        <v>0.839569157233671</v>
      </c>
      <c r="P131" s="79" t="n">
        <v>0.357654963304521</v>
      </c>
      <c r="Q131" s="80"/>
      <c r="R131" s="80"/>
      <c r="S131" s="80"/>
      <c r="T131" s="80"/>
      <c r="U131" s="80"/>
      <c r="V131" s="80"/>
      <c r="W131" s="80"/>
      <c r="X131" s="80"/>
      <c r="Y131" s="80"/>
      <c r="Z131" s="75"/>
    </row>
    <row r="132" customFormat="false" ht="15.75" hidden="false" customHeight="false" outlineLevel="0" collapsed="false">
      <c r="C132" s="69" t="n">
        <v>127</v>
      </c>
      <c r="D132" s="78" t="s">
        <v>1467</v>
      </c>
      <c r="E132" s="63" t="s">
        <v>1468</v>
      </c>
      <c r="F132" s="101" t="n">
        <f aca="false">VLOOKUP(D132,'[2]5. Demanda'!$D$4:$F$357,3,FALSE())</f>
        <v>13.8</v>
      </c>
      <c r="G132" s="63" t="str">
        <f aca="false">VLOOKUP(D132,'[2]5. Demanda'!D$4:J$357,4,FALSE())</f>
        <v>residencial</v>
      </c>
      <c r="H132" s="63" t="str">
        <f aca="false">VLOOKUP($D132,'[2]5. Demanda'!$D$4:$J$357,5,FALSE())</f>
        <v>Piedecuesta 115 kV</v>
      </c>
      <c r="I132" s="63" t="str">
        <f aca="false">VLOOKUP($D132,'[2]5. Demanda'!$D$4:$J$357,6,FALSE())</f>
        <v>Sí</v>
      </c>
      <c r="J132" s="102" t="str">
        <f aca="false">IF(VLOOKUP($D132,'[2]5. Demanda'!$D$4:$J$357,7,FALSE())=0,"",VLOOKUP($D132,'[2]5. Demanda'!$D$4:$J$357,7,FALSE()))</f>
        <v/>
      </c>
      <c r="K132" s="79" t="n">
        <v>0.138980903841752</v>
      </c>
      <c r="L132" s="79" t="n">
        <v>0.0592056171135837</v>
      </c>
      <c r="M132" s="79" t="n">
        <v>0.2701234219641</v>
      </c>
      <c r="N132" s="79" t="n">
        <v>0.115072095893314</v>
      </c>
      <c r="O132" s="79" t="n">
        <v>0.248720701752465</v>
      </c>
      <c r="P132" s="79" t="n">
        <v>0.105954575262695</v>
      </c>
      <c r="Q132" s="80"/>
      <c r="R132" s="80"/>
      <c r="S132" s="80"/>
      <c r="T132" s="80"/>
      <c r="U132" s="80"/>
      <c r="V132" s="80"/>
      <c r="W132" s="80"/>
      <c r="X132" s="80"/>
      <c r="Y132" s="80"/>
      <c r="Z132" s="75"/>
    </row>
    <row r="133" customFormat="false" ht="15.75" hidden="false" customHeight="false" outlineLevel="0" collapsed="false">
      <c r="C133" s="69" t="n">
        <v>128</v>
      </c>
      <c r="D133" s="78" t="s">
        <v>1469</v>
      </c>
      <c r="E133" s="63" t="s">
        <v>1470</v>
      </c>
      <c r="F133" s="101" t="n">
        <f aca="false">VLOOKUP(D133,'[2]5. Demanda'!$D$4:$F$357,3,FALSE())</f>
        <v>13.8</v>
      </c>
      <c r="G133" s="63" t="str">
        <f aca="false">VLOOKUP(D133,'[2]5. Demanda'!D$4:J$357,4,FALSE())</f>
        <v>residencial</v>
      </c>
      <c r="H133" s="63" t="str">
        <f aca="false">VLOOKUP($D133,'[2]5. Demanda'!$D$4:$J$357,5,FALSE())</f>
        <v>Palenque 115 kV</v>
      </c>
      <c r="I133" s="63" t="str">
        <f aca="false">VLOOKUP($D133,'[2]5. Demanda'!$D$4:$J$357,6,FALSE())</f>
        <v>Sí</v>
      </c>
      <c r="J133" s="102" t="str">
        <f aca="false">IF(VLOOKUP($D133,'[2]5. Demanda'!$D$4:$J$357,7,FALSE())=0,"",VLOOKUP($D133,'[2]5. Demanda'!$D$4:$J$357,7,FALSE()))</f>
        <v/>
      </c>
      <c r="K133" s="79" t="n">
        <v>1.96599408147281</v>
      </c>
      <c r="L133" s="79" t="n">
        <v>0.837509971641754</v>
      </c>
      <c r="M133" s="79" t="n">
        <v>2.99658314029147</v>
      </c>
      <c r="N133" s="79" t="n">
        <v>1.27653907226799</v>
      </c>
      <c r="O133" s="79" t="n">
        <v>3.26894919614507</v>
      </c>
      <c r="P133" s="79" t="n">
        <v>1.39256652619768</v>
      </c>
      <c r="Q133" s="80"/>
      <c r="R133" s="80"/>
      <c r="S133" s="80"/>
      <c r="T133" s="80"/>
      <c r="U133" s="80"/>
      <c r="V133" s="80"/>
      <c r="W133" s="80"/>
      <c r="X133" s="80"/>
      <c r="Y133" s="80"/>
      <c r="Z133" s="75"/>
    </row>
    <row r="134" customFormat="false" ht="15.75" hidden="false" customHeight="false" outlineLevel="0" collapsed="false">
      <c r="C134" s="69" t="n">
        <v>129</v>
      </c>
      <c r="D134" s="78" t="s">
        <v>1471</v>
      </c>
      <c r="E134" s="63" t="s">
        <v>1472</v>
      </c>
      <c r="F134" s="101" t="n">
        <f aca="false">VLOOKUP(D134,'[2]5. Demanda'!$D$4:$F$357,3,FALSE())</f>
        <v>13.8</v>
      </c>
      <c r="G134" s="63" t="str">
        <f aca="false">VLOOKUP(D134,'[2]5. Demanda'!D$4:J$357,4,FALSE())</f>
        <v>residencial</v>
      </c>
      <c r="H134" s="63" t="str">
        <f aca="false">VLOOKUP($D134,'[2]5. Demanda'!$D$4:$J$357,5,FALSE())</f>
        <v>Palenque 115 kV</v>
      </c>
      <c r="I134" s="63" t="str">
        <f aca="false">VLOOKUP($D134,'[2]5. Demanda'!$D$4:$J$357,6,FALSE())</f>
        <v>Sí</v>
      </c>
      <c r="J134" s="102" t="str">
        <f aca="false">IF(VLOOKUP($D134,'[2]5. Demanda'!$D$4:$J$357,7,FALSE())=0,"",VLOOKUP($D134,'[2]5. Demanda'!$D$4:$J$357,7,FALSE()))</f>
        <v/>
      </c>
      <c r="K134" s="79" t="n">
        <v>1.30499087492829</v>
      </c>
      <c r="L134" s="79" t="n">
        <v>0.555923784793476</v>
      </c>
      <c r="M134" s="79" t="n">
        <v>1.84724761869281</v>
      </c>
      <c r="N134" s="79" t="n">
        <v>0.786924190324988</v>
      </c>
      <c r="O134" s="79" t="n">
        <v>2.10197509522876</v>
      </c>
      <c r="P134" s="79" t="n">
        <v>0.895437640930182</v>
      </c>
      <c r="Q134" s="80"/>
      <c r="R134" s="80"/>
      <c r="S134" s="80"/>
      <c r="T134" s="80"/>
      <c r="U134" s="80"/>
      <c r="V134" s="80"/>
      <c r="W134" s="80"/>
      <c r="X134" s="80"/>
      <c r="Y134" s="80"/>
      <c r="Z134" s="75"/>
    </row>
    <row r="135" customFormat="false" ht="15.75" hidden="false" customHeight="false" outlineLevel="0" collapsed="false">
      <c r="C135" s="69" t="n">
        <v>130</v>
      </c>
      <c r="D135" s="78" t="s">
        <v>1471</v>
      </c>
      <c r="E135" s="63" t="s">
        <v>1472</v>
      </c>
      <c r="F135" s="101" t="n">
        <f aca="false">VLOOKUP(D135,'[2]5. Demanda'!$D$4:$F$357,3,FALSE())</f>
        <v>13.8</v>
      </c>
      <c r="G135" s="63" t="str">
        <f aca="false">VLOOKUP(D135,'[2]5. Demanda'!D$4:J$357,4,FALSE())</f>
        <v>residencial</v>
      </c>
      <c r="H135" s="63" t="str">
        <f aca="false">VLOOKUP($D135,'[2]5. Demanda'!$D$4:$J$357,5,FALSE())</f>
        <v>Palenque 115 kV</v>
      </c>
      <c r="I135" s="63" t="str">
        <f aca="false">VLOOKUP($D135,'[2]5. Demanda'!$D$4:$J$357,6,FALSE())</f>
        <v>Sí</v>
      </c>
      <c r="J135" s="102" t="str">
        <f aca="false">IF(VLOOKUP($D135,'[2]5. Demanda'!$D$4:$J$357,7,FALSE())=0,"",VLOOKUP($D135,'[2]5. Demanda'!$D$4:$J$357,7,FALSE()))</f>
        <v/>
      </c>
      <c r="K135" s="79" t="n">
        <v>1.30499087492829</v>
      </c>
      <c r="L135" s="79" t="n">
        <v>0.555923784793476</v>
      </c>
      <c r="M135" s="79" t="n">
        <v>1.84724761869281</v>
      </c>
      <c r="N135" s="79" t="n">
        <v>0.786924190324988</v>
      </c>
      <c r="O135" s="79" t="n">
        <v>2.10197509522876</v>
      </c>
      <c r="P135" s="79" t="n">
        <v>0.895437640930182</v>
      </c>
      <c r="Q135" s="80"/>
      <c r="R135" s="80"/>
      <c r="S135" s="80"/>
      <c r="T135" s="80"/>
      <c r="U135" s="80"/>
      <c r="V135" s="80"/>
      <c r="W135" s="80"/>
      <c r="X135" s="80"/>
      <c r="Y135" s="80"/>
      <c r="Z135" s="75"/>
    </row>
    <row r="136" customFormat="false" ht="15.75" hidden="false" customHeight="false" outlineLevel="0" collapsed="false">
      <c r="C136" s="69" t="n">
        <v>131</v>
      </c>
      <c r="D136" s="78" t="s">
        <v>1473</v>
      </c>
      <c r="E136" s="63" t="s">
        <v>1472</v>
      </c>
      <c r="F136" s="101" t="n">
        <f aca="false">VLOOKUP(D136,'[2]5. Demanda'!$D$4:$F$357,3,FALSE())</f>
        <v>13.8</v>
      </c>
      <c r="G136" s="63" t="str">
        <f aca="false">VLOOKUP(D136,'[2]5. Demanda'!D$4:J$357,4,FALSE())</f>
        <v>industrial</v>
      </c>
      <c r="H136" s="63" t="str">
        <f aca="false">VLOOKUP($D136,'[2]5. Demanda'!$D$4:$J$357,5,FALSE())</f>
        <v>Palenque 115 kV</v>
      </c>
      <c r="I136" s="63" t="str">
        <f aca="false">VLOOKUP($D136,'[2]5. Demanda'!$D$4:$J$357,6,FALSE())</f>
        <v>Sí</v>
      </c>
      <c r="J136" s="102" t="str">
        <f aca="false">IF(VLOOKUP($D136,'[2]5. Demanda'!$D$4:$J$357,7,FALSE())=0,"",VLOOKUP($D136,'[2]5. Demanda'!$D$4:$J$357,7,FALSE()))</f>
        <v/>
      </c>
      <c r="K136" s="79" t="n">
        <v>0.114762000393795</v>
      </c>
      <c r="L136" s="79" t="n">
        <v>0.0488884074479789</v>
      </c>
      <c r="M136" s="79" t="n">
        <v>0.185128456543257</v>
      </c>
      <c r="N136" s="79" t="n">
        <v>0.0788643922434765</v>
      </c>
      <c r="O136" s="79" t="n">
        <v>0.175945342565145</v>
      </c>
      <c r="P136" s="79" t="n">
        <v>0.0749524020702252</v>
      </c>
      <c r="Q136" s="80"/>
      <c r="R136" s="80"/>
      <c r="S136" s="80"/>
      <c r="T136" s="80"/>
      <c r="U136" s="80"/>
      <c r="V136" s="80"/>
      <c r="W136" s="80"/>
      <c r="X136" s="80"/>
      <c r="Y136" s="80"/>
      <c r="Z136" s="75"/>
    </row>
    <row r="137" customFormat="false" ht="15.75" hidden="false" customHeight="false" outlineLevel="0" collapsed="false">
      <c r="C137" s="69" t="n">
        <v>132</v>
      </c>
      <c r="D137" s="78" t="s">
        <v>1474</v>
      </c>
      <c r="E137" s="63" t="s">
        <v>1475</v>
      </c>
      <c r="F137" s="101" t="n">
        <f aca="false">VLOOKUP(D137,'[2]5. Demanda'!$D$4:$F$357,3,FALSE())</f>
        <v>13.8</v>
      </c>
      <c r="G137" s="63" t="str">
        <f aca="false">VLOOKUP(D137,'[2]5. Demanda'!D$4:J$357,4,FALSE())</f>
        <v>residencial</v>
      </c>
      <c r="H137" s="63" t="str">
        <f aca="false">VLOOKUP($D137,'[2]5. Demanda'!$D$4:$J$357,5,FALSE())</f>
        <v>Florida 115 kV
Piedecuesta 115 kV</v>
      </c>
      <c r="I137" s="63" t="str">
        <f aca="false">VLOOKUP($D137,'[2]5. Demanda'!$D$4:$J$357,6,FALSE())</f>
        <v>Sí</v>
      </c>
      <c r="J137" s="102" t="str">
        <f aca="false">IF(VLOOKUP($D137,'[2]5. Demanda'!$D$4:$J$357,7,FALSE())=0,"",VLOOKUP($D137,'[2]5. Demanda'!$D$4:$J$357,7,FALSE()))</f>
        <v/>
      </c>
      <c r="K137" s="79" t="n">
        <v>2.08569379599441</v>
      </c>
      <c r="L137" s="79" t="n">
        <v>0.888501836499968</v>
      </c>
      <c r="M137" s="79" t="n">
        <v>3.66972198961138</v>
      </c>
      <c r="N137" s="79" t="n">
        <v>1.56329502129025</v>
      </c>
      <c r="O137" s="79" t="n">
        <v>3.69539432580562</v>
      </c>
      <c r="P137" s="79" t="n">
        <v>1.57423139071305</v>
      </c>
      <c r="Q137" s="80"/>
      <c r="R137" s="80"/>
      <c r="S137" s="80"/>
      <c r="T137" s="80"/>
      <c r="U137" s="80"/>
      <c r="V137" s="80"/>
      <c r="W137" s="80"/>
      <c r="X137" s="80"/>
      <c r="Y137" s="80"/>
      <c r="Z137" s="75"/>
    </row>
    <row r="138" customFormat="false" ht="15.75" hidden="false" customHeight="false" outlineLevel="0" collapsed="false">
      <c r="C138" s="69" t="n">
        <v>133</v>
      </c>
      <c r="D138" s="78" t="s">
        <v>1476</v>
      </c>
      <c r="E138" s="63" t="s">
        <v>1475</v>
      </c>
      <c r="F138" s="101" t="n">
        <f aca="false">VLOOKUP(D138,'[2]5. Demanda'!$D$4:$F$357,3,FALSE())</f>
        <v>13.8</v>
      </c>
      <c r="G138" s="63" t="str">
        <f aca="false">VLOOKUP(D138,'[2]5. Demanda'!D$4:J$357,4,FALSE())</f>
        <v>residencial</v>
      </c>
      <c r="H138" s="63" t="str">
        <f aca="false">VLOOKUP($D138,'[2]5. Demanda'!$D$4:$J$357,5,FALSE())</f>
        <v>Florida 115 kV
Piedecuesta 115 kV</v>
      </c>
      <c r="I138" s="63" t="str">
        <f aca="false">VLOOKUP($D138,'[2]5. Demanda'!$D$4:$J$357,6,FALSE())</f>
        <v>Sí</v>
      </c>
      <c r="J138" s="102" t="str">
        <f aca="false">IF(VLOOKUP($D138,'[2]5. Demanda'!$D$4:$J$357,7,FALSE())=0,"",VLOOKUP($D138,'[2]5. Demanda'!$D$4:$J$357,7,FALSE()))</f>
        <v/>
      </c>
      <c r="K138" s="79" t="n">
        <v>1.78235403087441</v>
      </c>
      <c r="L138" s="79" t="n">
        <v>0.759279637675672</v>
      </c>
      <c r="M138" s="79" t="n">
        <v>2.42287020443028</v>
      </c>
      <c r="N138" s="79" t="n">
        <v>1.03213838501686</v>
      </c>
      <c r="O138" s="79" t="n">
        <v>3.05720315009722</v>
      </c>
      <c r="P138" s="79" t="n">
        <v>1.3023630883074</v>
      </c>
      <c r="Q138" s="80"/>
      <c r="R138" s="80"/>
      <c r="S138" s="80"/>
      <c r="T138" s="80"/>
      <c r="U138" s="80"/>
      <c r="V138" s="80"/>
      <c r="W138" s="80"/>
      <c r="X138" s="80"/>
      <c r="Y138" s="80"/>
      <c r="Z138" s="75"/>
    </row>
    <row r="139" customFormat="false" ht="15.75" hidden="false" customHeight="false" outlineLevel="0" collapsed="false">
      <c r="C139" s="69" t="n">
        <v>134</v>
      </c>
      <c r="D139" s="78" t="s">
        <v>1477</v>
      </c>
      <c r="E139" s="63" t="s">
        <v>1475</v>
      </c>
      <c r="F139" s="101" t="n">
        <f aca="false">VLOOKUP(D139,'[2]5. Demanda'!$D$4:$F$357,3,FALSE())</f>
        <v>13.8</v>
      </c>
      <c r="G139" s="63" t="str">
        <f aca="false">VLOOKUP(D139,'[2]5. Demanda'!D$4:J$357,4,FALSE())</f>
        <v>residencial</v>
      </c>
      <c r="H139" s="63" t="str">
        <f aca="false">VLOOKUP($D139,'[2]5. Demanda'!$D$4:$J$357,5,FALSE())</f>
        <v>Florida 115 kV
Piedecuesta 115 kV</v>
      </c>
      <c r="I139" s="63" t="str">
        <f aca="false">VLOOKUP($D139,'[2]5. Demanda'!$D$4:$J$357,6,FALSE())</f>
        <v>Sí</v>
      </c>
      <c r="J139" s="102" t="str">
        <f aca="false">IF(VLOOKUP($D139,'[2]5. Demanda'!$D$4:$J$357,7,FALSE())=0,"",VLOOKUP($D139,'[2]5. Demanda'!$D$4:$J$357,7,FALSE()))</f>
        <v/>
      </c>
      <c r="K139" s="79" t="n">
        <v>2.39648392187605</v>
      </c>
      <c r="L139" s="79" t="n">
        <v>1.02089787571829</v>
      </c>
      <c r="M139" s="79" t="n">
        <v>3.27683064913386</v>
      </c>
      <c r="N139" s="79" t="n">
        <v>1.39592401111147</v>
      </c>
      <c r="O139" s="79" t="n">
        <v>3.87368820856393</v>
      </c>
      <c r="P139" s="79" t="n">
        <v>1.65018426671609</v>
      </c>
      <c r="Q139" s="80"/>
      <c r="R139" s="80"/>
      <c r="S139" s="80"/>
      <c r="T139" s="80"/>
      <c r="U139" s="80"/>
      <c r="V139" s="80"/>
      <c r="W139" s="80"/>
      <c r="X139" s="80"/>
      <c r="Y139" s="80"/>
      <c r="Z139" s="75"/>
    </row>
    <row r="140" customFormat="false" ht="15.75" hidden="false" customHeight="false" outlineLevel="0" collapsed="false">
      <c r="C140" s="69" t="n">
        <v>135</v>
      </c>
      <c r="D140" s="78" t="s">
        <v>1478</v>
      </c>
      <c r="E140" s="63" t="s">
        <v>1475</v>
      </c>
      <c r="F140" s="101" t="n">
        <f aca="false">VLOOKUP(D140,'[2]5. Demanda'!$D$4:$F$357,3,FALSE())</f>
        <v>13.8</v>
      </c>
      <c r="G140" s="63" t="str">
        <f aca="false">VLOOKUP(D140,'[2]5. Demanda'!D$4:J$357,4,FALSE())</f>
        <v>Industrial</v>
      </c>
      <c r="H140" s="63" t="str">
        <f aca="false">VLOOKUP($D140,'[2]5. Demanda'!$D$4:$J$357,5,FALSE())</f>
        <v>Florida 115 kV
Piedecuesta 115 kV</v>
      </c>
      <c r="I140" s="63" t="str">
        <f aca="false">VLOOKUP($D140,'[2]5. Demanda'!$D$4:$J$357,6,FALSE())</f>
        <v>Sí</v>
      </c>
      <c r="J140" s="102" t="str">
        <f aca="false">IF(VLOOKUP($D140,'[2]5. Demanda'!$D$4:$J$357,7,FALSE())=0,"",VLOOKUP($D140,'[2]5. Demanda'!$D$4:$J$357,7,FALSE()))</f>
        <v/>
      </c>
      <c r="K140" s="79" t="n">
        <v>0.00573391790853946</v>
      </c>
      <c r="L140" s="79" t="n">
        <v>0.00244263880050925</v>
      </c>
      <c r="M140" s="79" t="n">
        <v>0.00013559351652037</v>
      </c>
      <c r="N140" s="79" t="n">
        <v>5.77625961573125E-005</v>
      </c>
      <c r="O140" s="79" t="n">
        <v>0.00453853846288967</v>
      </c>
      <c r="P140" s="79" t="n">
        <v>0.00193340928905655</v>
      </c>
      <c r="Q140" s="80"/>
      <c r="R140" s="80"/>
      <c r="S140" s="80"/>
      <c r="T140" s="80"/>
      <c r="U140" s="80"/>
      <c r="V140" s="80"/>
      <c r="W140" s="80"/>
      <c r="X140" s="80"/>
      <c r="Y140" s="80"/>
      <c r="Z140" s="75"/>
    </row>
    <row r="141" customFormat="false" ht="15.75" hidden="false" customHeight="false" outlineLevel="0" collapsed="false">
      <c r="C141" s="69" t="n">
        <v>136</v>
      </c>
      <c r="D141" s="78" t="s">
        <v>1479</v>
      </c>
      <c r="E141" s="63" t="s">
        <v>1475</v>
      </c>
      <c r="F141" s="101" t="n">
        <f aca="false">VLOOKUP(D141,'[2]5. Demanda'!$D$4:$F$357,3,FALSE())</f>
        <v>13.8</v>
      </c>
      <c r="G141" s="63" t="str">
        <f aca="false">VLOOKUP(D141,'[2]5. Demanda'!D$4:J$357,4,FALSE())</f>
        <v>residencial</v>
      </c>
      <c r="H141" s="63" t="str">
        <f aca="false">VLOOKUP($D141,'[2]5. Demanda'!$D$4:$J$357,5,FALSE())</f>
        <v>Florida 115 kV
Piedecuesta 115 kV</v>
      </c>
      <c r="I141" s="63" t="str">
        <f aca="false">VLOOKUP($D141,'[2]5. Demanda'!$D$4:$J$357,6,FALSE())</f>
        <v>Sí</v>
      </c>
      <c r="J141" s="102" t="str">
        <f aca="false">IF(VLOOKUP($D141,'[2]5. Demanda'!$D$4:$J$357,7,FALSE())=0,"",VLOOKUP($D141,'[2]5. Demanda'!$D$4:$J$357,7,FALSE()))</f>
        <v/>
      </c>
      <c r="K141" s="79" t="n">
        <v>0.239363767204305</v>
      </c>
      <c r="L141" s="79" t="n">
        <v>0.101968537836676</v>
      </c>
      <c r="M141" s="79" t="n">
        <v>0.230907873136857</v>
      </c>
      <c r="N141" s="79" t="n">
        <v>0.0983663420481063</v>
      </c>
      <c r="O141" s="79" t="n">
        <v>0.319113722951025</v>
      </c>
      <c r="P141" s="79" t="n">
        <v>0.13594187672172</v>
      </c>
      <c r="Q141" s="80"/>
      <c r="R141" s="80"/>
      <c r="S141" s="80"/>
      <c r="T141" s="80"/>
      <c r="U141" s="80"/>
      <c r="V141" s="80"/>
      <c r="W141" s="80"/>
      <c r="X141" s="80"/>
      <c r="Y141" s="80"/>
      <c r="Z141" s="75"/>
    </row>
    <row r="142" customFormat="false" ht="15.75" hidden="false" customHeight="false" outlineLevel="0" collapsed="false">
      <c r="C142" s="69" t="n">
        <v>137</v>
      </c>
      <c r="D142" s="78" t="s">
        <v>1480</v>
      </c>
      <c r="E142" s="63" t="s">
        <v>1481</v>
      </c>
      <c r="F142" s="101" t="n">
        <f aca="false">VLOOKUP(D142,'[2]5. Demanda'!$D$4:$F$357,3,FALSE())</f>
        <v>13.8</v>
      </c>
      <c r="G142" s="63" t="str">
        <f aca="false">VLOOKUP(D142,'[2]5. Demanda'!D$4:J$357,4,FALSE())</f>
        <v>residencial</v>
      </c>
      <c r="H142" s="63" t="str">
        <f aca="false">VLOOKUP($D142,'[2]5. Demanda'!$D$4:$J$357,5,FALSE())</f>
        <v>Florida 115 kV</v>
      </c>
      <c r="I142" s="63" t="str">
        <f aca="false">VLOOKUP($D142,'[2]5. Demanda'!$D$4:$J$357,6,FALSE())</f>
        <v>Sí</v>
      </c>
      <c r="J142" s="102" t="str">
        <f aca="false">IF(VLOOKUP($D142,'[2]5. Demanda'!$D$4:$J$357,7,FALSE())=0,"",VLOOKUP($D142,'[2]5. Demanda'!$D$4:$J$357,7,FALSE()))</f>
        <v/>
      </c>
      <c r="K142" s="79" t="n">
        <v>0.862728220762514</v>
      </c>
      <c r="L142" s="79" t="n">
        <v>0.367520683055193</v>
      </c>
      <c r="M142" s="79" t="n">
        <v>1.03563036570324</v>
      </c>
      <c r="N142" s="79" t="n">
        <v>0.441176688366064</v>
      </c>
      <c r="O142" s="79" t="n">
        <v>1.3700547051148</v>
      </c>
      <c r="P142" s="79" t="n">
        <v>0.583640860387918</v>
      </c>
      <c r="Q142" s="80"/>
      <c r="R142" s="80"/>
      <c r="S142" s="80"/>
      <c r="T142" s="80"/>
      <c r="U142" s="80"/>
      <c r="V142" s="80"/>
      <c r="W142" s="80"/>
      <c r="X142" s="80"/>
      <c r="Y142" s="80"/>
      <c r="Z142" s="75"/>
    </row>
    <row r="143" customFormat="false" ht="15.75" hidden="false" customHeight="false" outlineLevel="0" collapsed="false">
      <c r="C143" s="69" t="n">
        <v>138</v>
      </c>
      <c r="D143" s="78" t="s">
        <v>1482</v>
      </c>
      <c r="E143" s="63" t="s">
        <v>1481</v>
      </c>
      <c r="F143" s="101" t="n">
        <f aca="false">VLOOKUP(D143,'[2]5. Demanda'!$D$4:$F$357,3,FALSE())</f>
        <v>13.8</v>
      </c>
      <c r="G143" s="63" t="str">
        <f aca="false">VLOOKUP(D143,'[2]5. Demanda'!D$4:J$357,4,FALSE())</f>
        <v>residencial</v>
      </c>
      <c r="H143" s="63" t="str">
        <f aca="false">VLOOKUP($D143,'[2]5. Demanda'!$D$4:$J$357,5,FALSE())</f>
        <v>Florida 115 kV</v>
      </c>
      <c r="I143" s="63" t="str">
        <f aca="false">VLOOKUP($D143,'[2]5. Demanda'!$D$4:$J$357,6,FALSE())</f>
        <v>Sí</v>
      </c>
      <c r="J143" s="102" t="str">
        <f aca="false">IF(VLOOKUP($D143,'[2]5. Demanda'!$D$4:$J$357,7,FALSE())=0,"",VLOOKUP($D143,'[2]5. Demanda'!$D$4:$J$357,7,FALSE()))</f>
        <v/>
      </c>
      <c r="K143" s="79" t="n">
        <v>1.40898011634472</v>
      </c>
      <c r="L143" s="79" t="n">
        <v>0.600223016134232</v>
      </c>
      <c r="M143" s="79" t="n">
        <v>2.35377828044852</v>
      </c>
      <c r="N143" s="79" t="n">
        <v>1.00270534865121</v>
      </c>
      <c r="O143" s="79" t="n">
        <v>2.42994078113506</v>
      </c>
      <c r="P143" s="79" t="n">
        <v>1.03515043808015</v>
      </c>
      <c r="Q143" s="80"/>
      <c r="R143" s="80"/>
      <c r="S143" s="80"/>
      <c r="T143" s="80"/>
      <c r="U143" s="80"/>
      <c r="V143" s="80"/>
      <c r="W143" s="80"/>
      <c r="X143" s="80"/>
      <c r="Y143" s="80"/>
      <c r="Z143" s="75"/>
    </row>
    <row r="144" customFormat="false" ht="15.75" hidden="false" customHeight="false" outlineLevel="0" collapsed="false">
      <c r="C144" s="69" t="n">
        <v>139</v>
      </c>
      <c r="D144" s="78" t="s">
        <v>1483</v>
      </c>
      <c r="E144" s="63" t="s">
        <v>1481</v>
      </c>
      <c r="F144" s="101" t="n">
        <f aca="false">VLOOKUP(D144,'[2]5. Demanda'!$D$4:$F$357,3,FALSE())</f>
        <v>13.8</v>
      </c>
      <c r="G144" s="63" t="str">
        <f aca="false">VLOOKUP(D144,'[2]5. Demanda'!D$4:J$357,4,FALSE())</f>
        <v>residencial</v>
      </c>
      <c r="H144" s="63" t="str">
        <f aca="false">VLOOKUP($D144,'[2]5. Demanda'!$D$4:$J$357,5,FALSE())</f>
        <v>Florida 115 kV</v>
      </c>
      <c r="I144" s="63" t="str">
        <f aca="false">VLOOKUP($D144,'[2]5. Demanda'!$D$4:$J$357,6,FALSE())</f>
        <v>Sí</v>
      </c>
      <c r="J144" s="102" t="str">
        <f aca="false">IF(VLOOKUP($D144,'[2]5. Demanda'!$D$4:$J$357,7,FALSE())=0,"",VLOOKUP($D144,'[2]5. Demanda'!$D$4:$J$357,7,FALSE()))</f>
        <v/>
      </c>
      <c r="K144" s="79" t="n">
        <v>0.621243006280423</v>
      </c>
      <c r="L144" s="79" t="n">
        <v>0.264648412462553</v>
      </c>
      <c r="M144" s="79" t="n">
        <v>0.716592052467889</v>
      </c>
      <c r="N144" s="79" t="n">
        <v>0.305266936048702</v>
      </c>
      <c r="O144" s="79" t="n">
        <v>1.01529424685942</v>
      </c>
      <c r="P144" s="79" t="n">
        <v>0.432513538015466</v>
      </c>
      <c r="Q144" s="80"/>
      <c r="R144" s="80"/>
      <c r="S144" s="80"/>
      <c r="T144" s="80"/>
      <c r="U144" s="80"/>
      <c r="V144" s="80"/>
      <c r="W144" s="80"/>
      <c r="X144" s="80"/>
      <c r="Y144" s="80"/>
      <c r="Z144" s="75"/>
    </row>
    <row r="145" customFormat="false" ht="15.75" hidden="false" customHeight="false" outlineLevel="0" collapsed="false">
      <c r="C145" s="69" t="n">
        <v>140</v>
      </c>
      <c r="D145" s="78" t="s">
        <v>1484</v>
      </c>
      <c r="E145" s="63" t="s">
        <v>1481</v>
      </c>
      <c r="F145" s="101" t="n">
        <f aca="false">VLOOKUP(D145,'[2]5. Demanda'!$D$4:$F$357,3,FALSE())</f>
        <v>13.8</v>
      </c>
      <c r="G145" s="63" t="str">
        <f aca="false">VLOOKUP(D145,'[2]5. Demanda'!D$4:J$357,4,FALSE())</f>
        <v>residencial</v>
      </c>
      <c r="H145" s="63" t="str">
        <f aca="false">VLOOKUP($D145,'[2]5. Demanda'!$D$4:$J$357,5,FALSE())</f>
        <v>Florida 115 kV</v>
      </c>
      <c r="I145" s="63" t="str">
        <f aca="false">VLOOKUP($D145,'[2]5. Demanda'!$D$4:$J$357,6,FALSE())</f>
        <v>Sí</v>
      </c>
      <c r="J145" s="102" t="str">
        <f aca="false">IF(VLOOKUP($D145,'[2]5. Demanda'!$D$4:$J$357,7,FALSE())=0,"",VLOOKUP($D145,'[2]5. Demanda'!$D$4:$J$357,7,FALSE()))</f>
        <v/>
      </c>
      <c r="K145" s="79" t="n">
        <v>1.54506419646382</v>
      </c>
      <c r="L145" s="79" t="n">
        <v>0.658194591509507</v>
      </c>
      <c r="M145" s="79" t="n">
        <v>1.92913941594026</v>
      </c>
      <c r="N145" s="79" t="n">
        <v>0.821809949868592</v>
      </c>
      <c r="O145" s="79" t="n">
        <v>2.39962477297985</v>
      </c>
      <c r="P145" s="79" t="n">
        <v>1.02223587268566</v>
      </c>
      <c r="Q145" s="80"/>
      <c r="R145" s="80"/>
      <c r="S145" s="80"/>
      <c r="T145" s="80"/>
      <c r="U145" s="80"/>
      <c r="V145" s="80"/>
      <c r="W145" s="80"/>
      <c r="X145" s="80"/>
      <c r="Y145" s="80"/>
      <c r="Z145" s="75"/>
    </row>
    <row r="146" customFormat="false" ht="15.75" hidden="false" customHeight="false" outlineLevel="0" collapsed="false">
      <c r="C146" s="69" t="n">
        <v>141</v>
      </c>
      <c r="D146" s="78" t="s">
        <v>1485</v>
      </c>
      <c r="E146" s="63" t="s">
        <v>1486</v>
      </c>
      <c r="F146" s="101" t="n">
        <f aca="false">VLOOKUP(D146,'[2]5. Demanda'!$D$4:$F$357,3,FALSE())</f>
        <v>13.8</v>
      </c>
      <c r="G146" s="63" t="str">
        <f aca="false">VLOOKUP(D146,'[2]5. Demanda'!D$4:J$357,4,FALSE())</f>
        <v>residencial</v>
      </c>
      <c r="H146" s="63" t="str">
        <f aca="false">VLOOKUP($D146,'[2]5. Demanda'!$D$4:$J$357,5,FALSE())</f>
        <v>San Alberto 115 kV</v>
      </c>
      <c r="I146" s="63" t="str">
        <f aca="false">VLOOKUP($D146,'[2]5. Demanda'!$D$4:$J$357,6,FALSE())</f>
        <v>Sí</v>
      </c>
      <c r="J146" s="102" t="str">
        <f aca="false">IF(VLOOKUP($D146,'[2]5. Demanda'!$D$4:$J$357,7,FALSE())=0,"",VLOOKUP($D146,'[2]5. Demanda'!$D$4:$J$357,7,FALSE()))</f>
        <v/>
      </c>
      <c r="K146" s="79" t="n">
        <v>0.029231784941198</v>
      </c>
      <c r="L146" s="79" t="n">
        <v>0.0124526882394275</v>
      </c>
      <c r="M146" s="79" t="n">
        <v>0.0332896482513688</v>
      </c>
      <c r="N146" s="79" t="n">
        <v>0.0141813307708848</v>
      </c>
      <c r="O146" s="79" t="n">
        <v>0.0410104430181385</v>
      </c>
      <c r="P146" s="79" t="n">
        <v>0.0174703755686825</v>
      </c>
      <c r="Q146" s="80"/>
      <c r="R146" s="80"/>
      <c r="S146" s="80"/>
      <c r="T146" s="80"/>
      <c r="U146" s="80"/>
      <c r="V146" s="80"/>
      <c r="W146" s="80"/>
      <c r="X146" s="80"/>
      <c r="Y146" s="80"/>
      <c r="Z146" s="75"/>
    </row>
    <row r="147" customFormat="false" ht="15.75" hidden="false" customHeight="false" outlineLevel="0" collapsed="false">
      <c r="C147" s="69" t="n">
        <v>142</v>
      </c>
      <c r="D147" s="78" t="s">
        <v>1487</v>
      </c>
      <c r="E147" s="63" t="s">
        <v>1488</v>
      </c>
      <c r="F147" s="101" t="n">
        <f aca="false">VLOOKUP(D147,'[2]5. Demanda'!$D$4:$F$357,3,FALSE())</f>
        <v>13.8</v>
      </c>
      <c r="G147" s="63" t="str">
        <f aca="false">VLOOKUP(D147,'[2]5. Demanda'!D$4:J$357,4,FALSE())</f>
        <v>residencial</v>
      </c>
      <c r="H147" s="63" t="str">
        <f aca="false">VLOOKUP($D147,'[2]5. Demanda'!$D$4:$J$357,5,FALSE())</f>
        <v>Palos 115 kV</v>
      </c>
      <c r="I147" s="63" t="str">
        <f aca="false">VLOOKUP($D147,'[2]5. Demanda'!$D$4:$J$357,6,FALSE())</f>
        <v>Sí</v>
      </c>
      <c r="J147" s="102" t="str">
        <f aca="false">IF(VLOOKUP($D147,'[2]5. Demanda'!$D$4:$J$357,7,FALSE())=0,"",VLOOKUP($D147,'[2]5. Demanda'!$D$4:$J$357,7,FALSE()))</f>
        <v/>
      </c>
      <c r="K147" s="79" t="n">
        <v>0.397111966719744</v>
      </c>
      <c r="L147" s="79" t="n">
        <v>0.169168989428951</v>
      </c>
      <c r="M147" s="79" t="n">
        <v>0.637326420020182</v>
      </c>
      <c r="N147" s="79" t="n">
        <v>0.271499918025071</v>
      </c>
      <c r="O147" s="79" t="n">
        <v>0.622530761680992</v>
      </c>
      <c r="P147" s="79" t="n">
        <v>0.265196993966015</v>
      </c>
      <c r="Q147" s="80"/>
      <c r="R147" s="80"/>
      <c r="S147" s="80"/>
      <c r="T147" s="80"/>
      <c r="U147" s="80"/>
      <c r="V147" s="80"/>
      <c r="W147" s="80"/>
      <c r="X147" s="80"/>
      <c r="Y147" s="80"/>
      <c r="Z147" s="75"/>
    </row>
    <row r="148" customFormat="false" ht="15.75" hidden="false" customHeight="false" outlineLevel="0" collapsed="false">
      <c r="C148" s="69" t="n">
        <v>143</v>
      </c>
      <c r="D148" s="78" t="s">
        <v>1489</v>
      </c>
      <c r="E148" s="63" t="s">
        <v>1488</v>
      </c>
      <c r="F148" s="101" t="n">
        <f aca="false">VLOOKUP(D148,'[2]5. Demanda'!$D$4:$F$357,3,FALSE())</f>
        <v>13.8</v>
      </c>
      <c r="G148" s="63" t="str">
        <f aca="false">VLOOKUP(D148,'[2]5. Demanda'!D$4:J$357,4,FALSE())</f>
        <v>residencial</v>
      </c>
      <c r="H148" s="63" t="str">
        <f aca="false">VLOOKUP($D148,'[2]5. Demanda'!$D$4:$J$357,5,FALSE())</f>
        <v>Palos 115 kV</v>
      </c>
      <c r="I148" s="63" t="str">
        <f aca="false">VLOOKUP($D148,'[2]5. Demanda'!$D$4:$J$357,6,FALSE())</f>
        <v>Sí</v>
      </c>
      <c r="J148" s="102" t="str">
        <f aca="false">IF(VLOOKUP($D148,'[2]5. Demanda'!$D$4:$J$357,7,FALSE())=0,"",VLOOKUP($D148,'[2]5. Demanda'!$D$4:$J$357,7,FALSE()))</f>
        <v/>
      </c>
      <c r="K148" s="79" t="n">
        <v>0.0989165619945428</v>
      </c>
      <c r="L148" s="79" t="n">
        <v>0.0421382789560015</v>
      </c>
      <c r="M148" s="79" t="n">
        <v>0.159077322582303</v>
      </c>
      <c r="N148" s="79" t="n">
        <v>0.0677666556477847</v>
      </c>
      <c r="O148" s="79" t="n">
        <v>0.194980287422157</v>
      </c>
      <c r="P148" s="79" t="n">
        <v>0.0830612546235634</v>
      </c>
      <c r="Q148" s="80"/>
      <c r="R148" s="80"/>
      <c r="S148" s="80"/>
      <c r="T148" s="80"/>
      <c r="U148" s="80"/>
      <c r="V148" s="80"/>
      <c r="W148" s="80"/>
      <c r="X148" s="80"/>
      <c r="Y148" s="80"/>
      <c r="Z148" s="75"/>
    </row>
    <row r="149" customFormat="false" ht="15.75" hidden="false" customHeight="false" outlineLevel="0" collapsed="false">
      <c r="C149" s="69" t="n">
        <v>144</v>
      </c>
      <c r="D149" s="78" t="s">
        <v>1490</v>
      </c>
      <c r="E149" s="63" t="s">
        <v>1488</v>
      </c>
      <c r="F149" s="101" t="n">
        <f aca="false">VLOOKUP(D149,'[2]5. Demanda'!$D$4:$F$357,3,FALSE())</f>
        <v>13.8</v>
      </c>
      <c r="G149" s="63" t="str">
        <f aca="false">VLOOKUP(D149,'[2]5. Demanda'!D$4:J$357,4,FALSE())</f>
        <v>residencial</v>
      </c>
      <c r="H149" s="63" t="str">
        <f aca="false">VLOOKUP($D149,'[2]5. Demanda'!$D$4:$J$357,5,FALSE())</f>
        <v>Palos 115 kV</v>
      </c>
      <c r="I149" s="63" t="str">
        <f aca="false">VLOOKUP($D149,'[2]5. Demanda'!$D$4:$J$357,6,FALSE())</f>
        <v>Sí</v>
      </c>
      <c r="J149" s="102" t="str">
        <f aca="false">IF(VLOOKUP($D149,'[2]5. Demanda'!$D$4:$J$357,7,FALSE())=0,"",VLOOKUP($D149,'[2]5. Demanda'!$D$4:$J$357,7,FALSE()))</f>
        <v/>
      </c>
      <c r="K149" s="79" t="n">
        <v>0.309561965664774</v>
      </c>
      <c r="L149" s="79" t="n">
        <v>0.131872845156811</v>
      </c>
      <c r="M149" s="79" t="n">
        <v>0.426635311902372</v>
      </c>
      <c r="N149" s="79" t="n">
        <v>0.181745881811124</v>
      </c>
      <c r="O149" s="79" t="n">
        <v>0.490185894616214</v>
      </c>
      <c r="P149" s="79" t="n">
        <v>0.208818316681637</v>
      </c>
      <c r="Q149" s="80"/>
      <c r="R149" s="80"/>
      <c r="S149" s="80"/>
      <c r="T149" s="80"/>
      <c r="U149" s="80"/>
      <c r="V149" s="80"/>
      <c r="W149" s="80"/>
      <c r="X149" s="80"/>
      <c r="Y149" s="80"/>
      <c r="Z149" s="75"/>
    </row>
    <row r="150" customFormat="false" ht="15.75" hidden="false" customHeight="false" outlineLevel="0" collapsed="false">
      <c r="C150" s="69" t="n">
        <v>145</v>
      </c>
      <c r="D150" s="78" t="s">
        <v>1491</v>
      </c>
      <c r="E150" s="63" t="s">
        <v>359</v>
      </c>
      <c r="F150" s="101" t="n">
        <f aca="false">VLOOKUP(D150,'[2]5. Demanda'!$D$4:$F$357,3,FALSE())</f>
        <v>13.8</v>
      </c>
      <c r="G150" s="63" t="str">
        <f aca="false">VLOOKUP(D150,'[2]5. Demanda'!D$4:J$357,4,FALSE())</f>
        <v>residencial</v>
      </c>
      <c r="H150" s="63" t="str">
        <f aca="false">VLOOKUP($D150,'[2]5. Demanda'!$D$4:$J$357,5,FALSE())</f>
        <v>Palos 115 kV</v>
      </c>
      <c r="I150" s="63" t="str">
        <f aca="false">VLOOKUP($D150,'[2]5. Demanda'!$D$4:$J$357,6,FALSE())</f>
        <v>Sí</v>
      </c>
      <c r="J150" s="102" t="str">
        <f aca="false">IF(VLOOKUP($D150,'[2]5. Demanda'!$D$4:$J$357,7,FALSE())=0,"",VLOOKUP($D150,'[2]5. Demanda'!$D$4:$J$357,7,FALSE()))</f>
        <v/>
      </c>
      <c r="K150" s="79" t="n">
        <v>0.381545232201539</v>
      </c>
      <c r="L150" s="79" t="n">
        <v>0.16253758829313</v>
      </c>
      <c r="M150" s="79" t="n">
        <v>0.501186178461961</v>
      </c>
      <c r="N150" s="79" t="n">
        <v>0.213504417976917</v>
      </c>
      <c r="O150" s="79" t="n">
        <v>0.564580565925201</v>
      </c>
      <c r="P150" s="79" t="n">
        <v>0.240510313949305</v>
      </c>
      <c r="Q150" s="80"/>
      <c r="R150" s="80"/>
      <c r="S150" s="80"/>
      <c r="T150" s="80"/>
      <c r="U150" s="80"/>
      <c r="V150" s="80"/>
      <c r="W150" s="80"/>
      <c r="X150" s="80"/>
      <c r="Y150" s="80"/>
      <c r="Z150" s="75"/>
    </row>
    <row r="151" customFormat="false" ht="15.75" hidden="false" customHeight="false" outlineLevel="0" collapsed="false">
      <c r="C151" s="69" t="n">
        <v>146</v>
      </c>
      <c r="D151" s="78" t="s">
        <v>1492</v>
      </c>
      <c r="E151" s="63" t="s">
        <v>359</v>
      </c>
      <c r="F151" s="101" t="n">
        <f aca="false">VLOOKUP(D151,'[2]5. Demanda'!$D$4:$F$357,3,FALSE())</f>
        <v>13.8</v>
      </c>
      <c r="G151" s="63" t="str">
        <f aca="false">VLOOKUP(D151,'[2]5. Demanda'!D$4:J$357,4,FALSE())</f>
        <v>residencial</v>
      </c>
      <c r="H151" s="63" t="str">
        <f aca="false">VLOOKUP($D151,'[2]5. Demanda'!$D$4:$J$357,5,FALSE())</f>
        <v>Palos 115 kV</v>
      </c>
      <c r="I151" s="63" t="str">
        <f aca="false">VLOOKUP($D151,'[2]5. Demanda'!$D$4:$J$357,6,FALSE())</f>
        <v>Sí</v>
      </c>
      <c r="J151" s="102" t="str">
        <f aca="false">IF(VLOOKUP($D151,'[2]5. Demanda'!$D$4:$J$357,7,FALSE())=0,"",VLOOKUP($D151,'[2]5. Demanda'!$D$4:$J$357,7,FALSE()))</f>
        <v/>
      </c>
      <c r="K151" s="79" t="n">
        <v>0.0570678759405243</v>
      </c>
      <c r="L151" s="79" t="n">
        <v>0.0243108133493456</v>
      </c>
      <c r="M151" s="79" t="n">
        <v>0.0678588502076931</v>
      </c>
      <c r="N151" s="79" t="n">
        <v>0.0289077491375312</v>
      </c>
      <c r="O151" s="79" t="n">
        <v>0.089339251488233</v>
      </c>
      <c r="P151" s="79" t="n">
        <v>0.0380583617649311</v>
      </c>
      <c r="Q151" s="80"/>
      <c r="R151" s="80"/>
      <c r="S151" s="80"/>
      <c r="T151" s="80"/>
      <c r="U151" s="80"/>
      <c r="V151" s="80"/>
      <c r="W151" s="80"/>
      <c r="X151" s="80"/>
      <c r="Y151" s="80"/>
      <c r="Z151" s="75"/>
    </row>
    <row r="152" customFormat="false" ht="15.75" hidden="false" customHeight="false" outlineLevel="0" collapsed="false">
      <c r="C152" s="69" t="n">
        <v>147</v>
      </c>
      <c r="D152" s="78" t="s">
        <v>1493</v>
      </c>
      <c r="E152" s="63" t="s">
        <v>359</v>
      </c>
      <c r="F152" s="101" t="n">
        <f aca="false">VLOOKUP(D152,'[2]5. Demanda'!$D$4:$F$357,3,FALSE())</f>
        <v>13.8</v>
      </c>
      <c r="G152" s="63" t="str">
        <f aca="false">VLOOKUP(D152,'[2]5. Demanda'!D$4:J$357,4,FALSE())</f>
        <v>residencial</v>
      </c>
      <c r="H152" s="63" t="str">
        <f aca="false">VLOOKUP($D152,'[2]5. Demanda'!$D$4:$J$357,5,FALSE())</f>
        <v>Palos 115 kV</v>
      </c>
      <c r="I152" s="63" t="str">
        <f aca="false">VLOOKUP($D152,'[2]5. Demanda'!$D$4:$J$357,6,FALSE())</f>
        <v>Sí</v>
      </c>
      <c r="J152" s="102" t="str">
        <f aca="false">IF(VLOOKUP($D152,'[2]5. Demanda'!$D$4:$J$357,7,FALSE())=0,"",VLOOKUP($D152,'[2]5. Demanda'!$D$4:$J$357,7,FALSE()))</f>
        <v/>
      </c>
      <c r="K152" s="79" t="n">
        <v>0.0561637186435582</v>
      </c>
      <c r="L152" s="79" t="n">
        <v>0.0239256439537315</v>
      </c>
      <c r="M152" s="79" t="n">
        <v>0.0864662952285718</v>
      </c>
      <c r="N152" s="79" t="n">
        <v>0.036834487523278</v>
      </c>
      <c r="O152" s="79" t="n">
        <v>0.0890579720064282</v>
      </c>
      <c r="P152" s="79" t="n">
        <v>0.0379385372074465</v>
      </c>
      <c r="Q152" s="80"/>
      <c r="R152" s="80"/>
      <c r="S152" s="80"/>
      <c r="T152" s="80"/>
      <c r="U152" s="80"/>
      <c r="V152" s="80"/>
      <c r="W152" s="80"/>
      <c r="X152" s="80"/>
      <c r="Y152" s="80"/>
      <c r="Z152" s="75"/>
    </row>
    <row r="153" customFormat="false" ht="15.75" hidden="false" customHeight="false" outlineLevel="0" collapsed="false">
      <c r="C153" s="69" t="n">
        <v>148</v>
      </c>
      <c r="D153" s="78" t="s">
        <v>1494</v>
      </c>
      <c r="E153" s="63" t="s">
        <v>359</v>
      </c>
      <c r="F153" s="101" t="n">
        <f aca="false">VLOOKUP(D153,'[2]5. Demanda'!$D$4:$F$357,3,FALSE())</f>
        <v>13.8</v>
      </c>
      <c r="G153" s="63" t="str">
        <f aca="false">VLOOKUP(D153,'[2]5. Demanda'!D$4:J$357,4,FALSE())</f>
        <v>residencial</v>
      </c>
      <c r="H153" s="63" t="str">
        <f aca="false">VLOOKUP($D153,'[2]5. Demanda'!$D$4:$J$357,5,FALSE())</f>
        <v>Palos 115 kV</v>
      </c>
      <c r="I153" s="63" t="str">
        <f aca="false">VLOOKUP($D153,'[2]5. Demanda'!$D$4:$J$357,6,FALSE())</f>
        <v>Sí</v>
      </c>
      <c r="J153" s="102" t="str">
        <f aca="false">IF(VLOOKUP($D153,'[2]5. Demanda'!$D$4:$J$357,7,FALSE())=0,"",VLOOKUP($D153,'[2]5. Demanda'!$D$4:$J$357,7,FALSE()))</f>
        <v/>
      </c>
      <c r="K153" s="79" t="n">
        <v>0.484325953948408</v>
      </c>
      <c r="L153" s="79" t="n">
        <v>0.206321992410488</v>
      </c>
      <c r="M153" s="79" t="n">
        <v>0.678173603124379</v>
      </c>
      <c r="N153" s="79" t="n">
        <v>0.288900745161648</v>
      </c>
      <c r="O153" s="79" t="n">
        <v>0.761523227175126</v>
      </c>
      <c r="P153" s="79" t="n">
        <v>0.32440753632289</v>
      </c>
      <c r="Q153" s="80"/>
      <c r="R153" s="80"/>
      <c r="S153" s="80"/>
      <c r="T153" s="80"/>
      <c r="U153" s="80"/>
      <c r="V153" s="80"/>
      <c r="W153" s="80"/>
      <c r="X153" s="80"/>
      <c r="Y153" s="80"/>
      <c r="Z153" s="75"/>
    </row>
    <row r="154" customFormat="false" ht="15.75" hidden="false" customHeight="false" outlineLevel="0" collapsed="false">
      <c r="C154" s="69" t="n">
        <v>149</v>
      </c>
      <c r="D154" s="78" t="s">
        <v>1495</v>
      </c>
      <c r="E154" s="63" t="s">
        <v>1496</v>
      </c>
      <c r="F154" s="101" t="n">
        <f aca="false">VLOOKUP(D154,'[2]5. Demanda'!$D$4:$F$357,3,FALSE())</f>
        <v>13.8</v>
      </c>
      <c r="G154" s="63" t="str">
        <f aca="false">VLOOKUP(D154,'[2]5. Demanda'!D$4:J$357,4,FALSE())</f>
        <v>residencial</v>
      </c>
      <c r="H154" s="63" t="str">
        <f aca="false">VLOOKUP($D154,'[2]5. Demanda'!$D$4:$J$357,5,FALSE())</f>
        <v>Palos 115 kV</v>
      </c>
      <c r="I154" s="63" t="str">
        <f aca="false">VLOOKUP($D154,'[2]5. Demanda'!$D$4:$J$357,6,FALSE())</f>
        <v>Sí</v>
      </c>
      <c r="J154" s="102" t="str">
        <f aca="false">IF(VLOOKUP($D154,'[2]5. Demanda'!$D$4:$J$357,7,FALSE())=0,"",VLOOKUP($D154,'[2]5. Demanda'!$D$4:$J$357,7,FALSE()))</f>
        <v/>
      </c>
      <c r="K154" s="79" t="n">
        <v>0.201441653437072</v>
      </c>
      <c r="L154" s="79" t="n">
        <v>0.0858137850197202</v>
      </c>
      <c r="M154" s="79" t="n">
        <v>0.270154093881797</v>
      </c>
      <c r="N154" s="79" t="n">
        <v>0.115085162075538</v>
      </c>
      <c r="O154" s="79" t="n">
        <v>0.320446014037121</v>
      </c>
      <c r="P154" s="79" t="n">
        <v>0.136509430347771</v>
      </c>
      <c r="Q154" s="80"/>
      <c r="R154" s="80"/>
      <c r="S154" s="80"/>
      <c r="T154" s="80"/>
      <c r="U154" s="80"/>
      <c r="V154" s="80"/>
      <c r="W154" s="80"/>
      <c r="X154" s="80"/>
      <c r="Y154" s="80"/>
      <c r="Z154" s="75"/>
    </row>
    <row r="155" customFormat="false" ht="15.75" hidden="false" customHeight="false" outlineLevel="0" collapsed="false">
      <c r="C155" s="69" t="n">
        <v>150</v>
      </c>
      <c r="D155" s="78" t="s">
        <v>1497</v>
      </c>
      <c r="E155" s="63" t="s">
        <v>1498</v>
      </c>
      <c r="F155" s="101" t="n">
        <f aca="false">VLOOKUP(D155,'[2]5. Demanda'!$D$4:$F$357,3,FALSE())</f>
        <v>13.8</v>
      </c>
      <c r="G155" s="63" t="str">
        <f aca="false">VLOOKUP(D155,'[2]5. Demanda'!D$4:J$357,4,FALSE())</f>
        <v>residencial</v>
      </c>
      <c r="H155" s="63" t="str">
        <f aca="false">VLOOKUP($D155,'[2]5. Demanda'!$D$4:$J$357,5,FALSE())</f>
        <v>Palenque 115 kV
Real de Minas 115 kV</v>
      </c>
      <c r="I155" s="63" t="str">
        <f aca="false">VLOOKUP($D155,'[2]5. Demanda'!$D$4:$J$357,6,FALSE())</f>
        <v>Sí</v>
      </c>
      <c r="J155" s="102" t="str">
        <f aca="false">IF(VLOOKUP($D155,'[2]5. Demanda'!$D$4:$J$357,7,FALSE())=0,"",VLOOKUP($D155,'[2]5. Demanda'!$D$4:$J$357,7,FALSE()))</f>
        <v/>
      </c>
      <c r="K155" s="79" t="n">
        <v>0.477766698562483</v>
      </c>
      <c r="L155" s="79" t="n">
        <v>0.203527761316902</v>
      </c>
      <c r="M155" s="79" t="n">
        <v>0.760505147450277</v>
      </c>
      <c r="N155" s="79" t="n">
        <v>0.32397383617622</v>
      </c>
      <c r="O155" s="79" t="n">
        <v>0.893097568041935</v>
      </c>
      <c r="P155" s="79" t="n">
        <v>0.380457970821447</v>
      </c>
      <c r="Q155" s="80"/>
      <c r="R155" s="80"/>
      <c r="S155" s="80"/>
      <c r="T155" s="80"/>
      <c r="U155" s="80"/>
      <c r="V155" s="80"/>
      <c r="W155" s="80"/>
      <c r="X155" s="80"/>
      <c r="Y155" s="80"/>
      <c r="Z155" s="75"/>
    </row>
    <row r="156" customFormat="false" ht="15.75" hidden="false" customHeight="false" outlineLevel="0" collapsed="false">
      <c r="C156" s="69" t="n">
        <v>151</v>
      </c>
      <c r="D156" s="78" t="s">
        <v>1499</v>
      </c>
      <c r="E156" s="63" t="s">
        <v>1498</v>
      </c>
      <c r="F156" s="101" t="n">
        <f aca="false">VLOOKUP(D156,'[2]5. Demanda'!$D$4:$F$357,3,FALSE())</f>
        <v>13.8</v>
      </c>
      <c r="G156" s="63" t="str">
        <f aca="false">VLOOKUP(D156,'[2]5. Demanda'!D$4:J$357,4,FALSE())</f>
        <v>residencial</v>
      </c>
      <c r="H156" s="63" t="str">
        <f aca="false">VLOOKUP($D156,'[2]5. Demanda'!$D$4:$J$357,5,FALSE())</f>
        <v>Palenque 115 kV
Real de Minas 115 kV</v>
      </c>
      <c r="I156" s="63" t="str">
        <f aca="false">VLOOKUP($D156,'[2]5. Demanda'!$D$4:$J$357,6,FALSE())</f>
        <v>Sí</v>
      </c>
      <c r="J156" s="102" t="str">
        <f aca="false">IF(VLOOKUP($D156,'[2]5. Demanda'!$D$4:$J$357,7,FALSE())=0,"",VLOOKUP($D156,'[2]5. Demanda'!$D$4:$J$357,7,FALSE()))</f>
        <v/>
      </c>
      <c r="K156" s="79" t="n">
        <v>0.306540103270612</v>
      </c>
      <c r="L156" s="79" t="n">
        <v>0.130585537167489</v>
      </c>
      <c r="M156" s="79" t="n">
        <v>0.41200652280092</v>
      </c>
      <c r="N156" s="79" t="n">
        <v>0.175514043749672</v>
      </c>
      <c r="O156" s="79" t="n">
        <v>0.480013458282725</v>
      </c>
      <c r="P156" s="79" t="n">
        <v>0.204484876949811</v>
      </c>
      <c r="Q156" s="80"/>
      <c r="R156" s="80"/>
      <c r="S156" s="80"/>
      <c r="T156" s="80"/>
      <c r="U156" s="80"/>
      <c r="V156" s="80"/>
      <c r="W156" s="80"/>
      <c r="X156" s="80"/>
      <c r="Y156" s="80"/>
      <c r="Z156" s="75"/>
    </row>
    <row r="157" customFormat="false" ht="15.75" hidden="false" customHeight="false" outlineLevel="0" collapsed="false">
      <c r="C157" s="69" t="n">
        <v>152</v>
      </c>
      <c r="D157" s="78" t="s">
        <v>1500</v>
      </c>
      <c r="E157" s="63" t="s">
        <v>1501</v>
      </c>
      <c r="F157" s="101" t="n">
        <f aca="false">VLOOKUP(D157,'[2]5. Demanda'!$D$4:$F$357,3,FALSE())</f>
        <v>13.8</v>
      </c>
      <c r="G157" s="63" t="str">
        <f aca="false">VLOOKUP(D157,'[2]5. Demanda'!D$4:J$357,4,FALSE())</f>
        <v>residencial</v>
      </c>
      <c r="H157" s="63" t="str">
        <f aca="false">VLOOKUP($D157,'[2]5. Demanda'!$D$4:$J$357,5,FALSE())</f>
        <v>Palenque 115 kV
Real de Minas 115 kV</v>
      </c>
      <c r="I157" s="63" t="str">
        <f aca="false">VLOOKUP($D157,'[2]5. Demanda'!$D$4:$J$357,6,FALSE())</f>
        <v>Sí</v>
      </c>
      <c r="J157" s="102" t="str">
        <f aca="false">IF(VLOOKUP($D157,'[2]5. Demanda'!$D$4:$J$357,7,FALSE())=0,"",VLOOKUP($D157,'[2]5. Demanda'!$D$4:$J$357,7,FALSE()))</f>
        <v/>
      </c>
      <c r="K157" s="79" t="n">
        <v>0.183073192286348</v>
      </c>
      <c r="L157" s="79" t="n">
        <v>0.0779888533363446</v>
      </c>
      <c r="M157" s="79" t="n">
        <v>0.286084377463373</v>
      </c>
      <c r="N157" s="79" t="n">
        <v>0.121871434463834</v>
      </c>
      <c r="O157" s="79" t="n">
        <v>0.339721963558181</v>
      </c>
      <c r="P157" s="79" t="n">
        <v>0.144720950458074</v>
      </c>
      <c r="Q157" s="80"/>
      <c r="R157" s="80"/>
      <c r="S157" s="80"/>
      <c r="T157" s="80"/>
      <c r="U157" s="80"/>
      <c r="V157" s="80"/>
      <c r="W157" s="80"/>
      <c r="X157" s="80"/>
      <c r="Y157" s="80"/>
      <c r="Z157" s="75"/>
    </row>
    <row r="158" customFormat="false" ht="15.75" hidden="false" customHeight="false" outlineLevel="0" collapsed="false">
      <c r="C158" s="69" t="n">
        <v>153</v>
      </c>
      <c r="D158" s="78" t="s">
        <v>1502</v>
      </c>
      <c r="E158" s="63" t="s">
        <v>1503</v>
      </c>
      <c r="F158" s="101" t="n">
        <f aca="false">VLOOKUP(D158,'[2]5. Demanda'!$D$4:$F$357,3,FALSE())</f>
        <v>13.8</v>
      </c>
      <c r="G158" s="63" t="str">
        <f aca="false">VLOOKUP(D158,'[2]5. Demanda'!D$4:J$357,4,FALSE())</f>
        <v>residencial</v>
      </c>
      <c r="H158" s="63" t="str">
        <f aca="false">VLOOKUP($D158,'[2]5. Demanda'!$D$4:$J$357,5,FALSE())</f>
        <v>Sabana de Torres 115 kV</v>
      </c>
      <c r="I158" s="63" t="str">
        <f aca="false">VLOOKUP($D158,'[2]5. Demanda'!$D$4:$J$357,6,FALSE())</f>
        <v>Sí</v>
      </c>
      <c r="J158" s="102" t="str">
        <f aca="false">IF(VLOOKUP($D158,'[2]5. Demanda'!$D$4:$J$357,7,FALSE())=0,"",VLOOKUP($D158,'[2]5. Demanda'!$D$4:$J$357,7,FALSE()))</f>
        <v/>
      </c>
      <c r="K158" s="79" t="n">
        <v>0.20206047740965</v>
      </c>
      <c r="L158" s="79" t="n">
        <v>0.0860774029281408</v>
      </c>
      <c r="M158" s="79" t="n">
        <v>0.191001157633408</v>
      </c>
      <c r="N158" s="79" t="n">
        <v>0.0813661524317819</v>
      </c>
      <c r="O158" s="79" t="n">
        <v>0.24535165191198</v>
      </c>
      <c r="P158" s="79" t="n">
        <v>0.104519366040574</v>
      </c>
      <c r="Q158" s="80"/>
      <c r="R158" s="80"/>
      <c r="S158" s="80"/>
      <c r="T158" s="80"/>
      <c r="U158" s="80"/>
      <c r="V158" s="80"/>
      <c r="W158" s="80"/>
      <c r="X158" s="80"/>
      <c r="Y158" s="80"/>
      <c r="Z158" s="75"/>
    </row>
    <row r="159" customFormat="false" ht="15.75" hidden="false" customHeight="false" outlineLevel="0" collapsed="false">
      <c r="C159" s="69" t="n">
        <v>154</v>
      </c>
      <c r="D159" s="78" t="s">
        <v>1504</v>
      </c>
      <c r="E159" s="63" t="s">
        <v>1503</v>
      </c>
      <c r="F159" s="101" t="n">
        <f aca="false">VLOOKUP(D159,'[2]5. Demanda'!$D$4:$F$357,3,FALSE())</f>
        <v>13.8</v>
      </c>
      <c r="G159" s="63" t="str">
        <f aca="false">VLOOKUP(D159,'[2]5. Demanda'!D$4:J$357,4,FALSE())</f>
        <v>residencial</v>
      </c>
      <c r="H159" s="63" t="str">
        <f aca="false">VLOOKUP($D159,'[2]5. Demanda'!$D$4:$J$357,5,FALSE())</f>
        <v>Sabana de Torres 115 kV</v>
      </c>
      <c r="I159" s="63" t="str">
        <f aca="false">VLOOKUP($D159,'[2]5. Demanda'!$D$4:$J$357,6,FALSE())</f>
        <v>Sí</v>
      </c>
      <c r="J159" s="102" t="str">
        <f aca="false">IF(VLOOKUP($D159,'[2]5. Demanda'!$D$4:$J$357,7,FALSE())=0,"",VLOOKUP($D159,'[2]5. Demanda'!$D$4:$J$357,7,FALSE()))</f>
        <v/>
      </c>
      <c r="K159" s="79" t="n">
        <v>0.120060078887306</v>
      </c>
      <c r="L159" s="79" t="n">
        <v>0.0511453794351644</v>
      </c>
      <c r="M159" s="79" t="n">
        <v>0.106097533998546</v>
      </c>
      <c r="N159" s="79" t="n">
        <v>0.0451973602198311</v>
      </c>
      <c r="O159" s="79" t="n">
        <v>0.140767954466589</v>
      </c>
      <c r="P159" s="79" t="n">
        <v>0.0599668974919093</v>
      </c>
      <c r="Q159" s="80"/>
      <c r="R159" s="80"/>
      <c r="S159" s="80"/>
      <c r="T159" s="80"/>
      <c r="U159" s="80"/>
      <c r="V159" s="80"/>
      <c r="W159" s="80"/>
      <c r="X159" s="80"/>
      <c r="Y159" s="80"/>
      <c r="Z159" s="75"/>
    </row>
    <row r="160" customFormat="false" ht="13.8" hidden="false" customHeight="false" outlineLevel="0" collapsed="false">
      <c r="C160" s="69" t="n">
        <v>155</v>
      </c>
      <c r="D160" s="78" t="s">
        <v>1505</v>
      </c>
      <c r="E160" s="63" t="s">
        <v>1503</v>
      </c>
      <c r="F160" s="101" t="n">
        <f aca="false">VLOOKUP(D160,'[2]5. Demanda'!$D$4:$F$357,3,FALSE())</f>
        <v>13.8</v>
      </c>
      <c r="G160" s="63" t="str">
        <f aca="false">VLOOKUP(D160,'[2]5. Demanda'!D$4:J$357,4,FALSE())</f>
        <v>industrial</v>
      </c>
      <c r="H160" s="63" t="str">
        <f aca="false">VLOOKUP($D160,'[2]5. Demanda'!$D$4:$J$357,5,FALSE())</f>
        <v>Sabana de Torres 115 kV</v>
      </c>
      <c r="I160" s="63" t="str">
        <f aca="false">VLOOKUP($D160,'[2]5. Demanda'!$D$4:$J$357,6,FALSE())</f>
        <v>Sí</v>
      </c>
      <c r="J160" s="102" t="str">
        <f aca="false">IF(VLOOKUP($D160,'[2]5. Demanda'!$D$4:$J$357,7,FALSE())=0,"",VLOOKUP($D160,'[2]5. Demanda'!$D$4:$J$357,7,FALSE()))</f>
        <v/>
      </c>
      <c r="K160" s="79" t="n">
        <v>0.100693360195549</v>
      </c>
      <c r="L160" s="79" t="n">
        <v>0.0428951918200643</v>
      </c>
      <c r="M160" s="79" t="n">
        <v>0.256820216379602</v>
      </c>
      <c r="N160" s="79" t="n">
        <v>0.109404954045424</v>
      </c>
      <c r="O160" s="79" t="n">
        <v>0.164606035158648</v>
      </c>
      <c r="P160" s="79" t="n">
        <v>0.0701218773428376</v>
      </c>
      <c r="Q160" s="80"/>
      <c r="R160" s="80"/>
      <c r="S160" s="80"/>
      <c r="T160" s="80"/>
      <c r="U160" s="80"/>
      <c r="V160" s="80"/>
      <c r="W160" s="80"/>
      <c r="X160" s="80"/>
      <c r="Y160" s="80"/>
      <c r="Z160" s="75"/>
    </row>
    <row r="161" customFormat="false" ht="15.75" hidden="false" customHeight="false" outlineLevel="0" collapsed="false">
      <c r="C161" s="69" t="n">
        <v>156</v>
      </c>
      <c r="D161" s="78" t="s">
        <v>1506</v>
      </c>
      <c r="E161" s="63" t="s">
        <v>1507</v>
      </c>
      <c r="F161" s="101" t="n">
        <f aca="false">VLOOKUP(D161,'[2]5. Demanda'!$D$4:$F$357,3,FALSE())</f>
        <v>13.8</v>
      </c>
      <c r="G161" s="63" t="str">
        <f aca="false">VLOOKUP(D161,'[2]5. Demanda'!D$4:J$357,4,FALSE())</f>
        <v>residencial</v>
      </c>
      <c r="H161" s="63" t="str">
        <f aca="false">VLOOKUP($D161,'[2]5. Demanda'!$D$4:$J$357,5,FALSE())</f>
        <v>San Alberto 115 kV</v>
      </c>
      <c r="I161" s="63" t="str">
        <f aca="false">VLOOKUP($D161,'[2]5. Demanda'!$D$4:$J$357,6,FALSE())</f>
        <v>Sí</v>
      </c>
      <c r="J161" s="102" t="str">
        <f aca="false">IF(VLOOKUP($D161,'[2]5. Demanda'!$D$4:$J$357,7,FALSE())=0,"",VLOOKUP($D161,'[2]5. Demanda'!$D$4:$J$357,7,FALSE()))</f>
        <v/>
      </c>
      <c r="K161" s="79" t="n">
        <v>0.0281769725540855</v>
      </c>
      <c r="L161" s="79" t="n">
        <v>0.0120033400441592</v>
      </c>
      <c r="M161" s="79" t="n">
        <v>0.0260728898973995</v>
      </c>
      <c r="N161" s="79" t="n">
        <v>0.0111070045858078</v>
      </c>
      <c r="O161" s="79" t="n">
        <v>0.0343822180155819</v>
      </c>
      <c r="P161" s="79" t="n">
        <v>0.014646763541444</v>
      </c>
      <c r="Q161" s="80"/>
      <c r="R161" s="80"/>
      <c r="S161" s="80"/>
      <c r="T161" s="80"/>
      <c r="U161" s="80"/>
      <c r="V161" s="80"/>
      <c r="W161" s="80"/>
      <c r="X161" s="80"/>
      <c r="Y161" s="80"/>
      <c r="Z161" s="75"/>
    </row>
    <row r="162" customFormat="false" ht="15.75" hidden="false" customHeight="false" outlineLevel="0" collapsed="false">
      <c r="C162" s="69" t="n">
        <v>157</v>
      </c>
      <c r="D162" s="78" t="s">
        <v>1508</v>
      </c>
      <c r="E162" s="63" t="s">
        <v>1509</v>
      </c>
      <c r="F162" s="101" t="n">
        <f aca="false">VLOOKUP(D162,'[2]5. Demanda'!$D$4:$F$357,3,FALSE())</f>
        <v>13.8</v>
      </c>
      <c r="G162" s="63" t="str">
        <f aca="false">VLOOKUP(D162,'[2]5. Demanda'!D$4:J$357,4,FALSE())</f>
        <v>residencial</v>
      </c>
      <c r="H162" s="63" t="str">
        <f aca="false">VLOOKUP($D162,'[2]5. Demanda'!$D$4:$J$357,5,FALSE())</f>
        <v>San Alberto 115 kV</v>
      </c>
      <c r="I162" s="63" t="str">
        <f aca="false">VLOOKUP($D162,'[2]5. Demanda'!$D$4:$J$357,6,FALSE())</f>
        <v>Sí</v>
      </c>
      <c r="J162" s="102" t="str">
        <f aca="false">IF(VLOOKUP($D162,'[2]5. Demanda'!$D$4:$J$357,7,FALSE())=0,"",VLOOKUP($D162,'[2]5. Demanda'!$D$4:$J$357,7,FALSE()))</f>
        <v/>
      </c>
      <c r="K162" s="79" t="n">
        <v>1.99392919292453</v>
      </c>
      <c r="L162" s="79" t="n">
        <v>0.849410279287752</v>
      </c>
      <c r="M162" s="79" t="n">
        <v>2.15167387683847</v>
      </c>
      <c r="N162" s="79" t="n">
        <v>0.91660923324006</v>
      </c>
      <c r="O162" s="79" t="n">
        <v>2.42336487250765</v>
      </c>
      <c r="P162" s="79" t="n">
        <v>1.0323491127354</v>
      </c>
      <c r="Q162" s="80"/>
      <c r="R162" s="80"/>
      <c r="S162" s="80"/>
      <c r="T162" s="80"/>
      <c r="U162" s="80"/>
      <c r="V162" s="80"/>
      <c r="W162" s="80"/>
      <c r="X162" s="80"/>
      <c r="Y162" s="80"/>
      <c r="Z162" s="75"/>
    </row>
    <row r="163" customFormat="false" ht="15.75" hidden="false" customHeight="false" outlineLevel="0" collapsed="false">
      <c r="C163" s="69" t="n">
        <v>158</v>
      </c>
      <c r="D163" s="78" t="s">
        <v>1510</v>
      </c>
      <c r="E163" s="63" t="s">
        <v>1509</v>
      </c>
      <c r="F163" s="101" t="n">
        <f aca="false">VLOOKUP(D163,'[2]5. Demanda'!$D$4:$F$357,3,FALSE())</f>
        <v>13.8</v>
      </c>
      <c r="G163" s="63" t="str">
        <f aca="false">VLOOKUP(D163,'[2]5. Demanda'!D$4:J$357,4,FALSE())</f>
        <v>residencial</v>
      </c>
      <c r="H163" s="63" t="str">
        <f aca="false">VLOOKUP($D163,'[2]5. Demanda'!$D$4:$J$357,5,FALSE())</f>
        <v>San Alberto 115 kV</v>
      </c>
      <c r="I163" s="63" t="str">
        <f aca="false">VLOOKUP($D163,'[2]5. Demanda'!$D$4:$J$357,6,FALSE())</f>
        <v>Sí</v>
      </c>
      <c r="J163" s="102" t="str">
        <f aca="false">IF(VLOOKUP($D163,'[2]5. Demanda'!$D$4:$J$357,7,FALSE())=0,"",VLOOKUP($D163,'[2]5. Demanda'!$D$4:$J$357,7,FALSE()))</f>
        <v/>
      </c>
      <c r="K163" s="79" t="n">
        <v>1.29647221390827</v>
      </c>
      <c r="L163" s="79" t="n">
        <v>0.552294850395078</v>
      </c>
      <c r="M163" s="79" t="n">
        <v>1.06957609082796</v>
      </c>
      <c r="N163" s="79" t="n">
        <v>0.455637506714644</v>
      </c>
      <c r="O163" s="79" t="n">
        <v>1.41685855096167</v>
      </c>
      <c r="P163" s="79" t="n">
        <v>0.603579215226998</v>
      </c>
      <c r="Q163" s="80"/>
      <c r="R163" s="80"/>
      <c r="S163" s="80"/>
      <c r="T163" s="80"/>
      <c r="U163" s="80"/>
      <c r="V163" s="80"/>
      <c r="W163" s="80"/>
      <c r="X163" s="80"/>
      <c r="Y163" s="80"/>
      <c r="Z163" s="75"/>
    </row>
    <row r="164" customFormat="false" ht="15.75" hidden="false" customHeight="false" outlineLevel="0" collapsed="false">
      <c r="C164" s="69" t="n">
        <v>159</v>
      </c>
      <c r="D164" s="78" t="s">
        <v>1511</v>
      </c>
      <c r="E164" s="63" t="s">
        <v>1509</v>
      </c>
      <c r="F164" s="101" t="n">
        <f aca="false">VLOOKUP(D164,'[2]5. Demanda'!$D$4:$F$357,3,FALSE())</f>
        <v>13.8</v>
      </c>
      <c r="G164" s="63" t="str">
        <f aca="false">VLOOKUP(D164,'[2]5. Demanda'!D$4:J$357,4,FALSE())</f>
        <v>residencial</v>
      </c>
      <c r="H164" s="63" t="str">
        <f aca="false">VLOOKUP($D164,'[2]5. Demanda'!$D$4:$J$357,5,FALSE())</f>
        <v>San Alberto 115 kV</v>
      </c>
      <c r="I164" s="63" t="str">
        <f aca="false">VLOOKUP($D164,'[2]5. Demanda'!$D$4:$J$357,6,FALSE())</f>
        <v>Sí</v>
      </c>
      <c r="J164" s="102" t="str">
        <f aca="false">IF(VLOOKUP($D164,'[2]5. Demanda'!$D$4:$J$357,7,FALSE())=0,"",VLOOKUP($D164,'[2]5. Demanda'!$D$4:$J$357,7,FALSE()))</f>
        <v/>
      </c>
      <c r="K164" s="79" t="n">
        <v>0.860563088195799</v>
      </c>
      <c r="L164" s="79" t="n">
        <v>0.366598340444074</v>
      </c>
      <c r="M164" s="79" t="n">
        <v>0.897164082146503</v>
      </c>
      <c r="N164" s="79" t="n">
        <v>0.382190298575886</v>
      </c>
      <c r="O164" s="79" t="n">
        <v>1.01410572126414</v>
      </c>
      <c r="P164" s="79" t="n">
        <v>0.432007228232043</v>
      </c>
      <c r="Q164" s="80"/>
      <c r="R164" s="80"/>
      <c r="S164" s="80"/>
      <c r="T164" s="80"/>
      <c r="U164" s="80"/>
      <c r="V164" s="80"/>
      <c r="W164" s="80"/>
      <c r="X164" s="80"/>
      <c r="Y164" s="80"/>
      <c r="Z164" s="75"/>
    </row>
    <row r="165" customFormat="false" ht="15.75" hidden="false" customHeight="false" outlineLevel="0" collapsed="false">
      <c r="C165" s="69" t="n">
        <v>160</v>
      </c>
      <c r="D165" s="78" t="s">
        <v>1512</v>
      </c>
      <c r="E165" s="63" t="s">
        <v>1509</v>
      </c>
      <c r="F165" s="101" t="n">
        <f aca="false">VLOOKUP(D165,'[2]5. Demanda'!$D$4:$F$357,3,FALSE())</f>
        <v>13.8</v>
      </c>
      <c r="G165" s="63" t="str">
        <f aca="false">VLOOKUP(D165,'[2]5. Demanda'!D$4:J$357,4,FALSE())</f>
        <v>residencial</v>
      </c>
      <c r="H165" s="63" t="str">
        <f aca="false">VLOOKUP($D165,'[2]5. Demanda'!$D$4:$J$357,5,FALSE())</f>
        <v>San Alberto 115 kV</v>
      </c>
      <c r="I165" s="63" t="str">
        <f aca="false">VLOOKUP($D165,'[2]5. Demanda'!$D$4:$J$357,6,FALSE())</f>
        <v>Sí</v>
      </c>
      <c r="J165" s="102" t="str">
        <f aca="false">IF(VLOOKUP($D165,'[2]5. Demanda'!$D$4:$J$357,7,FALSE())=0,"",VLOOKUP($D165,'[2]5. Demanda'!$D$4:$J$357,7,FALSE()))</f>
        <v/>
      </c>
      <c r="K165" s="79" t="n">
        <v>0.237073856043932</v>
      </c>
      <c r="L165" s="79" t="n">
        <v>0.100993039767246</v>
      </c>
      <c r="M165" s="79" t="n">
        <v>0.205308493464567</v>
      </c>
      <c r="N165" s="79" t="n">
        <v>0.0874610519735173</v>
      </c>
      <c r="O165" s="79" t="n">
        <v>0.293603848431391</v>
      </c>
      <c r="P165" s="79" t="n">
        <v>0.125074715682497</v>
      </c>
      <c r="Q165" s="80"/>
      <c r="R165" s="80"/>
      <c r="S165" s="80"/>
      <c r="T165" s="80"/>
      <c r="U165" s="80"/>
      <c r="V165" s="80"/>
      <c r="W165" s="80"/>
      <c r="X165" s="80"/>
      <c r="Y165" s="80"/>
      <c r="Z165" s="75"/>
    </row>
    <row r="166" customFormat="false" ht="15.75" hidden="false" customHeight="false" outlineLevel="0" collapsed="false">
      <c r="C166" s="69" t="n">
        <v>161</v>
      </c>
      <c r="D166" s="78" t="s">
        <v>1513</v>
      </c>
      <c r="E166" s="63" t="s">
        <v>1514</v>
      </c>
      <c r="F166" s="101" t="n">
        <f aca="false">VLOOKUP(D166,'[2]5. Demanda'!$D$4:$F$357,3,FALSE())</f>
        <v>13.8</v>
      </c>
      <c r="G166" s="63" t="str">
        <f aca="false">VLOOKUP(D166,'[2]5. Demanda'!D$4:J$357,4,FALSE())</f>
        <v>residencial</v>
      </c>
      <c r="H166" s="63" t="str">
        <f aca="false">VLOOKUP($D166,'[2]5. Demanda'!$D$4:$J$357,5,FALSE())</f>
        <v>San Alberto 115 kV</v>
      </c>
      <c r="I166" s="63" t="str">
        <f aca="false">VLOOKUP($D166,'[2]5. Demanda'!$D$4:$J$357,6,FALSE())</f>
        <v>Sí</v>
      </c>
      <c r="J166" s="102" t="str">
        <f aca="false">IF(VLOOKUP($D166,'[2]5. Demanda'!$D$4:$J$357,7,FALSE())=0,"",VLOOKUP($D166,'[2]5. Demanda'!$D$4:$J$357,7,FALSE()))</f>
        <v/>
      </c>
      <c r="K166" s="79" t="n">
        <v>2.42365242121975</v>
      </c>
      <c r="L166" s="79" t="n">
        <v>1.03247160797381</v>
      </c>
      <c r="M166" s="79" t="n">
        <v>2.26054334484116</v>
      </c>
      <c r="N166" s="79" t="n">
        <v>0.962987432400906</v>
      </c>
      <c r="O166" s="79" t="n">
        <v>2.73562153917515</v>
      </c>
      <c r="P166" s="79" t="n">
        <v>1.16536989571239</v>
      </c>
      <c r="Q166" s="80"/>
      <c r="R166" s="80"/>
      <c r="S166" s="80"/>
      <c r="T166" s="80"/>
      <c r="U166" s="80"/>
      <c r="V166" s="80"/>
      <c r="W166" s="80"/>
      <c r="X166" s="80"/>
      <c r="Y166" s="80"/>
      <c r="Z166" s="75"/>
    </row>
    <row r="167" customFormat="false" ht="15.75" hidden="false" customHeight="false" outlineLevel="0" collapsed="false">
      <c r="C167" s="69" t="n">
        <v>162</v>
      </c>
      <c r="D167" s="78" t="s">
        <v>1515</v>
      </c>
      <c r="E167" s="63" t="s">
        <v>1514</v>
      </c>
      <c r="F167" s="101" t="n">
        <f aca="false">VLOOKUP(D167,'[2]5. Demanda'!$D$4:$F$357,3,FALSE())</f>
        <v>13.8</v>
      </c>
      <c r="G167" s="63" t="str">
        <f aca="false">VLOOKUP(D167,'[2]5. Demanda'!D$4:J$357,4,FALSE())</f>
        <v>residencial</v>
      </c>
      <c r="H167" s="63" t="str">
        <f aca="false">VLOOKUP($D167,'[2]5. Demanda'!$D$4:$J$357,5,FALSE())</f>
        <v>San Alberto 115 kV</v>
      </c>
      <c r="I167" s="63" t="str">
        <f aca="false">VLOOKUP($D167,'[2]5. Demanda'!$D$4:$J$357,6,FALSE())</f>
        <v>Sí</v>
      </c>
      <c r="J167" s="102" t="str">
        <f aca="false">IF(VLOOKUP($D167,'[2]5. Demanda'!$D$4:$J$357,7,FALSE())=0,"",VLOOKUP($D167,'[2]5. Demanda'!$D$4:$J$357,7,FALSE()))</f>
        <v/>
      </c>
      <c r="K167" s="79" t="n">
        <v>1.07716924179507</v>
      </c>
      <c r="L167" s="79" t="n">
        <v>0.458872175481487</v>
      </c>
      <c r="M167" s="79" t="n">
        <v>0.925079614071465</v>
      </c>
      <c r="N167" s="79" t="n">
        <v>0.394082265378413</v>
      </c>
      <c r="O167" s="79" t="n">
        <v>1.23153122492569</v>
      </c>
      <c r="P167" s="79" t="n">
        <v>0.524630104934379</v>
      </c>
      <c r="Q167" s="80"/>
      <c r="R167" s="80"/>
      <c r="S167" s="80"/>
      <c r="T167" s="80"/>
      <c r="U167" s="80"/>
      <c r="V167" s="80"/>
      <c r="W167" s="80"/>
      <c r="X167" s="80"/>
      <c r="Y167" s="80"/>
      <c r="Z167" s="75"/>
    </row>
    <row r="168" customFormat="false" ht="15.75" hidden="false" customHeight="false" outlineLevel="0" collapsed="false">
      <c r="C168" s="69" t="n">
        <v>163</v>
      </c>
      <c r="D168" s="78" t="s">
        <v>1516</v>
      </c>
      <c r="E168" s="63" t="s">
        <v>1514</v>
      </c>
      <c r="F168" s="101" t="n">
        <f aca="false">VLOOKUP(D168,'[2]5. Demanda'!$D$4:$F$357,3,FALSE())</f>
        <v>13.8</v>
      </c>
      <c r="G168" s="63" t="str">
        <f aca="false">VLOOKUP(D168,'[2]5. Demanda'!D$4:J$357,4,FALSE())</f>
        <v>residencial</v>
      </c>
      <c r="H168" s="63" t="str">
        <f aca="false">VLOOKUP($D168,'[2]5. Demanda'!$D$4:$J$357,5,FALSE())</f>
        <v>San Alberto 115 kV</v>
      </c>
      <c r="I168" s="63" t="str">
        <f aca="false">VLOOKUP($D168,'[2]5. Demanda'!$D$4:$J$357,6,FALSE())</f>
        <v>Sí</v>
      </c>
      <c r="J168" s="102" t="str">
        <f aca="false">IF(VLOOKUP($D168,'[2]5. Demanda'!$D$4:$J$357,7,FALSE())=0,"",VLOOKUP($D168,'[2]5. Demanda'!$D$4:$J$357,7,FALSE()))</f>
        <v/>
      </c>
      <c r="K168" s="79" t="n">
        <v>0.979297315683961</v>
      </c>
      <c r="L168" s="79" t="n">
        <v>0.417178909548341</v>
      </c>
      <c r="M168" s="79" t="n">
        <v>0.856636534111594</v>
      </c>
      <c r="N168" s="79" t="n">
        <v>0.36492563540864</v>
      </c>
      <c r="O168" s="79" t="n">
        <v>1.10691675452769</v>
      </c>
      <c r="P168" s="79" t="n">
        <v>0.471544562840075</v>
      </c>
      <c r="Q168" s="80"/>
      <c r="R168" s="80"/>
      <c r="S168" s="80"/>
      <c r="T168" s="80"/>
      <c r="U168" s="80"/>
      <c r="V168" s="80"/>
      <c r="W168" s="80"/>
      <c r="X168" s="80"/>
      <c r="Y168" s="80"/>
      <c r="Z168" s="75"/>
    </row>
    <row r="169" customFormat="false" ht="15.75" hidden="false" customHeight="false" outlineLevel="0" collapsed="false">
      <c r="C169" s="69" t="n">
        <v>164</v>
      </c>
      <c r="D169" s="78" t="s">
        <v>1517</v>
      </c>
      <c r="E169" s="63" t="s">
        <v>1518</v>
      </c>
      <c r="F169" s="101" t="n">
        <f aca="false">VLOOKUP(D169,'[2]5. Demanda'!$D$4:$F$357,3,FALSE())</f>
        <v>13.8</v>
      </c>
      <c r="G169" s="63" t="str">
        <f aca="false">VLOOKUP(D169,'[2]5. Demanda'!D$4:J$357,4,FALSE())</f>
        <v>residencial</v>
      </c>
      <c r="H169" s="63" t="str">
        <f aca="false">VLOOKUP($D169,'[2]5. Demanda'!$D$4:$J$357,5,FALSE())</f>
        <v>Sabana de Torres 115 kV</v>
      </c>
      <c r="I169" s="63" t="str">
        <f aca="false">VLOOKUP($D169,'[2]5. Demanda'!$D$4:$J$357,6,FALSE())</f>
        <v>Sí</v>
      </c>
      <c r="J169" s="102" t="str">
        <f aca="false">IF(VLOOKUP($D169,'[2]5. Demanda'!$D$4:$J$357,7,FALSE())=0,"",VLOOKUP($D169,'[2]5. Demanda'!$D$4:$J$357,7,FALSE()))</f>
        <v/>
      </c>
      <c r="K169" s="79" t="n">
        <v>1.3530407996099</v>
      </c>
      <c r="L169" s="79" t="n">
        <v>0.576392966993323</v>
      </c>
      <c r="M169" s="79" t="n">
        <v>1.60174662781181</v>
      </c>
      <c r="N169" s="79" t="n">
        <v>0.682341206150012</v>
      </c>
      <c r="O169" s="79" t="n">
        <v>1.83609316686476</v>
      </c>
      <c r="P169" s="79" t="n">
        <v>0.782172413744264</v>
      </c>
      <c r="Q169" s="80"/>
      <c r="R169" s="80"/>
      <c r="S169" s="80"/>
      <c r="T169" s="80"/>
      <c r="U169" s="80"/>
      <c r="V169" s="80"/>
      <c r="W169" s="80"/>
      <c r="X169" s="80"/>
      <c r="Y169" s="80"/>
      <c r="Z169" s="75"/>
    </row>
    <row r="170" customFormat="false" ht="15.75" hidden="false" customHeight="false" outlineLevel="0" collapsed="false">
      <c r="C170" s="69" t="n">
        <v>165</v>
      </c>
      <c r="D170" s="78" t="s">
        <v>1519</v>
      </c>
      <c r="E170" s="63" t="s">
        <v>1518</v>
      </c>
      <c r="F170" s="101" t="n">
        <f aca="false">VLOOKUP(D170,'[2]5. Demanda'!$D$4:$F$357,3,FALSE())</f>
        <v>13.8</v>
      </c>
      <c r="G170" s="63" t="str">
        <f aca="false">VLOOKUP(D170,'[2]5. Demanda'!D$4:J$357,4,FALSE())</f>
        <v>residencial</v>
      </c>
      <c r="H170" s="63" t="str">
        <f aca="false">VLOOKUP($D170,'[2]5. Demanda'!$D$4:$J$357,5,FALSE())</f>
        <v>Sabana de Torres 115 kV</v>
      </c>
      <c r="I170" s="63" t="str">
        <f aca="false">VLOOKUP($D170,'[2]5. Demanda'!$D$4:$J$357,6,FALSE())</f>
        <v>Sí</v>
      </c>
      <c r="J170" s="102" t="str">
        <f aca="false">IF(VLOOKUP($D170,'[2]5. Demanda'!$D$4:$J$357,7,FALSE())=0,"",VLOOKUP($D170,'[2]5. Demanda'!$D$4:$J$357,7,FALSE()))</f>
        <v/>
      </c>
      <c r="K170" s="79" t="n">
        <v>3.60209349543424</v>
      </c>
      <c r="L170" s="79" t="n">
        <v>1.53448540341081</v>
      </c>
      <c r="M170" s="79" t="n">
        <v>2.6100176337628</v>
      </c>
      <c r="N170" s="79" t="n">
        <v>1.11186285606699</v>
      </c>
      <c r="O170" s="79" t="n">
        <v>4.41676466704537</v>
      </c>
      <c r="P170" s="79" t="n">
        <v>1.88153386925475</v>
      </c>
      <c r="Q170" s="80"/>
      <c r="R170" s="80"/>
      <c r="S170" s="80"/>
      <c r="T170" s="80"/>
      <c r="U170" s="80"/>
      <c r="V170" s="80"/>
      <c r="W170" s="80"/>
      <c r="X170" s="80"/>
      <c r="Y170" s="80"/>
      <c r="Z170" s="75"/>
    </row>
    <row r="171" customFormat="false" ht="15.75" hidden="false" customHeight="false" outlineLevel="0" collapsed="false">
      <c r="C171" s="69" t="n">
        <v>166</v>
      </c>
      <c r="D171" s="78" t="s">
        <v>1520</v>
      </c>
      <c r="E171" s="63" t="s">
        <v>1518</v>
      </c>
      <c r="F171" s="101" t="n">
        <f aca="false">VLOOKUP(D171,'[2]5. Demanda'!$D$4:$F$357,3,FALSE())</f>
        <v>13.8</v>
      </c>
      <c r="G171" s="63" t="str">
        <f aca="false">VLOOKUP(D171,'[2]5. Demanda'!D$4:J$357,4,FALSE())</f>
        <v>residencial</v>
      </c>
      <c r="H171" s="63" t="str">
        <f aca="false">VLOOKUP($D171,'[2]5. Demanda'!$D$4:$J$357,5,FALSE())</f>
        <v>Sabana de Torres 115 kV</v>
      </c>
      <c r="I171" s="63" t="str">
        <f aca="false">VLOOKUP($D171,'[2]5. Demanda'!$D$4:$J$357,6,FALSE())</f>
        <v>Sí</v>
      </c>
      <c r="J171" s="102" t="str">
        <f aca="false">IF(VLOOKUP($D171,'[2]5. Demanda'!$D$4:$J$357,7,FALSE())=0,"",VLOOKUP($D171,'[2]5. Demanda'!$D$4:$J$357,7,FALSE()))</f>
        <v/>
      </c>
      <c r="K171" s="79" t="n">
        <v>1.08065814990533</v>
      </c>
      <c r="L171" s="79" t="n">
        <v>0.460358444112723</v>
      </c>
      <c r="M171" s="79" t="n">
        <v>1.01714555211817</v>
      </c>
      <c r="N171" s="79" t="n">
        <v>0.433302190753217</v>
      </c>
      <c r="O171" s="79" t="n">
        <v>1.35520980389495</v>
      </c>
      <c r="P171" s="79" t="n">
        <v>0.577316958949547</v>
      </c>
      <c r="Q171" s="80"/>
      <c r="R171" s="80"/>
      <c r="S171" s="80"/>
      <c r="T171" s="80"/>
      <c r="U171" s="80"/>
      <c r="V171" s="80"/>
      <c r="W171" s="80"/>
      <c r="X171" s="80"/>
      <c r="Y171" s="80"/>
      <c r="Z171" s="75"/>
    </row>
    <row r="172" customFormat="false" ht="15.75" hidden="false" customHeight="false" outlineLevel="0" collapsed="false">
      <c r="C172" s="69" t="n">
        <v>167</v>
      </c>
      <c r="D172" s="78" t="s">
        <v>1521</v>
      </c>
      <c r="E172" s="63" t="s">
        <v>1522</v>
      </c>
      <c r="F172" s="101" t="n">
        <f aca="false">VLOOKUP(D172,'[2]5. Demanda'!$D$4:$F$357,3,FALSE())</f>
        <v>13.8</v>
      </c>
      <c r="G172" s="63" t="str">
        <f aca="false">VLOOKUP(D172,'[2]5. Demanda'!D$4:J$357,4,FALSE())</f>
        <v>residencial</v>
      </c>
      <c r="H172" s="63" t="str">
        <f aca="false">VLOOKUP($D172,'[2]5. Demanda'!$D$4:$J$357,5,FALSE())</f>
        <v>Buenavista 115 kV
San Silvestre 115 kV
Barranca 115 kV</v>
      </c>
      <c r="I172" s="63" t="str">
        <f aca="false">VLOOKUP($D172,'[2]5. Demanda'!$D$4:$J$357,6,FALSE())</f>
        <v>Sí</v>
      </c>
      <c r="J172" s="102" t="str">
        <f aca="false">IF(VLOOKUP($D172,'[2]5. Demanda'!$D$4:$J$357,7,FALSE())=0,"",VLOOKUP($D172,'[2]5. Demanda'!$D$4:$J$357,7,FALSE()))</f>
        <v/>
      </c>
      <c r="K172" s="79" t="n">
        <v>2.58742486170711</v>
      </c>
      <c r="L172" s="79" t="n">
        <v>1.10223837547369</v>
      </c>
      <c r="M172" s="79" t="n">
        <v>2.56551855624659</v>
      </c>
      <c r="N172" s="79" t="n">
        <v>1.09290632842538</v>
      </c>
      <c r="O172" s="79" t="n">
        <v>3.15988945903723</v>
      </c>
      <c r="P172" s="79" t="n">
        <v>1.34610727273746</v>
      </c>
      <c r="Q172" s="80"/>
      <c r="R172" s="80"/>
      <c r="S172" s="80"/>
      <c r="T172" s="80"/>
      <c r="U172" s="80"/>
      <c r="V172" s="80"/>
      <c r="W172" s="80"/>
      <c r="X172" s="80"/>
      <c r="Y172" s="80"/>
      <c r="Z172" s="75"/>
    </row>
    <row r="173" customFormat="false" ht="15.75" hidden="false" customHeight="false" outlineLevel="0" collapsed="false">
      <c r="C173" s="69" t="n">
        <v>168</v>
      </c>
      <c r="D173" s="78" t="s">
        <v>1523</v>
      </c>
      <c r="E173" s="63" t="s">
        <v>1524</v>
      </c>
      <c r="F173" s="101" t="n">
        <f aca="false">VLOOKUP(D173,'[2]5. Demanda'!$D$4:$F$357,3,FALSE())</f>
        <v>13.8</v>
      </c>
      <c r="G173" s="63" t="str">
        <f aca="false">VLOOKUP(D173,'[2]5. Demanda'!D$4:J$357,4,FALSE())</f>
        <v>industrial</v>
      </c>
      <c r="H173" s="63" t="str">
        <f aca="false">VLOOKUP($D173,'[2]5. Demanda'!$D$4:$J$357,5,FALSE())</f>
        <v>Buenavista 115 kV
San Silvestre 115 kV
Barranca 115 kV</v>
      </c>
      <c r="I173" s="63" t="str">
        <f aca="false">VLOOKUP($D173,'[2]5. Demanda'!$D$4:$J$357,6,FALSE())</f>
        <v>Sí</v>
      </c>
      <c r="J173" s="102" t="str">
        <f aca="false">IF(VLOOKUP($D173,'[2]5. Demanda'!$D$4:$J$357,7,FALSE())=0,"",VLOOKUP($D173,'[2]5. Demanda'!$D$4:$J$357,7,FALSE()))</f>
        <v/>
      </c>
      <c r="K173" s="79" t="n">
        <v>1.07198811780291</v>
      </c>
      <c r="L173" s="79" t="n">
        <v>0.456665025903249</v>
      </c>
      <c r="M173" s="79" t="n">
        <v>1.57585045720972</v>
      </c>
      <c r="N173" s="79" t="n">
        <v>0.671309483668763</v>
      </c>
      <c r="O173" s="79" t="n">
        <v>1.67900515837861</v>
      </c>
      <c r="P173" s="79" t="n">
        <v>0.715253202352775</v>
      </c>
      <c r="Q173" s="80"/>
      <c r="R173" s="80"/>
      <c r="S173" s="80"/>
      <c r="T173" s="80"/>
      <c r="U173" s="80"/>
      <c r="V173" s="80"/>
      <c r="W173" s="80"/>
      <c r="X173" s="80"/>
      <c r="Y173" s="80"/>
      <c r="Z173" s="75"/>
    </row>
    <row r="174" customFormat="false" ht="15.75" hidden="false" customHeight="false" outlineLevel="0" collapsed="false">
      <c r="C174" s="69" t="n">
        <v>169</v>
      </c>
      <c r="D174" s="78" t="s">
        <v>1525</v>
      </c>
      <c r="E174" s="63" t="s">
        <v>1522</v>
      </c>
      <c r="F174" s="101" t="n">
        <f aca="false">VLOOKUP(D174,'[2]5. Demanda'!$D$4:$F$357,3,FALSE())</f>
        <v>13.8</v>
      </c>
      <c r="G174" s="63" t="str">
        <f aca="false">VLOOKUP(D174,'[2]5. Demanda'!D$4:J$357,4,FALSE())</f>
        <v>residencial</v>
      </c>
      <c r="H174" s="63" t="str">
        <f aca="false">VLOOKUP($D174,'[2]5. Demanda'!$D$4:$J$357,5,FALSE())</f>
        <v>Buenavista 115 kV
San Silvestre 115 kV
Barranca 115 kV</v>
      </c>
      <c r="I174" s="63" t="str">
        <f aca="false">VLOOKUP($D174,'[2]5. Demanda'!$D$4:$J$357,6,FALSE())</f>
        <v>Sí</v>
      </c>
      <c r="J174" s="102" t="str">
        <f aca="false">IF(VLOOKUP($D174,'[2]5. Demanda'!$D$4:$J$357,7,FALSE())=0,"",VLOOKUP($D174,'[2]5. Demanda'!$D$4:$J$357,7,FALSE()))</f>
        <v/>
      </c>
      <c r="K174" s="79" t="n">
        <v>1.9594004616737</v>
      </c>
      <c r="L174" s="79" t="n">
        <v>0.834701101369453</v>
      </c>
      <c r="M174" s="79" t="n">
        <v>2.45264536923172</v>
      </c>
      <c r="N174" s="79" t="n">
        <v>1.04482255210744</v>
      </c>
      <c r="O174" s="79" t="n">
        <v>2.87553169850821</v>
      </c>
      <c r="P174" s="79" t="n">
        <v>1.22497137400761</v>
      </c>
      <c r="Q174" s="80"/>
      <c r="R174" s="80"/>
      <c r="S174" s="80"/>
      <c r="T174" s="80"/>
      <c r="U174" s="80"/>
      <c r="V174" s="80"/>
      <c r="W174" s="80"/>
      <c r="X174" s="80"/>
      <c r="Y174" s="80"/>
      <c r="Z174" s="75"/>
    </row>
    <row r="175" customFormat="false" ht="15.75" hidden="false" customHeight="false" outlineLevel="0" collapsed="false">
      <c r="C175" s="69" t="n">
        <v>170</v>
      </c>
      <c r="D175" s="78" t="s">
        <v>1526</v>
      </c>
      <c r="E175" s="63" t="s">
        <v>1524</v>
      </c>
      <c r="F175" s="101" t="n">
        <f aca="false">VLOOKUP(D175,'[2]5. Demanda'!$D$4:$F$357,3,FALSE())</f>
        <v>13.8</v>
      </c>
      <c r="G175" s="63" t="str">
        <f aca="false">VLOOKUP(D175,'[2]5. Demanda'!D$4:J$357,4,FALSE())</f>
        <v>residencial</v>
      </c>
      <c r="H175" s="63" t="str">
        <f aca="false">VLOOKUP($D175,'[2]5. Demanda'!$D$4:$J$357,5,FALSE())</f>
        <v>Buenavista 115 kV
San Silvestre 115 kV
Barranca 115 kV</v>
      </c>
      <c r="I175" s="63" t="str">
        <f aca="false">VLOOKUP($D175,'[2]5. Demanda'!$D$4:$J$357,6,FALSE())</f>
        <v>Sí</v>
      </c>
      <c r="J175" s="102" t="str">
        <f aca="false">IF(VLOOKUP($D175,'[2]5. Demanda'!$D$4:$J$357,7,FALSE())=0,"",VLOOKUP($D175,'[2]5. Demanda'!$D$4:$J$357,7,FALSE()))</f>
        <v/>
      </c>
      <c r="K175" s="79" t="n">
        <v>0.961821067115599</v>
      </c>
      <c r="L175" s="79" t="n">
        <v>0.409734058833466</v>
      </c>
      <c r="M175" s="79" t="n">
        <v>0.688978788985041</v>
      </c>
      <c r="N175" s="79" t="n">
        <v>0.29350373506331</v>
      </c>
      <c r="O175" s="79" t="n">
        <v>1.11057683662273</v>
      </c>
      <c r="P175" s="79" t="n">
        <v>0.473103751283472</v>
      </c>
      <c r="Q175" s="80"/>
      <c r="R175" s="80"/>
      <c r="S175" s="80"/>
      <c r="T175" s="80"/>
      <c r="U175" s="80"/>
      <c r="V175" s="80"/>
      <c r="W175" s="80"/>
      <c r="X175" s="80"/>
      <c r="Y175" s="80"/>
      <c r="Z175" s="75"/>
    </row>
    <row r="176" customFormat="false" ht="15.75" hidden="false" customHeight="false" outlineLevel="0" collapsed="false">
      <c r="C176" s="69" t="n">
        <v>171</v>
      </c>
      <c r="D176" s="78" t="s">
        <v>1527</v>
      </c>
      <c r="E176" s="63" t="s">
        <v>1522</v>
      </c>
      <c r="F176" s="101" t="n">
        <f aca="false">VLOOKUP(D176,'[2]5. Demanda'!$D$4:$F$357,3,FALSE())</f>
        <v>13.8</v>
      </c>
      <c r="G176" s="63" t="str">
        <f aca="false">VLOOKUP(D176,'[2]5. Demanda'!D$4:J$357,4,FALSE())</f>
        <v>industrial</v>
      </c>
      <c r="H176" s="63" t="str">
        <f aca="false">VLOOKUP($D176,'[2]5. Demanda'!$D$4:$J$357,5,FALSE())</f>
        <v>Buenavista 115 kV
San Silvestre 115 kV
Barranca 115 kV</v>
      </c>
      <c r="I176" s="63" t="str">
        <f aca="false">VLOOKUP($D176,'[2]5. Demanda'!$D$4:$J$357,6,FALSE())</f>
        <v>Sí</v>
      </c>
      <c r="J176" s="102" t="str">
        <f aca="false">IF(VLOOKUP($D176,'[2]5. Demanda'!$D$4:$J$357,7,FALSE())=0,"",VLOOKUP($D176,'[2]5. Demanda'!$D$4:$J$357,7,FALSE()))</f>
        <v/>
      </c>
      <c r="K176" s="79" t="n">
        <v>2.20403832790138</v>
      </c>
      <c r="L176" s="79" t="n">
        <v>0.938916395981813</v>
      </c>
      <c r="M176" s="79" t="n">
        <v>2.63428282279422</v>
      </c>
      <c r="N176" s="79" t="n">
        <v>1.12219978330858</v>
      </c>
      <c r="O176" s="79" t="n">
        <v>2.72097308932916</v>
      </c>
      <c r="P176" s="79" t="n">
        <v>1.15912968220884</v>
      </c>
      <c r="Q176" s="80"/>
      <c r="R176" s="80"/>
      <c r="S176" s="80"/>
      <c r="T176" s="80"/>
      <c r="U176" s="80"/>
      <c r="V176" s="80"/>
      <c r="W176" s="80"/>
      <c r="X176" s="80"/>
      <c r="Y176" s="80"/>
      <c r="Z176" s="75"/>
    </row>
    <row r="177" customFormat="false" ht="15.75" hidden="false" customHeight="false" outlineLevel="0" collapsed="false">
      <c r="C177" s="69" t="n">
        <v>172</v>
      </c>
      <c r="D177" s="78" t="s">
        <v>1528</v>
      </c>
      <c r="E177" s="63" t="s">
        <v>1522</v>
      </c>
      <c r="F177" s="101" t="n">
        <f aca="false">VLOOKUP(D177,'[2]5. Demanda'!$D$4:$F$357,3,FALSE())</f>
        <v>13.8</v>
      </c>
      <c r="G177" s="63" t="str">
        <f aca="false">VLOOKUP(D177,'[2]5. Demanda'!D$4:J$357,4,FALSE())</f>
        <v>industrial</v>
      </c>
      <c r="H177" s="63" t="str">
        <f aca="false">VLOOKUP($D177,'[2]5. Demanda'!$D$4:$J$357,5,FALSE())</f>
        <v>Buenavista 115 kV
San Silvestre 115 kV
Barranca 115 kV</v>
      </c>
      <c r="I177" s="63" t="str">
        <f aca="false">VLOOKUP($D177,'[2]5. Demanda'!$D$4:$J$357,6,FALSE())</f>
        <v>Sí</v>
      </c>
      <c r="J177" s="102" t="str">
        <f aca="false">IF(VLOOKUP($D177,'[2]5. Demanda'!$D$4:$J$357,7,FALSE())=0,"",VLOOKUP($D177,'[2]5. Demanda'!$D$4:$J$357,7,FALSE()))</f>
        <v/>
      </c>
      <c r="K177" s="79" t="n">
        <v>1.38441145951163</v>
      </c>
      <c r="L177" s="79" t="n">
        <v>0.589756812150473</v>
      </c>
      <c r="M177" s="79" t="n">
        <v>2.54911237527882</v>
      </c>
      <c r="N177" s="79" t="n">
        <v>1.0859173245995</v>
      </c>
      <c r="O177" s="79" t="n">
        <v>2.14504358065261</v>
      </c>
      <c r="P177" s="79" t="n">
        <v>0.913784738892429</v>
      </c>
      <c r="Q177" s="80"/>
      <c r="R177" s="80"/>
      <c r="S177" s="80"/>
      <c r="T177" s="80"/>
      <c r="U177" s="80"/>
      <c r="V177" s="80"/>
      <c r="W177" s="80"/>
      <c r="X177" s="80"/>
      <c r="Y177" s="80"/>
      <c r="Z177" s="75"/>
    </row>
    <row r="178" customFormat="false" ht="15.75" hidden="false" customHeight="false" outlineLevel="0" collapsed="false">
      <c r="C178" s="69" t="n">
        <v>173</v>
      </c>
      <c r="D178" s="78" t="s">
        <v>1529</v>
      </c>
      <c r="E178" s="63" t="s">
        <v>1524</v>
      </c>
      <c r="F178" s="101" t="n">
        <f aca="false">VLOOKUP(D178,'[2]5. Demanda'!$D$4:$F$357,3,FALSE())</f>
        <v>13.8</v>
      </c>
      <c r="G178" s="63" t="str">
        <f aca="false">VLOOKUP(D178,'[2]5. Demanda'!D$4:J$357,4,FALSE())</f>
        <v>residencial</v>
      </c>
      <c r="H178" s="63" t="str">
        <f aca="false">VLOOKUP($D178,'[2]5. Demanda'!$D$4:$J$357,5,FALSE())</f>
        <v>Buenavista 115 kV
San Silvestre 115 kV
Barranca 115 kV</v>
      </c>
      <c r="I178" s="63" t="str">
        <f aca="false">VLOOKUP($D178,'[2]5. Demanda'!$D$4:$J$357,6,FALSE())</f>
        <v>Sí</v>
      </c>
      <c r="J178" s="102" t="str">
        <f aca="false">IF(VLOOKUP($D178,'[2]5. Demanda'!$D$4:$J$357,7,FALSE())=0,"",VLOOKUP($D178,'[2]5. Demanda'!$D$4:$J$357,7,FALSE()))</f>
        <v/>
      </c>
      <c r="K178" s="79" t="n">
        <v>2.04182100764553</v>
      </c>
      <c r="L178" s="79" t="n">
        <v>0.869812106926423</v>
      </c>
      <c r="M178" s="79" t="n">
        <v>1.36657290713735</v>
      </c>
      <c r="N178" s="79" t="n">
        <v>0.582157620660581</v>
      </c>
      <c r="O178" s="79" t="n">
        <v>2.28212342029269</v>
      </c>
      <c r="P178" s="79" t="n">
        <v>0.972180506047339</v>
      </c>
      <c r="Q178" s="80"/>
      <c r="R178" s="80"/>
      <c r="S178" s="80"/>
      <c r="T178" s="80"/>
      <c r="U178" s="80"/>
      <c r="V178" s="80"/>
      <c r="W178" s="80"/>
      <c r="X178" s="80"/>
      <c r="Y178" s="80"/>
      <c r="Z178" s="75"/>
    </row>
    <row r="179" customFormat="false" ht="15.75" hidden="false" customHeight="false" outlineLevel="0" collapsed="false">
      <c r="C179" s="69" t="n">
        <v>174</v>
      </c>
      <c r="D179" s="78" t="s">
        <v>1530</v>
      </c>
      <c r="E179" s="63" t="s">
        <v>1524</v>
      </c>
      <c r="F179" s="101" t="n">
        <f aca="false">VLOOKUP(D179,'[2]5. Demanda'!$D$4:$F$357,3,FALSE())</f>
        <v>13.8</v>
      </c>
      <c r="G179" s="63" t="str">
        <f aca="false">VLOOKUP(D179,'[2]5. Demanda'!D$4:J$357,4,FALSE())</f>
        <v>residencial</v>
      </c>
      <c r="H179" s="63" t="str">
        <f aca="false">VLOOKUP($D179,'[2]5. Demanda'!$D$4:$J$357,5,FALSE())</f>
        <v>Buenavista 115 kV
San Silvestre 115 kV
Barranca 115 kV</v>
      </c>
      <c r="I179" s="63" t="str">
        <f aca="false">VLOOKUP($D179,'[2]5. Demanda'!$D$4:$J$357,6,FALSE())</f>
        <v>Sí</v>
      </c>
      <c r="J179" s="102" t="str">
        <f aca="false">IF(VLOOKUP($D179,'[2]5. Demanda'!$D$4:$J$357,7,FALSE())=0,"",VLOOKUP($D179,'[2]5. Demanda'!$D$4:$J$357,7,FALSE()))</f>
        <v/>
      </c>
      <c r="K179" s="79" t="n">
        <v>0.304762022129077</v>
      </c>
      <c r="L179" s="79" t="n">
        <v>0.129828077773049</v>
      </c>
      <c r="M179" s="79" t="n">
        <v>0.389541702961635</v>
      </c>
      <c r="N179" s="79" t="n">
        <v>0.165944070572316</v>
      </c>
      <c r="O179" s="79" t="n">
        <v>0.426172696333238</v>
      </c>
      <c r="P179" s="79" t="n">
        <v>0.181548808403916</v>
      </c>
      <c r="Q179" s="80"/>
      <c r="R179" s="80"/>
      <c r="S179" s="80"/>
      <c r="T179" s="80"/>
      <c r="U179" s="80"/>
      <c r="V179" s="80"/>
      <c r="W179" s="80"/>
      <c r="X179" s="80"/>
      <c r="Y179" s="80"/>
      <c r="Z179" s="75"/>
    </row>
    <row r="180" customFormat="false" ht="15.75" hidden="false" customHeight="false" outlineLevel="0" collapsed="false">
      <c r="C180" s="69" t="n">
        <v>175</v>
      </c>
      <c r="D180" s="78" t="s">
        <v>1531</v>
      </c>
      <c r="E180" s="63" t="s">
        <v>1532</v>
      </c>
      <c r="F180" s="101" t="n">
        <f aca="false">VLOOKUP(D180,'[2]5. Demanda'!$D$4:$F$357,3,FALSE())</f>
        <v>13.8</v>
      </c>
      <c r="G180" s="63" t="str">
        <f aca="false">VLOOKUP(D180,'[2]5. Demanda'!D$4:J$357,4,FALSE())</f>
        <v>residencial</v>
      </c>
      <c r="H180" s="63" t="str">
        <f aca="false">VLOOKUP($D180,'[2]5. Demanda'!$D$4:$J$357,5,FALSE())</f>
        <v>Sabana de Torres 115 kV</v>
      </c>
      <c r="I180" s="63" t="str">
        <f aca="false">VLOOKUP($D180,'[2]5. Demanda'!$D$4:$J$357,6,FALSE())</f>
        <v>Sí</v>
      </c>
      <c r="J180" s="102" t="str">
        <f aca="false">IF(VLOOKUP($D180,'[2]5. Demanda'!$D$4:$J$357,7,FALSE())=0,"",VLOOKUP($D180,'[2]5. Demanda'!$D$4:$J$357,7,FALSE()))</f>
        <v/>
      </c>
      <c r="K180" s="79" t="n">
        <v>0.520896472866221</v>
      </c>
      <c r="L180" s="79" t="n">
        <v>0.221900968232651</v>
      </c>
      <c r="M180" s="79" t="n">
        <v>0.438534642008568</v>
      </c>
      <c r="N180" s="79" t="n">
        <v>0.186814975209579</v>
      </c>
      <c r="O180" s="79" t="n">
        <v>0.626170862527997</v>
      </c>
      <c r="P180" s="79" t="n">
        <v>0.266747670433396</v>
      </c>
      <c r="Q180" s="80"/>
      <c r="R180" s="80"/>
      <c r="S180" s="80"/>
      <c r="T180" s="80"/>
      <c r="U180" s="80"/>
      <c r="V180" s="80"/>
      <c r="W180" s="80"/>
      <c r="X180" s="80"/>
      <c r="Y180" s="80"/>
      <c r="Z180" s="75"/>
    </row>
    <row r="181" customFormat="false" ht="15.75" hidden="false" customHeight="false" outlineLevel="0" collapsed="false">
      <c r="C181" s="69" t="n">
        <v>176</v>
      </c>
      <c r="D181" s="78" t="s">
        <v>1533</v>
      </c>
      <c r="E181" s="63" t="s">
        <v>1532</v>
      </c>
      <c r="F181" s="101" t="n">
        <f aca="false">VLOOKUP(D181,'[2]5. Demanda'!$D$4:$F$357,3,FALSE())</f>
        <v>13.8</v>
      </c>
      <c r="G181" s="63" t="str">
        <f aca="false">VLOOKUP(D181,'[2]5. Demanda'!D$4:J$357,4,FALSE())</f>
        <v>residencial</v>
      </c>
      <c r="H181" s="63" t="str">
        <f aca="false">VLOOKUP($D181,'[2]5. Demanda'!$D$4:$J$357,5,FALSE())</f>
        <v>Sabana de Torres 115 kV</v>
      </c>
      <c r="I181" s="63" t="str">
        <f aca="false">VLOOKUP($D181,'[2]5. Demanda'!$D$4:$J$357,6,FALSE())</f>
        <v>Sí</v>
      </c>
      <c r="J181" s="102" t="str">
        <f aca="false">IF(VLOOKUP($D181,'[2]5. Demanda'!$D$4:$J$357,7,FALSE())=0,"",VLOOKUP($D181,'[2]5. Demanda'!$D$4:$J$357,7,FALSE()))</f>
        <v/>
      </c>
      <c r="K181" s="79" t="n">
        <v>0.267580481245979</v>
      </c>
      <c r="L181" s="79" t="n">
        <v>0.113988807683654</v>
      </c>
      <c r="M181" s="79" t="n">
        <v>0.24997584294193</v>
      </c>
      <c r="N181" s="79" t="n">
        <v>0.106489263170406</v>
      </c>
      <c r="O181" s="79" t="n">
        <v>0.293266670339538</v>
      </c>
      <c r="P181" s="79" t="n">
        <v>0.124931078416848</v>
      </c>
      <c r="Q181" s="80"/>
      <c r="R181" s="80"/>
      <c r="S181" s="80"/>
      <c r="T181" s="80"/>
      <c r="U181" s="80"/>
      <c r="V181" s="80"/>
      <c r="W181" s="80"/>
      <c r="X181" s="80"/>
      <c r="Y181" s="80"/>
      <c r="Z181" s="75"/>
    </row>
    <row r="182" customFormat="false" ht="15.75" hidden="false" customHeight="false" outlineLevel="0" collapsed="false">
      <c r="C182" s="69" t="n">
        <v>177</v>
      </c>
      <c r="D182" s="78" t="s">
        <v>1534</v>
      </c>
      <c r="E182" s="63" t="s">
        <v>1532</v>
      </c>
      <c r="F182" s="101" t="n">
        <f aca="false">VLOOKUP(D182,'[2]5. Demanda'!$D$4:$F$357,3,FALSE())</f>
        <v>13.8</v>
      </c>
      <c r="G182" s="63" t="str">
        <f aca="false">VLOOKUP(D182,'[2]5. Demanda'!D$4:J$357,4,FALSE())</f>
        <v>residencial</v>
      </c>
      <c r="H182" s="63" t="str">
        <f aca="false">VLOOKUP($D182,'[2]5. Demanda'!$D$4:$J$357,5,FALSE())</f>
        <v>Sabana de Torres 115 kV</v>
      </c>
      <c r="I182" s="63" t="str">
        <f aca="false">VLOOKUP($D182,'[2]5. Demanda'!$D$4:$J$357,6,FALSE())</f>
        <v>Sí</v>
      </c>
      <c r="J182" s="102" t="str">
        <f aca="false">IF(VLOOKUP($D182,'[2]5. Demanda'!$D$4:$J$357,7,FALSE())=0,"",VLOOKUP($D182,'[2]5. Demanda'!$D$4:$J$357,7,FALSE()))</f>
        <v/>
      </c>
      <c r="K182" s="79" t="n">
        <v>0.109040702803212</v>
      </c>
      <c r="L182" s="79" t="n">
        <v>0.0464511448804063</v>
      </c>
      <c r="M182" s="79" t="n">
        <v>0.0931602763207596</v>
      </c>
      <c r="N182" s="79" t="n">
        <v>0.0396861115273995</v>
      </c>
      <c r="O182" s="79" t="n">
        <v>0.138590627607759</v>
      </c>
      <c r="P182" s="79" t="n">
        <v>0.0590393601341022</v>
      </c>
      <c r="Q182" s="80"/>
      <c r="R182" s="80"/>
      <c r="S182" s="80"/>
      <c r="T182" s="80"/>
      <c r="U182" s="80"/>
      <c r="V182" s="80"/>
      <c r="W182" s="80"/>
      <c r="X182" s="80"/>
      <c r="Y182" s="80"/>
      <c r="Z182" s="75"/>
    </row>
    <row r="183" customFormat="false" ht="15.75" hidden="false" customHeight="false" outlineLevel="0" collapsed="false">
      <c r="C183" s="69" t="n">
        <v>178</v>
      </c>
      <c r="D183" s="78" t="s">
        <v>1535</v>
      </c>
      <c r="E183" s="63" t="s">
        <v>1536</v>
      </c>
      <c r="F183" s="101" t="n">
        <f aca="false">VLOOKUP(D183,'[2]5. Demanda'!$D$4:$F$357,3,FALSE())</f>
        <v>13.8</v>
      </c>
      <c r="G183" s="63" t="str">
        <f aca="false">VLOOKUP(D183,'[2]5. Demanda'!D$4:J$357,4,FALSE())</f>
        <v>residencial</v>
      </c>
      <c r="H183" s="63" t="str">
        <f aca="false">VLOOKUP($D183,'[2]5. Demanda'!$D$4:$J$357,5,FALSE())</f>
        <v>Buenavista 115 kV</v>
      </c>
      <c r="I183" s="63" t="str">
        <f aca="false">VLOOKUP($D183,'[2]5. Demanda'!$D$4:$J$357,6,FALSE())</f>
        <v>Sí</v>
      </c>
      <c r="J183" s="102" t="str">
        <f aca="false">IF(VLOOKUP($D183,'[2]5. Demanda'!$D$4:$J$357,7,FALSE())=0,"",VLOOKUP($D183,'[2]5. Demanda'!$D$4:$J$357,7,FALSE()))</f>
        <v/>
      </c>
      <c r="K183" s="79" t="n">
        <v>2.27708460815243</v>
      </c>
      <c r="L183" s="79" t="n">
        <v>0.970033981064144</v>
      </c>
      <c r="M183" s="79" t="n">
        <v>1.72476899091751</v>
      </c>
      <c r="N183" s="79" t="n">
        <v>0.7347485133779</v>
      </c>
      <c r="O183" s="79" t="n">
        <v>2.51034556958394</v>
      </c>
      <c r="P183" s="79" t="n">
        <v>1.06940273452818</v>
      </c>
      <c r="Q183" s="80"/>
      <c r="R183" s="80"/>
      <c r="S183" s="80"/>
      <c r="T183" s="80"/>
      <c r="U183" s="80"/>
      <c r="V183" s="80"/>
      <c r="W183" s="80"/>
      <c r="X183" s="80"/>
      <c r="Y183" s="80"/>
      <c r="Z183" s="75"/>
    </row>
    <row r="184" customFormat="false" ht="15.75" hidden="false" customHeight="false" outlineLevel="0" collapsed="false">
      <c r="C184" s="69" t="n">
        <v>179</v>
      </c>
      <c r="D184" s="78" t="s">
        <v>1537</v>
      </c>
      <c r="E184" s="63" t="s">
        <v>1536</v>
      </c>
      <c r="F184" s="101" t="n">
        <f aca="false">VLOOKUP(D184,'[2]5. Demanda'!$D$4:$F$357,3,FALSE())</f>
        <v>13.8</v>
      </c>
      <c r="G184" s="63" t="str">
        <f aca="false">VLOOKUP(D184,'[2]5. Demanda'!D$4:J$357,4,FALSE())</f>
        <v>residencial</v>
      </c>
      <c r="H184" s="63" t="str">
        <f aca="false">VLOOKUP($D184,'[2]5. Demanda'!$D$4:$J$357,5,FALSE())</f>
        <v>Buenavista 115 kV</v>
      </c>
      <c r="I184" s="63" t="str">
        <f aca="false">VLOOKUP($D184,'[2]5. Demanda'!$D$4:$J$357,6,FALSE())</f>
        <v>Sí</v>
      </c>
      <c r="J184" s="102" t="str">
        <f aca="false">IF(VLOOKUP($D184,'[2]5. Demanda'!$D$4:$J$357,7,FALSE())=0,"",VLOOKUP($D184,'[2]5. Demanda'!$D$4:$J$357,7,FALSE()))</f>
        <v/>
      </c>
      <c r="K184" s="79" t="n">
        <v>1.69506302014555</v>
      </c>
      <c r="L184" s="79" t="n">
        <v>0.72209382282045</v>
      </c>
      <c r="M184" s="79" t="n">
        <v>1.30615024755418</v>
      </c>
      <c r="N184" s="79" t="n">
        <v>0.556417675463942</v>
      </c>
      <c r="O184" s="79" t="n">
        <v>1.87261608198646</v>
      </c>
      <c r="P184" s="79" t="n">
        <v>0.797731110434202</v>
      </c>
      <c r="Q184" s="80"/>
      <c r="R184" s="80"/>
      <c r="S184" s="80"/>
      <c r="T184" s="80"/>
      <c r="U184" s="80"/>
      <c r="V184" s="80"/>
      <c r="W184" s="80"/>
      <c r="X184" s="80"/>
      <c r="Y184" s="80"/>
      <c r="Z184" s="75"/>
    </row>
    <row r="185" customFormat="false" ht="15.75" hidden="false" customHeight="false" outlineLevel="0" collapsed="false">
      <c r="C185" s="69" t="n">
        <v>180</v>
      </c>
      <c r="D185" s="78" t="s">
        <v>1538</v>
      </c>
      <c r="E185" s="63" t="s">
        <v>1536</v>
      </c>
      <c r="F185" s="101" t="n">
        <f aca="false">VLOOKUP(D185,'[2]5. Demanda'!$D$4:$F$357,3,FALSE())</f>
        <v>13.8</v>
      </c>
      <c r="G185" s="63" t="str">
        <f aca="false">VLOOKUP(D185,'[2]5. Demanda'!D$4:J$357,4,FALSE())</f>
        <v>residencial</v>
      </c>
      <c r="H185" s="63" t="str">
        <f aca="false">VLOOKUP($D185,'[2]5. Demanda'!$D$4:$J$357,5,FALSE())</f>
        <v>Buenavista 115 kV</v>
      </c>
      <c r="I185" s="63" t="str">
        <f aca="false">VLOOKUP($D185,'[2]5. Demanda'!$D$4:$J$357,6,FALSE())</f>
        <v>Sí</v>
      </c>
      <c r="J185" s="102" t="str">
        <f aca="false">IF(VLOOKUP($D185,'[2]5. Demanda'!$D$4:$J$357,7,FALSE())=0,"",VLOOKUP($D185,'[2]5. Demanda'!$D$4:$J$357,7,FALSE()))</f>
        <v/>
      </c>
      <c r="K185" s="79" t="n">
        <v>2.23476663832984</v>
      </c>
      <c r="L185" s="79" t="n">
        <v>0.952006601409216</v>
      </c>
      <c r="M185" s="79" t="n">
        <v>1.88348583496956</v>
      </c>
      <c r="N185" s="79" t="n">
        <v>0.802361605814843</v>
      </c>
      <c r="O185" s="79" t="n">
        <v>2.53442694484459</v>
      </c>
      <c r="P185" s="79" t="n">
        <v>1.07966135743133</v>
      </c>
      <c r="Q185" s="80"/>
      <c r="R185" s="80"/>
      <c r="S185" s="80"/>
      <c r="T185" s="80"/>
      <c r="U185" s="80"/>
      <c r="V185" s="80"/>
      <c r="W185" s="80"/>
      <c r="X185" s="80"/>
      <c r="Y185" s="80"/>
      <c r="Z185" s="75"/>
    </row>
    <row r="186" customFormat="false" ht="15.75" hidden="false" customHeight="false" outlineLevel="0" collapsed="false">
      <c r="C186" s="69" t="n">
        <v>181</v>
      </c>
      <c r="D186" s="78" t="s">
        <v>1539</v>
      </c>
      <c r="E186" s="63" t="s">
        <v>1536</v>
      </c>
      <c r="F186" s="101" t="n">
        <f aca="false">VLOOKUP(D186,'[2]5. Demanda'!$D$4:$F$357,3,FALSE())</f>
        <v>13.8</v>
      </c>
      <c r="G186" s="63" t="str">
        <f aca="false">VLOOKUP(D186,'[2]5. Demanda'!D$4:J$357,4,FALSE())</f>
        <v>residencial</v>
      </c>
      <c r="H186" s="63" t="str">
        <f aca="false">VLOOKUP($D186,'[2]5. Demanda'!$D$4:$J$357,5,FALSE())</f>
        <v>Buenavista 115 kV</v>
      </c>
      <c r="I186" s="63" t="str">
        <f aca="false">VLOOKUP($D186,'[2]5. Demanda'!$D$4:$J$357,6,FALSE())</f>
        <v>Sí</v>
      </c>
      <c r="J186" s="102" t="str">
        <f aca="false">IF(VLOOKUP($D186,'[2]5. Demanda'!$D$4:$J$357,7,FALSE())=0,"",VLOOKUP($D186,'[2]5. Demanda'!$D$4:$J$357,7,FALSE()))</f>
        <v/>
      </c>
      <c r="K186" s="79" t="n">
        <v>0.762266600373844</v>
      </c>
      <c r="L186" s="79" t="n">
        <v>0.324724211979467</v>
      </c>
      <c r="M186" s="79" t="n">
        <v>0.857125294376678</v>
      </c>
      <c r="N186" s="79" t="n">
        <v>0.365133846409684</v>
      </c>
      <c r="O186" s="79" t="n">
        <v>0.918257395494394</v>
      </c>
      <c r="P186" s="79" t="n">
        <v>0.391176012434489</v>
      </c>
      <c r="Q186" s="80"/>
      <c r="R186" s="80"/>
      <c r="S186" s="80"/>
      <c r="T186" s="80"/>
      <c r="U186" s="80"/>
      <c r="V186" s="80"/>
      <c r="W186" s="80"/>
      <c r="X186" s="80"/>
      <c r="Y186" s="80"/>
      <c r="Z186" s="75"/>
    </row>
    <row r="187" customFormat="false" ht="15.75" hidden="false" customHeight="false" outlineLevel="0" collapsed="false">
      <c r="C187" s="69" t="n">
        <v>182</v>
      </c>
      <c r="D187" s="78" t="s">
        <v>1540</v>
      </c>
      <c r="E187" s="63" t="s">
        <v>1541</v>
      </c>
      <c r="F187" s="101" t="n">
        <v>13.8</v>
      </c>
      <c r="G187" s="63" t="s">
        <v>1542</v>
      </c>
      <c r="H187" s="63" t="s">
        <v>1083</v>
      </c>
      <c r="I187" s="63" t="s">
        <v>1543</v>
      </c>
      <c r="J187" s="102" t="s">
        <v>1543</v>
      </c>
      <c r="K187" s="79" t="n">
        <v>1.20293612929916</v>
      </c>
      <c r="L187" s="79" t="n">
        <v>0.512448645207234</v>
      </c>
      <c r="M187" s="79" t="n">
        <v>1.1296914523438</v>
      </c>
      <c r="N187" s="79" t="n">
        <v>0.481246543482778</v>
      </c>
      <c r="O187" s="79" t="n">
        <v>1.48193513141478</v>
      </c>
      <c r="P187" s="79" t="n">
        <v>0.631301722412267</v>
      </c>
      <c r="Q187" s="80"/>
      <c r="R187" s="80"/>
      <c r="S187" s="80"/>
      <c r="T187" s="80"/>
      <c r="U187" s="80"/>
      <c r="V187" s="80"/>
      <c r="W187" s="80"/>
      <c r="X187" s="80"/>
      <c r="Y187" s="80"/>
      <c r="Z187" s="75"/>
    </row>
    <row r="188" customFormat="false" ht="15.75" hidden="false" customHeight="false" outlineLevel="0" collapsed="false">
      <c r="C188" s="69" t="n">
        <v>183</v>
      </c>
      <c r="D188" s="78" t="s">
        <v>1544</v>
      </c>
      <c r="E188" s="63" t="s">
        <v>1541</v>
      </c>
      <c r="F188" s="101" t="n">
        <f aca="false">VLOOKUP(D188,'[2]5. Demanda'!$D$4:$F$357,3,FALSE())</f>
        <v>13.8</v>
      </c>
      <c r="G188" s="63" t="str">
        <f aca="false">VLOOKUP(D188,'[2]5. Demanda'!D$4:J$357,4,FALSE())</f>
        <v>residencial</v>
      </c>
      <c r="H188" s="63" t="str">
        <f aca="false">VLOOKUP($D188,'[2]5. Demanda'!$D$4:$J$357,5,FALSE())</f>
        <v>Lizama 115 kV</v>
      </c>
      <c r="I188" s="63" t="str">
        <f aca="false">VLOOKUP($D188,'[2]5. Demanda'!$D$4:$J$357,6,FALSE())</f>
        <v>Sí</v>
      </c>
      <c r="J188" s="102" t="str">
        <f aca="false">IF(VLOOKUP($D188,'[2]5. Demanda'!$D$4:$J$357,7,FALSE())=0,"",VLOOKUP($D188,'[2]5. Demanda'!$D$4:$J$357,7,FALSE()))</f>
        <v/>
      </c>
      <c r="K188" s="79" t="n">
        <v>0.661457056205256</v>
      </c>
      <c r="L188" s="79" t="n">
        <v>0.281779525994145</v>
      </c>
      <c r="M188" s="79" t="n">
        <v>0.700800470386029</v>
      </c>
      <c r="N188" s="79" t="n">
        <v>0.298539750251862</v>
      </c>
      <c r="O188" s="79" t="n">
        <v>0.792442295245341</v>
      </c>
      <c r="P188" s="79" t="n">
        <v>0.337579004165395</v>
      </c>
      <c r="Q188" s="80"/>
      <c r="R188" s="80"/>
      <c r="S188" s="80"/>
      <c r="T188" s="80"/>
      <c r="U188" s="80"/>
      <c r="V188" s="80"/>
      <c r="W188" s="80"/>
      <c r="X188" s="80"/>
      <c r="Y188" s="80"/>
      <c r="Z188" s="75"/>
    </row>
    <row r="189" customFormat="false" ht="15.75" hidden="false" customHeight="false" outlineLevel="0" collapsed="false">
      <c r="C189" s="69" t="n">
        <v>184</v>
      </c>
      <c r="D189" s="78" t="s">
        <v>1544</v>
      </c>
      <c r="E189" s="63" t="s">
        <v>1541</v>
      </c>
      <c r="F189" s="101" t="n">
        <f aca="false">VLOOKUP(D189,'[2]5. Demanda'!$D$4:$F$357,3,FALSE())</f>
        <v>13.8</v>
      </c>
      <c r="G189" s="63" t="str">
        <f aca="false">VLOOKUP(D189,'[2]5. Demanda'!D$4:J$357,4,FALSE())</f>
        <v>residencial</v>
      </c>
      <c r="H189" s="63" t="str">
        <f aca="false">VLOOKUP($D189,'[2]5. Demanda'!$D$4:$J$357,5,FALSE())</f>
        <v>Lizama 115 kV</v>
      </c>
      <c r="I189" s="63" t="str">
        <f aca="false">VLOOKUP($D189,'[2]5. Demanda'!$D$4:$J$357,6,FALSE())</f>
        <v>Sí</v>
      </c>
      <c r="J189" s="102" t="str">
        <f aca="false">IF(VLOOKUP($D189,'[2]5. Demanda'!$D$4:$J$357,7,FALSE())=0,"",VLOOKUP($D189,'[2]5. Demanda'!$D$4:$J$357,7,FALSE()))</f>
        <v/>
      </c>
      <c r="K189" s="79" t="n">
        <v>0.661457056205256</v>
      </c>
      <c r="L189" s="79" t="n">
        <v>0.281779525994145</v>
      </c>
      <c r="M189" s="79" t="n">
        <v>0.700800470386029</v>
      </c>
      <c r="N189" s="79" t="n">
        <v>0.298539750251862</v>
      </c>
      <c r="O189" s="79" t="n">
        <v>0.792442295245341</v>
      </c>
      <c r="P189" s="79" t="n">
        <v>0.337579004165395</v>
      </c>
      <c r="Q189" s="80"/>
      <c r="R189" s="80"/>
      <c r="S189" s="80"/>
      <c r="T189" s="80"/>
      <c r="U189" s="80"/>
      <c r="V189" s="80"/>
      <c r="W189" s="80"/>
      <c r="X189" s="80"/>
      <c r="Y189" s="80"/>
      <c r="Z189" s="75"/>
    </row>
    <row r="190" customFormat="false" ht="15.75" hidden="false" customHeight="false" outlineLevel="0" collapsed="false">
      <c r="C190" s="69" t="n">
        <v>185</v>
      </c>
      <c r="D190" s="78" t="s">
        <v>1545</v>
      </c>
      <c r="E190" s="63" t="s">
        <v>1541</v>
      </c>
      <c r="F190" s="101" t="n">
        <f aca="false">VLOOKUP(D190,'[2]5. Demanda'!$D$4:$F$357,3,FALSE())</f>
        <v>13.8</v>
      </c>
      <c r="G190" s="63" t="str">
        <f aca="false">VLOOKUP(D190,'[2]5. Demanda'!D$4:J$357,4,FALSE())</f>
        <v>residencial</v>
      </c>
      <c r="H190" s="63" t="str">
        <f aca="false">VLOOKUP($D190,'[2]5. Demanda'!$D$4:$J$357,5,FALSE())</f>
        <v>Lizama 115 kV</v>
      </c>
      <c r="I190" s="63" t="str">
        <f aca="false">VLOOKUP($D190,'[2]5. Demanda'!$D$4:$J$357,6,FALSE())</f>
        <v>Sí</v>
      </c>
      <c r="J190" s="102" t="str">
        <f aca="false">IF(VLOOKUP($D190,'[2]5. Demanda'!$D$4:$J$357,7,FALSE())=0,"",VLOOKUP($D190,'[2]5. Demanda'!$D$4:$J$357,7,FALSE()))</f>
        <v/>
      </c>
      <c r="K190" s="79" t="n">
        <v>2.02412392430272</v>
      </c>
      <c r="L190" s="79" t="n">
        <v>0.862273180991573</v>
      </c>
      <c r="M190" s="79" t="n">
        <v>2.26719982319316</v>
      </c>
      <c r="N190" s="79" t="n">
        <v>0.965823080304607</v>
      </c>
      <c r="O190" s="79" t="n">
        <v>2.47762578331503</v>
      </c>
      <c r="P190" s="79" t="n">
        <v>1.05546416394527</v>
      </c>
      <c r="Q190" s="80"/>
      <c r="R190" s="80"/>
      <c r="S190" s="80"/>
      <c r="T190" s="80"/>
      <c r="U190" s="80"/>
      <c r="V190" s="80"/>
      <c r="W190" s="80"/>
      <c r="X190" s="80"/>
      <c r="Y190" s="80"/>
      <c r="Z190" s="75"/>
    </row>
    <row r="191" customFormat="false" ht="15.75" hidden="false" customHeight="false" outlineLevel="0" collapsed="false">
      <c r="C191" s="69" t="n">
        <v>186</v>
      </c>
      <c r="D191" s="78" t="s">
        <v>1546</v>
      </c>
      <c r="E191" s="63" t="s">
        <v>1541</v>
      </c>
      <c r="F191" s="101" t="n">
        <f aca="false">VLOOKUP(D191,'[2]5. Demanda'!$D$4:$F$357,3,FALSE())</f>
        <v>13.8</v>
      </c>
      <c r="G191" s="63" t="str">
        <f aca="false">VLOOKUP(D191,'[2]5. Demanda'!D$4:J$357,4,FALSE())</f>
        <v>residencial</v>
      </c>
      <c r="H191" s="63" t="str">
        <f aca="false">VLOOKUP($D191,'[2]5. Demanda'!$D$4:$J$357,5,FALSE())</f>
        <v>Lizama 115 kV</v>
      </c>
      <c r="I191" s="63" t="str">
        <f aca="false">VLOOKUP($D191,'[2]5. Demanda'!$D$4:$J$357,6,FALSE())</f>
        <v>Sí</v>
      </c>
      <c r="J191" s="102" t="str">
        <f aca="false">IF(VLOOKUP($D191,'[2]5. Demanda'!$D$4:$J$357,7,FALSE())=0,"",VLOOKUP($D191,'[2]5. Demanda'!$D$4:$J$357,7,FALSE()))</f>
        <v/>
      </c>
      <c r="K191" s="79" t="n">
        <v>1.01942212516124</v>
      </c>
      <c r="L191" s="79" t="n">
        <v>0.434272006808469</v>
      </c>
      <c r="M191" s="79" t="n">
        <v>1.29636692290421</v>
      </c>
      <c r="N191" s="79" t="n">
        <v>0.552249996615177</v>
      </c>
      <c r="O191" s="79" t="n">
        <v>1.34423594742783</v>
      </c>
      <c r="P191" s="79" t="n">
        <v>0.572642115670418</v>
      </c>
      <c r="Q191" s="80"/>
      <c r="R191" s="80"/>
      <c r="S191" s="80"/>
      <c r="T191" s="80"/>
      <c r="U191" s="80"/>
      <c r="V191" s="80"/>
      <c r="W191" s="80"/>
      <c r="X191" s="80"/>
      <c r="Y191" s="80"/>
      <c r="Z191" s="75"/>
    </row>
    <row r="192" customFormat="false" ht="15.75" hidden="false" customHeight="false" outlineLevel="0" collapsed="false">
      <c r="C192" s="69" t="n">
        <v>187</v>
      </c>
      <c r="D192" s="78" t="s">
        <v>1547</v>
      </c>
      <c r="E192" s="63" t="s">
        <v>1548</v>
      </c>
      <c r="F192" s="101" t="n">
        <f aca="false">VLOOKUP(D192,'[2]5. Demanda'!$D$4:$F$357,3,FALSE())</f>
        <v>13.8</v>
      </c>
      <c r="G192" s="63" t="str">
        <f aca="false">VLOOKUP(D192,'[2]5. Demanda'!D$4:J$357,4,FALSE())</f>
        <v>residencial</v>
      </c>
      <c r="H192" s="63" t="str">
        <f aca="false">VLOOKUP($D192,'[2]5. Demanda'!$D$4:$J$357,5,FALSE())</f>
        <v>San Silvestre 115 kV
Barranca 115 kV</v>
      </c>
      <c r="I192" s="63" t="str">
        <f aca="false">VLOOKUP($D192,'[2]5. Demanda'!$D$4:$J$357,6,FALSE())</f>
        <v>Sí</v>
      </c>
      <c r="J192" s="102" t="str">
        <f aca="false">IF(VLOOKUP($D192,'[2]5. Demanda'!$D$4:$J$357,7,FALSE())=0,"",VLOOKUP($D192,'[2]5. Demanda'!$D$4:$J$357,7,FALSE()))</f>
        <v/>
      </c>
      <c r="K192" s="79" t="n">
        <v>3.7108322088989</v>
      </c>
      <c r="L192" s="79" t="n">
        <v>1.5808079013717</v>
      </c>
      <c r="M192" s="79" t="n">
        <v>2.91546603753632</v>
      </c>
      <c r="N192" s="79" t="n">
        <v>1.24198333119616</v>
      </c>
      <c r="O192" s="79" t="n">
        <v>4.19984947453797</v>
      </c>
      <c r="P192" s="79" t="n">
        <v>1.78912838419375</v>
      </c>
      <c r="Q192" s="80"/>
      <c r="R192" s="80"/>
      <c r="S192" s="80"/>
      <c r="T192" s="80"/>
      <c r="U192" s="80"/>
      <c r="V192" s="80"/>
      <c r="W192" s="80"/>
      <c r="X192" s="80"/>
      <c r="Y192" s="80"/>
      <c r="Z192" s="75"/>
    </row>
    <row r="193" customFormat="false" ht="15.75" hidden="false" customHeight="false" outlineLevel="0" collapsed="false">
      <c r="C193" s="69" t="n">
        <v>188</v>
      </c>
      <c r="D193" s="78" t="s">
        <v>1549</v>
      </c>
      <c r="E193" s="63" t="s">
        <v>1550</v>
      </c>
      <c r="F193" s="101" t="n">
        <f aca="false">VLOOKUP(D193,'[2]5. Demanda'!$D$4:$F$357,3,FALSE())</f>
        <v>13.8</v>
      </c>
      <c r="G193" s="63" t="str">
        <f aca="false">VLOOKUP(D193,'[2]5. Demanda'!D$4:J$357,4,FALSE())</f>
        <v>residencial</v>
      </c>
      <c r="H193" s="63" t="str">
        <f aca="false">VLOOKUP($D193,'[2]5. Demanda'!$D$4:$J$357,5,FALSE())</f>
        <v>San Silvestre 115 kV
Barranca 115 kV</v>
      </c>
      <c r="I193" s="63" t="str">
        <f aca="false">VLOOKUP($D193,'[2]5. Demanda'!$D$4:$J$357,6,FALSE())</f>
        <v>Sí</v>
      </c>
      <c r="J193" s="102" t="str">
        <f aca="false">IF(VLOOKUP($D193,'[2]5. Demanda'!$D$4:$J$357,7,FALSE())=0,"",VLOOKUP($D193,'[2]5. Demanda'!$D$4:$J$357,7,FALSE()))</f>
        <v/>
      </c>
      <c r="K193" s="79" t="n">
        <v>1.48268860150209</v>
      </c>
      <c r="L193" s="79" t="n">
        <v>0.631622699325376</v>
      </c>
      <c r="M193" s="79" t="n">
        <v>1.32374760284943</v>
      </c>
      <c r="N193" s="79" t="n">
        <v>0.563914117428434</v>
      </c>
      <c r="O193" s="79" t="n">
        <v>1.6968856418719</v>
      </c>
      <c r="P193" s="79" t="n">
        <v>0.722870256424568</v>
      </c>
      <c r="Q193" s="80"/>
      <c r="R193" s="80"/>
      <c r="S193" s="80"/>
      <c r="T193" s="80"/>
      <c r="U193" s="80"/>
      <c r="V193" s="80"/>
      <c r="W193" s="80"/>
      <c r="X193" s="80"/>
      <c r="Y193" s="80"/>
      <c r="Z193" s="75"/>
    </row>
    <row r="194" customFormat="false" ht="15.75" hidden="false" customHeight="false" outlineLevel="0" collapsed="false">
      <c r="C194" s="69" t="n">
        <v>189</v>
      </c>
      <c r="D194" s="78" t="s">
        <v>1551</v>
      </c>
      <c r="E194" s="63" t="s">
        <v>1550</v>
      </c>
      <c r="F194" s="101" t="n">
        <f aca="false">VLOOKUP(D194,'[2]5. Demanda'!$D$4:$F$357,3,FALSE())</f>
        <v>13.8</v>
      </c>
      <c r="G194" s="63" t="str">
        <f aca="false">VLOOKUP(D194,'[2]5. Demanda'!D$4:J$357,4,FALSE())</f>
        <v>residencial</v>
      </c>
      <c r="H194" s="63" t="str">
        <f aca="false">VLOOKUP($D194,'[2]5. Demanda'!$D$4:$J$357,5,FALSE())</f>
        <v>San Silvestre 115 kV
Barranca 115 kV</v>
      </c>
      <c r="I194" s="63" t="str">
        <f aca="false">VLOOKUP($D194,'[2]5. Demanda'!$D$4:$J$357,6,FALSE())</f>
        <v>Sí</v>
      </c>
      <c r="J194" s="102" t="str">
        <f aca="false">IF(VLOOKUP($D194,'[2]5. Demanda'!$D$4:$J$357,7,FALSE())=0,"",VLOOKUP($D194,'[2]5. Demanda'!$D$4:$J$357,7,FALSE()))</f>
        <v/>
      </c>
      <c r="K194" s="79" t="n">
        <v>2.04406557910308</v>
      </c>
      <c r="L194" s="79" t="n">
        <v>0.870768290363332</v>
      </c>
      <c r="M194" s="79" t="n">
        <v>1.40342981956868</v>
      </c>
      <c r="N194" s="79" t="n">
        <v>0.597858599608613</v>
      </c>
      <c r="O194" s="79" t="n">
        <v>2.46029724844873</v>
      </c>
      <c r="P194" s="79" t="n">
        <v>1.04808223900397</v>
      </c>
      <c r="Q194" s="80"/>
      <c r="R194" s="80"/>
      <c r="S194" s="80"/>
      <c r="T194" s="80"/>
      <c r="U194" s="80"/>
      <c r="V194" s="80"/>
      <c r="W194" s="80"/>
      <c r="X194" s="80"/>
      <c r="Y194" s="80"/>
      <c r="Z194" s="75"/>
    </row>
    <row r="195" customFormat="false" ht="15.75" hidden="false" customHeight="false" outlineLevel="0" collapsed="false">
      <c r="C195" s="69" t="n">
        <v>190</v>
      </c>
      <c r="D195" s="78" t="s">
        <v>1552</v>
      </c>
      <c r="E195" s="63" t="s">
        <v>1548</v>
      </c>
      <c r="F195" s="101" t="n">
        <f aca="false">VLOOKUP(D195,'[2]5. Demanda'!$D$4:$F$357,3,FALSE())</f>
        <v>13.8</v>
      </c>
      <c r="G195" s="63" t="str">
        <f aca="false">VLOOKUP(D195,'[2]5. Demanda'!D$4:J$357,4,FALSE())</f>
        <v>residencial</v>
      </c>
      <c r="H195" s="63" t="str">
        <f aca="false">VLOOKUP($D195,'[2]5. Demanda'!$D$4:$J$357,5,FALSE())</f>
        <v>San Silvestre 115 kV
Barranca 115 kV</v>
      </c>
      <c r="I195" s="63" t="str">
        <f aca="false">VLOOKUP($D195,'[2]5. Demanda'!$D$4:$J$357,6,FALSE())</f>
        <v>Sí</v>
      </c>
      <c r="J195" s="102" t="str">
        <f aca="false">IF(VLOOKUP($D195,'[2]5. Demanda'!$D$4:$J$357,7,FALSE())=0,"",VLOOKUP($D195,'[2]5. Demanda'!$D$4:$J$357,7,FALSE()))</f>
        <v/>
      </c>
      <c r="K195" s="79" t="n">
        <v>1.89693905517821</v>
      </c>
      <c r="L195" s="79" t="n">
        <v>0.808092653625014</v>
      </c>
      <c r="M195" s="79" t="n">
        <v>1.77693579626122</v>
      </c>
      <c r="N195" s="79" t="n">
        <v>0.756971479395847</v>
      </c>
      <c r="O195" s="79" t="n">
        <v>2.4984258013373</v>
      </c>
      <c r="P195" s="79" t="n">
        <v>1.06432493451836</v>
      </c>
      <c r="Q195" s="80"/>
      <c r="R195" s="80"/>
      <c r="S195" s="80"/>
      <c r="T195" s="80"/>
      <c r="U195" s="80"/>
      <c r="V195" s="80"/>
      <c r="W195" s="80"/>
      <c r="X195" s="80"/>
      <c r="Y195" s="80"/>
      <c r="Z195" s="75"/>
    </row>
    <row r="196" customFormat="false" ht="15.75" hidden="false" customHeight="false" outlineLevel="0" collapsed="false">
      <c r="C196" s="69" t="n">
        <v>191</v>
      </c>
      <c r="D196" s="78" t="s">
        <v>1553</v>
      </c>
      <c r="E196" s="63" t="s">
        <v>1554</v>
      </c>
      <c r="F196" s="101" t="n">
        <f aca="false">VLOOKUP(D196,'[2]5. Demanda'!$D$4:$F$357,3,FALSE())</f>
        <v>13.8</v>
      </c>
      <c r="G196" s="63" t="str">
        <f aca="false">VLOOKUP(D196,'[2]5. Demanda'!D$4:J$357,4,FALSE())</f>
        <v>residencial</v>
      </c>
      <c r="H196" s="63" t="str">
        <f aca="false">VLOOKUP($D196,'[2]5. Demanda'!$D$4:$J$357,5,FALSE())</f>
        <v>Puerto Wilches 115 kV</v>
      </c>
      <c r="I196" s="63" t="str">
        <f aca="false">VLOOKUP($D196,'[2]5. Demanda'!$D$4:$J$357,6,FALSE())</f>
        <v>Sí</v>
      </c>
      <c r="J196" s="102" t="str">
        <f aca="false">IF(VLOOKUP($D196,'[2]5. Demanda'!$D$4:$J$357,7,FALSE())=0,"",VLOOKUP($D196,'[2]5. Demanda'!$D$4:$J$357,7,FALSE()))</f>
        <v/>
      </c>
      <c r="K196" s="79" t="n">
        <v>0.000296373496845733</v>
      </c>
      <c r="L196" s="79" t="n">
        <v>0.000126254580966331</v>
      </c>
      <c r="M196" s="79" t="n">
        <v>0.000245888519716981</v>
      </c>
      <c r="N196" s="79" t="n">
        <v>0.000104748070767806</v>
      </c>
      <c r="O196" s="79" t="n">
        <v>0.000327859268952913</v>
      </c>
      <c r="P196" s="79" t="n">
        <v>0.000139667463717661</v>
      </c>
      <c r="Q196" s="80"/>
      <c r="R196" s="80"/>
      <c r="S196" s="80"/>
      <c r="T196" s="80"/>
      <c r="U196" s="80"/>
      <c r="V196" s="80"/>
      <c r="W196" s="80"/>
      <c r="X196" s="80"/>
      <c r="Y196" s="80"/>
      <c r="Z196" s="75"/>
    </row>
    <row r="197" customFormat="false" ht="15.75" hidden="false" customHeight="false" outlineLevel="0" collapsed="false">
      <c r="C197" s="69" t="n">
        <v>192</v>
      </c>
      <c r="D197" s="78" t="s">
        <v>1555</v>
      </c>
      <c r="E197" s="63" t="s">
        <v>1556</v>
      </c>
      <c r="F197" s="101" t="n">
        <f aca="false">VLOOKUP(D197,'[2]5. Demanda'!$D$4:$F$357,3,FALSE())</f>
        <v>13.8</v>
      </c>
      <c r="G197" s="63" t="str">
        <f aca="false">VLOOKUP(D197,'[2]5. Demanda'!D$4:J$357,4,FALSE())</f>
        <v>residencial</v>
      </c>
      <c r="H197" s="63" t="str">
        <f aca="false">VLOOKUP($D197,'[2]5. Demanda'!$D$4:$J$357,5,FALSE())</f>
        <v>San Silvestre 115 kV</v>
      </c>
      <c r="I197" s="63" t="str">
        <f aca="false">VLOOKUP($D197,'[2]5. Demanda'!$D$4:$J$357,6,FALSE())</f>
        <v>Sí</v>
      </c>
      <c r="J197" s="102" t="str">
        <f aca="false">IF(VLOOKUP($D197,'[2]5. Demanda'!$D$4:$J$357,7,FALSE())=0,"",VLOOKUP($D197,'[2]5. Demanda'!$D$4:$J$357,7,FALSE()))</f>
        <v/>
      </c>
      <c r="K197" s="79" t="n">
        <v>2.22304159314089</v>
      </c>
      <c r="L197" s="79" t="n">
        <v>0.947011753074608</v>
      </c>
      <c r="M197" s="79" t="n">
        <v>1.77293171690274</v>
      </c>
      <c r="N197" s="79" t="n">
        <v>0.755265748731867</v>
      </c>
      <c r="O197" s="79" t="n">
        <v>2.38423926352276</v>
      </c>
      <c r="P197" s="79" t="n">
        <v>1.01568167310259</v>
      </c>
      <c r="Q197" s="80"/>
      <c r="R197" s="80"/>
      <c r="S197" s="80"/>
      <c r="T197" s="80"/>
      <c r="U197" s="80"/>
      <c r="V197" s="80"/>
      <c r="W197" s="80"/>
      <c r="X197" s="80"/>
      <c r="Y197" s="80"/>
      <c r="Z197" s="75"/>
    </row>
    <row r="198" customFormat="false" ht="15.75" hidden="false" customHeight="false" outlineLevel="0" collapsed="false">
      <c r="C198" s="69" t="n">
        <v>193</v>
      </c>
      <c r="D198" s="78" t="s">
        <v>1557</v>
      </c>
      <c r="E198" s="63" t="s">
        <v>1556</v>
      </c>
      <c r="F198" s="101" t="n">
        <f aca="false">VLOOKUP(D198,'[2]5. Demanda'!$D$4:$F$357,3,FALSE())</f>
        <v>13.8</v>
      </c>
      <c r="G198" s="63" t="str">
        <f aca="false">VLOOKUP(D198,'[2]5. Demanda'!D$4:J$357,4,FALSE())</f>
        <v>residencial</v>
      </c>
      <c r="H198" s="63" t="str">
        <f aca="false">VLOOKUP($D198,'[2]5. Demanda'!$D$4:$J$357,5,FALSE())</f>
        <v>San Silvestre 115 kV</v>
      </c>
      <c r="I198" s="63" t="str">
        <f aca="false">VLOOKUP($D198,'[2]5. Demanda'!$D$4:$J$357,6,FALSE())</f>
        <v>Sí</v>
      </c>
      <c r="J198" s="102" t="str">
        <f aca="false">IF(VLOOKUP($D198,'[2]5. Demanda'!$D$4:$J$357,7,FALSE())=0,"",VLOOKUP($D198,'[2]5. Demanda'!$D$4:$J$357,7,FALSE()))</f>
        <v/>
      </c>
      <c r="K198" s="79" t="n">
        <v>1.46195944538295</v>
      </c>
      <c r="L198" s="79" t="n">
        <v>0.622792115796614</v>
      </c>
      <c r="M198" s="79" t="n">
        <v>1.29889165190596</v>
      </c>
      <c r="N198" s="79" t="n">
        <v>0.553325526666145</v>
      </c>
      <c r="O198" s="79" t="n">
        <v>1.58023343846132</v>
      </c>
      <c r="P198" s="79" t="n">
        <v>0.673176625863304</v>
      </c>
      <c r="Q198" s="80"/>
      <c r="R198" s="80"/>
      <c r="S198" s="80"/>
      <c r="T198" s="80"/>
      <c r="U198" s="80"/>
      <c r="V198" s="80"/>
      <c r="W198" s="80"/>
      <c r="X198" s="80"/>
      <c r="Y198" s="80"/>
      <c r="Z198" s="75"/>
    </row>
    <row r="199" customFormat="false" ht="15.75" hidden="false" customHeight="false" outlineLevel="0" collapsed="false">
      <c r="C199" s="69" t="n">
        <v>194</v>
      </c>
      <c r="D199" s="78" t="s">
        <v>1558</v>
      </c>
      <c r="E199" s="63" t="s">
        <v>1556</v>
      </c>
      <c r="F199" s="101" t="n">
        <f aca="false">VLOOKUP(D199,'[2]5. Demanda'!$D$4:$F$357,3,FALSE())</f>
        <v>13.8</v>
      </c>
      <c r="G199" s="63" t="str">
        <f aca="false">VLOOKUP(D199,'[2]5. Demanda'!D$4:J$357,4,FALSE())</f>
        <v>residencial</v>
      </c>
      <c r="H199" s="63" t="str">
        <f aca="false">VLOOKUP($D199,'[2]5. Demanda'!$D$4:$J$357,5,FALSE())</f>
        <v>San Silvestre 115 kV</v>
      </c>
      <c r="I199" s="63" t="str">
        <f aca="false">VLOOKUP($D199,'[2]5. Demanda'!$D$4:$J$357,6,FALSE())</f>
        <v>Sí</v>
      </c>
      <c r="J199" s="102" t="str">
        <f aca="false">IF(VLOOKUP($D199,'[2]5. Demanda'!$D$4:$J$357,7,FALSE())=0,"",VLOOKUP($D199,'[2]5. Demanda'!$D$4:$J$357,7,FALSE()))</f>
        <v/>
      </c>
      <c r="K199" s="79" t="n">
        <v>2.07523522849526</v>
      </c>
      <c r="L199" s="79" t="n">
        <v>0.884046505401991</v>
      </c>
      <c r="M199" s="79" t="n">
        <v>1.61187768665741</v>
      </c>
      <c r="N199" s="79" t="n">
        <v>0.68665701914581</v>
      </c>
      <c r="O199" s="79" t="n">
        <v>2.28532983835533</v>
      </c>
      <c r="P199" s="79" t="n">
        <v>0.973546434422211</v>
      </c>
      <c r="Q199" s="80"/>
      <c r="R199" s="80"/>
      <c r="S199" s="80"/>
      <c r="T199" s="80"/>
      <c r="U199" s="80"/>
      <c r="V199" s="80"/>
      <c r="W199" s="80"/>
      <c r="X199" s="80"/>
      <c r="Y199" s="80"/>
      <c r="Z199" s="75"/>
    </row>
    <row r="200" customFormat="false" ht="15.75" hidden="false" customHeight="false" outlineLevel="0" collapsed="false">
      <c r="C200" s="69" t="n">
        <v>195</v>
      </c>
      <c r="D200" s="78" t="s">
        <v>1559</v>
      </c>
      <c r="E200" s="63" t="s">
        <v>1556</v>
      </c>
      <c r="F200" s="101" t="n">
        <f aca="false">VLOOKUP(D200,'[2]5. Demanda'!$D$4:$F$357,3,FALSE())</f>
        <v>13.8</v>
      </c>
      <c r="G200" s="63" t="str">
        <f aca="false">VLOOKUP(D200,'[2]5. Demanda'!D$4:J$357,4,FALSE())</f>
        <v>residencial</v>
      </c>
      <c r="H200" s="63" t="str">
        <f aca="false">VLOOKUP($D200,'[2]5. Demanda'!$D$4:$J$357,5,FALSE())</f>
        <v>San Silvestre 115 kV</v>
      </c>
      <c r="I200" s="63" t="str">
        <f aca="false">VLOOKUP($D200,'[2]5. Demanda'!$D$4:$J$357,6,FALSE())</f>
        <v>Sí</v>
      </c>
      <c r="J200" s="102" t="str">
        <f aca="false">IF(VLOOKUP($D200,'[2]5. Demanda'!$D$4:$J$357,7,FALSE())=0,"",VLOOKUP($D200,'[2]5. Demanda'!$D$4:$J$357,7,FALSE()))</f>
        <v/>
      </c>
      <c r="K200" s="79" t="n">
        <v>2.39658699583996</v>
      </c>
      <c r="L200" s="79" t="n">
        <v>1.02094178504305</v>
      </c>
      <c r="M200" s="79" t="n">
        <v>1.89432211062427</v>
      </c>
      <c r="N200" s="79" t="n">
        <v>0.80697783991331</v>
      </c>
      <c r="O200" s="79" t="n">
        <v>2.66221349882775</v>
      </c>
      <c r="P200" s="79" t="n">
        <v>1.13409820147435</v>
      </c>
      <c r="Q200" s="80"/>
      <c r="R200" s="80"/>
      <c r="S200" s="80"/>
      <c r="T200" s="80"/>
      <c r="U200" s="80"/>
      <c r="V200" s="80"/>
      <c r="W200" s="80"/>
      <c r="X200" s="80"/>
      <c r="Y200" s="80"/>
      <c r="Z200" s="75"/>
    </row>
    <row r="201" customFormat="false" ht="15.75" hidden="false" customHeight="false" outlineLevel="0" collapsed="false">
      <c r="C201" s="69" t="n">
        <v>196</v>
      </c>
      <c r="D201" s="78" t="s">
        <v>1560</v>
      </c>
      <c r="E201" s="63" t="s">
        <v>1556</v>
      </c>
      <c r="F201" s="101" t="n">
        <f aca="false">VLOOKUP(D201,'[2]5. Demanda'!$D$4:$F$357,3,FALSE())</f>
        <v>13.8</v>
      </c>
      <c r="G201" s="63" t="str">
        <f aca="false">VLOOKUP(D201,'[2]5. Demanda'!D$4:J$357,4,FALSE())</f>
        <v>residencial</v>
      </c>
      <c r="H201" s="63" t="str">
        <f aca="false">VLOOKUP($D201,'[2]5. Demanda'!$D$4:$J$357,5,FALSE())</f>
        <v>San Silvestre 115 kV</v>
      </c>
      <c r="I201" s="63" t="str">
        <f aca="false">VLOOKUP($D201,'[2]5. Demanda'!$D$4:$J$357,6,FALSE())</f>
        <v>Sí</v>
      </c>
      <c r="J201" s="102" t="str">
        <f aca="false">IF(VLOOKUP($D201,'[2]5. Demanda'!$D$4:$J$357,7,FALSE())=0,"",VLOOKUP($D201,'[2]5. Demanda'!$D$4:$J$357,7,FALSE()))</f>
        <v/>
      </c>
      <c r="K201" s="79" t="n">
        <v>2.90988987483951</v>
      </c>
      <c r="L201" s="79" t="n">
        <v>1.23960789583444</v>
      </c>
      <c r="M201" s="79" t="n">
        <v>2.15099224675174</v>
      </c>
      <c r="N201" s="79" t="n">
        <v>0.916318860039047</v>
      </c>
      <c r="O201" s="79" t="n">
        <v>2.9941604210003</v>
      </c>
      <c r="P201" s="79" t="n">
        <v>1.27550699817175</v>
      </c>
      <c r="Q201" s="80"/>
      <c r="R201" s="80"/>
      <c r="S201" s="80"/>
      <c r="T201" s="80"/>
      <c r="U201" s="80"/>
      <c r="V201" s="80"/>
      <c r="W201" s="80"/>
      <c r="X201" s="80"/>
      <c r="Y201" s="80"/>
      <c r="Z201" s="75"/>
    </row>
    <row r="202" customFormat="false" ht="15.75" hidden="false" customHeight="false" outlineLevel="0" collapsed="false">
      <c r="C202" s="69" t="n">
        <v>197</v>
      </c>
      <c r="D202" s="78" t="s">
        <v>1561</v>
      </c>
      <c r="E202" s="63" t="s">
        <v>1562</v>
      </c>
      <c r="F202" s="101" t="n">
        <f aca="false">VLOOKUP(D202,'[2]5. Demanda'!$D$4:$F$357,3,FALSE())</f>
        <v>13.8</v>
      </c>
      <c r="G202" s="63" t="str">
        <f aca="false">VLOOKUP(D202,'[2]5. Demanda'!D$4:J$357,4,FALSE())</f>
        <v>residencial</v>
      </c>
      <c r="H202" s="63" t="str">
        <f aca="false">VLOOKUP($D202,'[2]5. Demanda'!$D$4:$J$357,5,FALSE())</f>
        <v>Real de Minas 115 kV 
Palenque 115 kV</v>
      </c>
      <c r="I202" s="63" t="str">
        <f aca="false">VLOOKUP($D202,'[2]5. Demanda'!$D$4:$J$357,6,FALSE())</f>
        <v>Sí</v>
      </c>
      <c r="J202" s="102" t="str">
        <f aca="false">IF(VLOOKUP($D202,'[2]5. Demanda'!$D$4:$J$357,7,FALSE())=0,"",VLOOKUP($D202,'[2]5. Demanda'!$D$4:$J$357,7,FALSE()))</f>
        <v/>
      </c>
      <c r="K202" s="79" t="n">
        <v>0.749758791313502</v>
      </c>
      <c r="L202" s="79" t="n">
        <v>0.319395907631989</v>
      </c>
      <c r="M202" s="79" t="n">
        <v>1.12009629995915</v>
      </c>
      <c r="N202" s="79" t="n">
        <v>0.47715902568336</v>
      </c>
      <c r="O202" s="79" t="n">
        <v>1.15045863210075</v>
      </c>
      <c r="P202" s="79" t="n">
        <v>0.490093325013419</v>
      </c>
      <c r="Q202" s="80"/>
      <c r="R202" s="80"/>
      <c r="S202" s="80"/>
      <c r="T202" s="80"/>
      <c r="U202" s="80"/>
      <c r="V202" s="80"/>
      <c r="W202" s="80"/>
      <c r="X202" s="80"/>
      <c r="Y202" s="80"/>
      <c r="Z202" s="75"/>
    </row>
    <row r="203" customFormat="false" ht="15.75" hidden="false" customHeight="false" outlineLevel="0" collapsed="false">
      <c r="C203" s="69" t="n">
        <v>198</v>
      </c>
      <c r="D203" s="78" t="s">
        <v>1563</v>
      </c>
      <c r="E203" s="63" t="s">
        <v>1562</v>
      </c>
      <c r="F203" s="101" t="n">
        <f aca="false">VLOOKUP(D203,'[2]5. Demanda'!$D$4:$F$357,3,FALSE())</f>
        <v>13.8</v>
      </c>
      <c r="G203" s="63" t="str">
        <f aca="false">VLOOKUP(D203,'[2]5. Demanda'!D$4:J$357,4,FALSE())</f>
        <v>residencial</v>
      </c>
      <c r="H203" s="63" t="str">
        <f aca="false">VLOOKUP($D203,'[2]5. Demanda'!$D$4:$J$357,5,FALSE())</f>
        <v>Real de Minas 115 kV 
Palenque 115 kV</v>
      </c>
      <c r="I203" s="63" t="str">
        <f aca="false">VLOOKUP($D203,'[2]5. Demanda'!$D$4:$J$357,6,FALSE())</f>
        <v>Sí</v>
      </c>
      <c r="J203" s="102" t="str">
        <f aca="false">IF(VLOOKUP($D203,'[2]5. Demanda'!$D$4:$J$357,7,FALSE())=0,"",VLOOKUP($D203,'[2]5. Demanda'!$D$4:$J$357,7,FALSE()))</f>
        <v/>
      </c>
      <c r="K203" s="79" t="n">
        <v>0.315508746789952</v>
      </c>
      <c r="L203" s="79" t="n">
        <v>0.134406163307889</v>
      </c>
      <c r="M203" s="79" t="n">
        <v>0.229947465636302</v>
      </c>
      <c r="N203" s="79" t="n">
        <v>0.0979572101661058</v>
      </c>
      <c r="O203" s="79" t="n">
        <v>0.412321042078546</v>
      </c>
      <c r="P203" s="79" t="n">
        <v>0.175648028400882</v>
      </c>
      <c r="Q203" s="80"/>
      <c r="R203" s="80"/>
      <c r="S203" s="80"/>
      <c r="T203" s="80"/>
      <c r="U203" s="80"/>
      <c r="V203" s="80"/>
      <c r="W203" s="80"/>
      <c r="X203" s="80"/>
      <c r="Y203" s="80"/>
      <c r="Z203" s="75"/>
    </row>
    <row r="204" customFormat="false" ht="15.75" hidden="false" customHeight="false" outlineLevel="0" collapsed="false">
      <c r="C204" s="69" t="n">
        <v>199</v>
      </c>
      <c r="D204" s="78" t="s">
        <v>1564</v>
      </c>
      <c r="E204" s="63" t="s">
        <v>1562</v>
      </c>
      <c r="F204" s="101" t="n">
        <f aca="false">VLOOKUP(D204,'[2]5. Demanda'!$D$4:$F$357,3,FALSE())</f>
        <v>13.8</v>
      </c>
      <c r="G204" s="63" t="str">
        <f aca="false">VLOOKUP(D204,'[2]5. Demanda'!D$4:J$357,4,FALSE())</f>
        <v>residencial</v>
      </c>
      <c r="H204" s="63" t="str">
        <f aca="false">VLOOKUP($D204,'[2]5. Demanda'!$D$4:$J$357,5,FALSE())</f>
        <v>Real de Minas 115 kV 
Palenque 115 kV</v>
      </c>
      <c r="I204" s="63" t="str">
        <f aca="false">VLOOKUP($D204,'[2]5. Demanda'!$D$4:$J$357,6,FALSE())</f>
        <v>Sí</v>
      </c>
      <c r="J204" s="102" t="str">
        <f aca="false">IF(VLOOKUP($D204,'[2]5. Demanda'!$D$4:$J$357,7,FALSE())=0,"",VLOOKUP($D204,'[2]5. Demanda'!$D$4:$J$357,7,FALSE()))</f>
        <v/>
      </c>
      <c r="K204" s="79" t="n">
        <v>0.278267175713329</v>
      </c>
      <c r="L204" s="79" t="n">
        <v>0.118541320463138</v>
      </c>
      <c r="M204" s="79" t="n">
        <v>0.297493504783132</v>
      </c>
      <c r="N204" s="79" t="n">
        <v>0.126731702349722</v>
      </c>
      <c r="O204" s="79" t="n">
        <v>0.425934766780113</v>
      </c>
      <c r="P204" s="79" t="n">
        <v>0.181447450838719</v>
      </c>
      <c r="Q204" s="80"/>
      <c r="R204" s="80"/>
      <c r="S204" s="80"/>
      <c r="T204" s="80"/>
      <c r="U204" s="80"/>
      <c r="V204" s="80"/>
      <c r="W204" s="80"/>
      <c r="X204" s="80"/>
      <c r="Y204" s="80"/>
      <c r="Z204" s="75"/>
    </row>
    <row r="205" customFormat="false" ht="15.75" hidden="false" customHeight="false" outlineLevel="0" collapsed="false">
      <c r="C205" s="69" t="n">
        <v>200</v>
      </c>
      <c r="D205" s="78" t="s">
        <v>1565</v>
      </c>
      <c r="E205" s="63" t="s">
        <v>1562</v>
      </c>
      <c r="F205" s="101" t="n">
        <f aca="false">VLOOKUP(D205,'[2]5. Demanda'!$D$4:$F$357,3,FALSE())</f>
        <v>13.8</v>
      </c>
      <c r="G205" s="63" t="str">
        <f aca="false">VLOOKUP(D205,'[2]5. Demanda'!D$4:J$357,4,FALSE())</f>
        <v>residencial</v>
      </c>
      <c r="H205" s="63" t="str">
        <f aca="false">VLOOKUP($D205,'[2]5. Demanda'!$D$4:$J$357,5,FALSE())</f>
        <v>Real de Minas 115 kV 
Palenque 115 kV</v>
      </c>
      <c r="I205" s="63" t="str">
        <f aca="false">VLOOKUP($D205,'[2]5. Demanda'!$D$4:$J$357,6,FALSE())</f>
        <v>Sí</v>
      </c>
      <c r="J205" s="102" t="str">
        <f aca="false">IF(VLOOKUP($D205,'[2]5. Demanda'!$D$4:$J$357,7,FALSE())=0,"",VLOOKUP($D205,'[2]5. Demanda'!$D$4:$J$357,7,FALSE()))</f>
        <v/>
      </c>
      <c r="K205" s="79" t="n">
        <v>0.427031110395085</v>
      </c>
      <c r="L205" s="79" t="n">
        <v>0.181914491262969</v>
      </c>
      <c r="M205" s="79" t="n">
        <v>0.549614382489</v>
      </c>
      <c r="N205" s="79" t="n">
        <v>0.234134746503116</v>
      </c>
      <c r="O205" s="79" t="n">
        <v>0.641852001353615</v>
      </c>
      <c r="P205" s="79" t="n">
        <v>0.273427807600093</v>
      </c>
      <c r="Q205" s="80"/>
      <c r="R205" s="80"/>
      <c r="S205" s="80"/>
      <c r="T205" s="80"/>
      <c r="U205" s="80"/>
      <c r="V205" s="80"/>
      <c r="W205" s="80"/>
      <c r="X205" s="80"/>
      <c r="Y205" s="80"/>
      <c r="Z205" s="75"/>
    </row>
    <row r="206" customFormat="false" ht="15.75" hidden="false" customHeight="false" outlineLevel="0" collapsed="false">
      <c r="C206" s="69" t="n">
        <v>201</v>
      </c>
      <c r="D206" s="78" t="s">
        <v>1566</v>
      </c>
      <c r="E206" s="63" t="s">
        <v>1562</v>
      </c>
      <c r="F206" s="101" t="n">
        <f aca="false">VLOOKUP(D206,'[2]5. Demanda'!$D$4:$F$357,3,FALSE())</f>
        <v>13.8</v>
      </c>
      <c r="G206" s="63" t="str">
        <f aca="false">VLOOKUP(D206,'[2]5. Demanda'!D$4:J$357,4,FALSE())</f>
        <v>residencial</v>
      </c>
      <c r="H206" s="63" t="str">
        <f aca="false">VLOOKUP($D206,'[2]5. Demanda'!$D$4:$J$357,5,FALSE())</f>
        <v>Real de Minas 115 kV 
Palenque 115 kV</v>
      </c>
      <c r="I206" s="63" t="str">
        <f aca="false">VLOOKUP($D206,'[2]5. Demanda'!$D$4:$J$357,6,FALSE())</f>
        <v>Sí</v>
      </c>
      <c r="J206" s="102" t="str">
        <f aca="false">IF(VLOOKUP($D206,'[2]5. Demanda'!$D$4:$J$357,7,FALSE())=0,"",VLOOKUP($D206,'[2]5. Demanda'!$D$4:$J$357,7,FALSE()))</f>
        <v/>
      </c>
      <c r="K206" s="79" t="n">
        <v>0.259614411422623</v>
      </c>
      <c r="L206" s="79" t="n">
        <v>0.110595276149288</v>
      </c>
      <c r="M206" s="79" t="n">
        <v>0.311759369492759</v>
      </c>
      <c r="N206" s="79" t="n">
        <v>0.132808935267663</v>
      </c>
      <c r="O206" s="79" t="n">
        <v>0.383924340935788</v>
      </c>
      <c r="P206" s="79" t="n">
        <v>0.163551084369914</v>
      </c>
      <c r="Q206" s="80"/>
      <c r="R206" s="80"/>
      <c r="S206" s="80"/>
      <c r="T206" s="80"/>
      <c r="U206" s="80"/>
      <c r="V206" s="80"/>
      <c r="W206" s="80"/>
      <c r="X206" s="80"/>
      <c r="Y206" s="80"/>
      <c r="Z206" s="75"/>
    </row>
    <row r="207" customFormat="false" ht="15.75" hidden="false" customHeight="false" outlineLevel="0" collapsed="false">
      <c r="C207" s="69" t="n">
        <v>202</v>
      </c>
      <c r="D207" s="78" t="s">
        <v>1567</v>
      </c>
      <c r="E207" s="63" t="s">
        <v>1568</v>
      </c>
      <c r="F207" s="101" t="n">
        <f aca="false">VLOOKUP(D207,'[2]5. Demanda'!$D$4:$F$357,3,FALSE())</f>
        <v>13.8</v>
      </c>
      <c r="G207" s="63" t="str">
        <f aca="false">VLOOKUP(D207,'[2]5. Demanda'!D$4:J$357,4,FALSE())</f>
        <v>residencial</v>
      </c>
      <c r="H207" s="63" t="str">
        <f aca="false">VLOOKUP($D207,'[2]5. Demanda'!$D$4:$J$357,5,FALSE())</f>
        <v>Barranca 115 kV</v>
      </c>
      <c r="I207" s="63" t="str">
        <f aca="false">VLOOKUP($D207,'[2]5. Demanda'!$D$4:$J$357,6,FALSE())</f>
        <v>Sí</v>
      </c>
      <c r="J207" s="102" t="str">
        <f aca="false">IF(VLOOKUP($D207,'[2]5. Demanda'!$D$4:$J$357,7,FALSE())=0,"",VLOOKUP($D207,'[2]5. Demanda'!$D$4:$J$357,7,FALSE()))</f>
        <v/>
      </c>
      <c r="K207" s="79" t="n">
        <v>0.153467661059999</v>
      </c>
      <c r="L207" s="79" t="n">
        <v>0.0653769498461553</v>
      </c>
      <c r="M207" s="79" t="n">
        <v>0.110189641295399</v>
      </c>
      <c r="N207" s="79" t="n">
        <v>0.0469405906285281</v>
      </c>
      <c r="O207" s="79" t="n">
        <v>0.188209418010526</v>
      </c>
      <c r="P207" s="79" t="n">
        <v>0.0801768763325175</v>
      </c>
      <c r="Q207" s="80"/>
      <c r="R207" s="80"/>
      <c r="S207" s="80"/>
      <c r="T207" s="80"/>
      <c r="U207" s="80"/>
      <c r="V207" s="80"/>
      <c r="W207" s="80"/>
      <c r="X207" s="80"/>
      <c r="Y207" s="80"/>
      <c r="Z207" s="75"/>
    </row>
    <row r="208" customFormat="false" ht="15.75" hidden="false" customHeight="false" outlineLevel="0" collapsed="false">
      <c r="C208" s="69" t="n">
        <v>203</v>
      </c>
      <c r="D208" s="78" t="s">
        <v>1569</v>
      </c>
      <c r="E208" s="63" t="s">
        <v>1568</v>
      </c>
      <c r="F208" s="101" t="n">
        <f aca="false">VLOOKUP(D208,'[2]5. Demanda'!$D$4:$F$357,3,FALSE())</f>
        <v>13.8</v>
      </c>
      <c r="G208" s="63" t="str">
        <f aca="false">VLOOKUP(D208,'[2]5. Demanda'!D$4:J$357,4,FALSE())</f>
        <v>residencial</v>
      </c>
      <c r="H208" s="63" t="str">
        <f aca="false">VLOOKUP($D208,'[2]5. Demanda'!$D$4:$J$357,5,FALSE())</f>
        <v>Barranca 115 kV</v>
      </c>
      <c r="I208" s="63" t="str">
        <f aca="false">VLOOKUP($D208,'[2]5. Demanda'!$D$4:$J$357,6,FALSE())</f>
        <v>Sí</v>
      </c>
      <c r="J208" s="102" t="str">
        <f aca="false">IF(VLOOKUP($D208,'[2]5. Demanda'!$D$4:$J$357,7,FALSE())=0,"",VLOOKUP($D208,'[2]5. Demanda'!$D$4:$J$357,7,FALSE()))</f>
        <v/>
      </c>
      <c r="K208" s="79" t="n">
        <v>0.249693968738437</v>
      </c>
      <c r="L208" s="79" t="n">
        <v>0.106369185262543</v>
      </c>
      <c r="M208" s="79" t="n">
        <v>0.171520909519353</v>
      </c>
      <c r="N208" s="79" t="n">
        <v>0.0730676014853037</v>
      </c>
      <c r="O208" s="79" t="n">
        <v>0.30982980721105</v>
      </c>
      <c r="P208" s="79" t="n">
        <v>0.131986945177732</v>
      </c>
      <c r="Q208" s="80"/>
      <c r="R208" s="80"/>
      <c r="S208" s="80"/>
      <c r="T208" s="80"/>
      <c r="U208" s="80"/>
      <c r="V208" s="80"/>
      <c r="W208" s="80"/>
      <c r="X208" s="80"/>
      <c r="Y208" s="80"/>
      <c r="Z208" s="75"/>
    </row>
    <row r="209" customFormat="false" ht="15.75" hidden="false" customHeight="false" outlineLevel="0" collapsed="false">
      <c r="C209" s="69" t="n">
        <v>204</v>
      </c>
      <c r="D209" s="78" t="s">
        <v>1570</v>
      </c>
      <c r="E209" s="63" t="s">
        <v>1568</v>
      </c>
      <c r="F209" s="101" t="n">
        <f aca="false">VLOOKUP(D209,'[2]5. Demanda'!$D$4:$F$357,3,FALSE())</f>
        <v>13.8</v>
      </c>
      <c r="G209" s="63" t="str">
        <f aca="false">VLOOKUP(D209,'[2]5. Demanda'!D$4:J$357,4,FALSE())</f>
        <v>residencial</v>
      </c>
      <c r="H209" s="63" t="str">
        <f aca="false">VLOOKUP($D209,'[2]5. Demanda'!$D$4:$J$357,5,FALSE())</f>
        <v>Barranca 115 kV</v>
      </c>
      <c r="I209" s="63" t="str">
        <f aca="false">VLOOKUP($D209,'[2]5. Demanda'!$D$4:$J$357,6,FALSE())</f>
        <v>Sí</v>
      </c>
      <c r="J209" s="102" t="str">
        <f aca="false">IF(VLOOKUP($D209,'[2]5. Demanda'!$D$4:$J$357,7,FALSE())=0,"",VLOOKUP($D209,'[2]5. Demanda'!$D$4:$J$357,7,FALSE()))</f>
        <v/>
      </c>
      <c r="K209" s="79" t="n">
        <v>0.170464860267519</v>
      </c>
      <c r="L209" s="79" t="n">
        <v>0.0726177263878706</v>
      </c>
      <c r="M209" s="79" t="n">
        <v>0.153684453157716</v>
      </c>
      <c r="N209" s="79" t="n">
        <v>0.065469302893055</v>
      </c>
      <c r="O209" s="79" t="n">
        <v>0.205871048868864</v>
      </c>
      <c r="P209" s="79" t="n">
        <v>0.0877006995722253</v>
      </c>
      <c r="Q209" s="80"/>
      <c r="R209" s="80"/>
      <c r="S209" s="80"/>
      <c r="T209" s="80"/>
      <c r="U209" s="80"/>
      <c r="V209" s="80"/>
      <c r="W209" s="80"/>
      <c r="X209" s="80"/>
      <c r="Y209" s="80"/>
      <c r="Z209" s="75"/>
    </row>
    <row r="210" customFormat="false" ht="15.75" hidden="false" customHeight="false" outlineLevel="0" collapsed="false">
      <c r="C210" s="69" t="n">
        <v>205</v>
      </c>
      <c r="D210" s="78" t="s">
        <v>1571</v>
      </c>
      <c r="E210" s="63" t="s">
        <v>1572</v>
      </c>
      <c r="F210" s="101" t="n">
        <f aca="false">VLOOKUP(D210,'[2]5. Demanda'!$D$4:$F$357,3,FALSE())</f>
        <v>13.8</v>
      </c>
      <c r="G210" s="63" t="str">
        <f aca="false">VLOOKUP(D210,'[2]5. Demanda'!D$4:J$357,4,FALSE())</f>
        <v>residencial</v>
      </c>
      <c r="H210" s="63" t="str">
        <f aca="false">VLOOKUP($D210,'[2]5. Demanda'!$D$4:$J$357,5,FALSE())</f>
        <v>Cimitarra 115 kV</v>
      </c>
      <c r="I210" s="63" t="str">
        <f aca="false">VLOOKUP($D210,'[2]5. Demanda'!$D$4:$J$357,6,FALSE())</f>
        <v>Sí</v>
      </c>
      <c r="J210" s="102" t="str">
        <f aca="false">IF(VLOOKUP($D210,'[2]5. Demanda'!$D$4:$J$357,7,FALSE())=0,"",VLOOKUP($D210,'[2]5. Demanda'!$D$4:$J$357,7,FALSE()))</f>
        <v/>
      </c>
      <c r="K210" s="79" t="n">
        <v>1.93967199759396</v>
      </c>
      <c r="L210" s="79" t="n">
        <v>0.826296810864374</v>
      </c>
      <c r="M210" s="79" t="n">
        <v>2.27874263794382</v>
      </c>
      <c r="N210" s="79" t="n">
        <v>0.970740298797577</v>
      </c>
      <c r="O210" s="79" t="n">
        <v>2.51780864749506</v>
      </c>
      <c r="P210" s="79" t="n">
        <v>1.07258199240521</v>
      </c>
      <c r="Q210" s="80"/>
      <c r="R210" s="80"/>
      <c r="S210" s="80"/>
      <c r="T210" s="80"/>
      <c r="U210" s="80"/>
      <c r="V210" s="80"/>
      <c r="W210" s="80"/>
      <c r="X210" s="80"/>
      <c r="Y210" s="80"/>
      <c r="Z210" s="75"/>
    </row>
    <row r="211" customFormat="false" ht="15.75" hidden="false" customHeight="false" outlineLevel="0" collapsed="false">
      <c r="C211" s="69" t="n">
        <v>206</v>
      </c>
      <c r="D211" s="78" t="s">
        <v>1573</v>
      </c>
      <c r="E211" s="63" t="s">
        <v>1572</v>
      </c>
      <c r="F211" s="101" t="n">
        <f aca="false">VLOOKUP(D211,'[2]5. Demanda'!$D$4:$F$357,3,FALSE())</f>
        <v>13.8</v>
      </c>
      <c r="G211" s="63" t="str">
        <f aca="false">VLOOKUP(D211,'[2]5. Demanda'!D$4:J$357,4,FALSE())</f>
        <v>residencial</v>
      </c>
      <c r="H211" s="63" t="str">
        <f aca="false">VLOOKUP($D211,'[2]5. Demanda'!$D$4:$J$357,5,FALSE())</f>
        <v>Cimitarra 115 kV</v>
      </c>
      <c r="I211" s="63" t="str">
        <f aca="false">VLOOKUP($D211,'[2]5. Demanda'!$D$4:$J$357,6,FALSE())</f>
        <v>Sí</v>
      </c>
      <c r="J211" s="102" t="str">
        <f aca="false">IF(VLOOKUP($D211,'[2]5. Demanda'!$D$4:$J$357,7,FALSE())=0,"",VLOOKUP($D211,'[2]5. Demanda'!$D$4:$J$357,7,FALSE()))</f>
        <v/>
      </c>
      <c r="K211" s="79" t="n">
        <v>0.31896006841157</v>
      </c>
      <c r="L211" s="79" t="n">
        <v>0.13587642016201</v>
      </c>
      <c r="M211" s="79" t="n">
        <v>0.324536986101164</v>
      </c>
      <c r="N211" s="79" t="n">
        <v>0.138252177149316</v>
      </c>
      <c r="O211" s="79" t="n">
        <v>0.412133175666924</v>
      </c>
      <c r="P211" s="79" t="n">
        <v>0.175567997644659</v>
      </c>
      <c r="Q211" s="80"/>
      <c r="R211" s="80"/>
      <c r="S211" s="80"/>
      <c r="T211" s="80"/>
      <c r="U211" s="80"/>
      <c r="V211" s="80"/>
      <c r="W211" s="80"/>
      <c r="X211" s="80"/>
      <c r="Y211" s="80"/>
      <c r="Z211" s="75"/>
    </row>
    <row r="212" customFormat="false" ht="15.75" hidden="false" customHeight="false" outlineLevel="0" collapsed="false">
      <c r="C212" s="69" t="n">
        <v>207</v>
      </c>
      <c r="D212" s="78" t="s">
        <v>1574</v>
      </c>
      <c r="E212" s="63" t="s">
        <v>1572</v>
      </c>
      <c r="F212" s="101" t="n">
        <f aca="false">VLOOKUP(D212,'[2]5. Demanda'!$D$4:$F$357,3,FALSE())</f>
        <v>13.8</v>
      </c>
      <c r="G212" s="63" t="str">
        <f aca="false">VLOOKUP(D212,'[2]5. Demanda'!D$4:J$357,4,FALSE())</f>
        <v>residencial</v>
      </c>
      <c r="H212" s="63" t="str">
        <f aca="false">VLOOKUP($D212,'[2]5. Demanda'!$D$4:$J$357,5,FALSE())</f>
        <v>Cimitarra 115 kV</v>
      </c>
      <c r="I212" s="63" t="str">
        <f aca="false">VLOOKUP($D212,'[2]5. Demanda'!$D$4:$J$357,6,FALSE())</f>
        <v>Sí</v>
      </c>
      <c r="J212" s="102" t="str">
        <f aca="false">IF(VLOOKUP($D212,'[2]5. Demanda'!$D$4:$J$357,7,FALSE())=0,"",VLOOKUP($D212,'[2]5. Demanda'!$D$4:$J$357,7,FALSE()))</f>
        <v/>
      </c>
      <c r="K212" s="79" t="n">
        <v>0.246493481520683</v>
      </c>
      <c r="L212" s="79" t="n">
        <v>0.105005783417014</v>
      </c>
      <c r="M212" s="79" t="n">
        <v>0.320910181253105</v>
      </c>
      <c r="N212" s="79" t="n">
        <v>0.136707164753769</v>
      </c>
      <c r="O212" s="79" t="n">
        <v>0.362198931320793</v>
      </c>
      <c r="P212" s="79" t="n">
        <v>0.154296098629098</v>
      </c>
      <c r="Q212" s="80"/>
      <c r="R212" s="80"/>
      <c r="S212" s="80"/>
      <c r="T212" s="80"/>
      <c r="U212" s="80"/>
      <c r="V212" s="80"/>
      <c r="W212" s="80"/>
      <c r="X212" s="80"/>
      <c r="Y212" s="80"/>
      <c r="Z212" s="75"/>
    </row>
    <row r="213" customFormat="false" ht="15.75" hidden="false" customHeight="false" outlineLevel="0" collapsed="false">
      <c r="C213" s="69" t="n">
        <v>208</v>
      </c>
      <c r="D213" s="78" t="s">
        <v>1575</v>
      </c>
      <c r="E213" s="63" t="s">
        <v>1572</v>
      </c>
      <c r="F213" s="101" t="n">
        <f aca="false">VLOOKUP(D213,'[2]5. Demanda'!$D$4:$F$357,3,FALSE())</f>
        <v>13.8</v>
      </c>
      <c r="G213" s="63" t="str">
        <f aca="false">VLOOKUP(D213,'[2]5. Demanda'!D$4:J$357,4,FALSE())</f>
        <v>residencial</v>
      </c>
      <c r="H213" s="63" t="str">
        <f aca="false">VLOOKUP($D213,'[2]5. Demanda'!$D$4:$J$357,5,FALSE())</f>
        <v>Cimitarra 115 kV</v>
      </c>
      <c r="I213" s="63" t="str">
        <f aca="false">VLOOKUP($D213,'[2]5. Demanda'!$D$4:$J$357,6,FALSE())</f>
        <v>Sí</v>
      </c>
      <c r="J213" s="102" t="str">
        <f aca="false">IF(VLOOKUP($D213,'[2]5. Demanda'!$D$4:$J$357,7,FALSE())=0,"",VLOOKUP($D213,'[2]5. Demanda'!$D$4:$J$357,7,FALSE()))</f>
        <v/>
      </c>
      <c r="K213" s="79" t="n">
        <v>0.284624525644652</v>
      </c>
      <c r="L213" s="79" t="n">
        <v>0.121249540193235</v>
      </c>
      <c r="M213" s="79" t="n">
        <v>0.335144907084762</v>
      </c>
      <c r="N213" s="79" t="n">
        <v>0.142771132565243</v>
      </c>
      <c r="O213" s="79" t="n">
        <v>0.394460136630537</v>
      </c>
      <c r="P213" s="79" t="n">
        <v>0.168039314541452</v>
      </c>
      <c r="Q213" s="80"/>
      <c r="R213" s="80"/>
      <c r="S213" s="80"/>
      <c r="T213" s="80"/>
      <c r="U213" s="80"/>
      <c r="V213" s="80"/>
      <c r="W213" s="80"/>
      <c r="X213" s="80"/>
      <c r="Y213" s="80"/>
      <c r="Z213" s="75"/>
    </row>
    <row r="214" customFormat="false" ht="15.75" hidden="false" customHeight="false" outlineLevel="0" collapsed="false">
      <c r="C214" s="69" t="n">
        <v>209</v>
      </c>
      <c r="D214" s="78" t="s">
        <v>1576</v>
      </c>
      <c r="E214" s="63" t="s">
        <v>1577</v>
      </c>
      <c r="F214" s="101" t="n">
        <f aca="false">VLOOKUP(D214,'[2]5. Demanda'!$D$4:$F$357,3,FALSE())</f>
        <v>13.8</v>
      </c>
      <c r="G214" s="63" t="str">
        <f aca="false">VLOOKUP(D214,'[2]5. Demanda'!D$4:J$357,4,FALSE())</f>
        <v>residencial</v>
      </c>
      <c r="H214" s="63" t="str">
        <f aca="false">VLOOKUP($D214,'[2]5. Demanda'!$D$4:$J$357,5,FALSE())</f>
        <v>Puerto Wilches 115 kV</v>
      </c>
      <c r="I214" s="63" t="str">
        <f aca="false">VLOOKUP($D214,'[2]5. Demanda'!$D$4:$J$357,6,FALSE())</f>
        <v>Sí</v>
      </c>
      <c r="J214" s="102" t="str">
        <f aca="false">IF(VLOOKUP($D214,'[2]5. Demanda'!$D$4:$J$357,7,FALSE())=0,"",VLOOKUP($D214,'[2]5. Demanda'!$D$4:$J$357,7,FALSE()))</f>
        <v/>
      </c>
      <c r="K214" s="79" t="n">
        <v>1.7267209064824</v>
      </c>
      <c r="L214" s="79" t="n">
        <v>0.735580025926594</v>
      </c>
      <c r="M214" s="79" t="n">
        <v>1.67668999370695</v>
      </c>
      <c r="N214" s="79" t="n">
        <v>0.714266946332587</v>
      </c>
      <c r="O214" s="79" t="n">
        <v>2.04843591178126</v>
      </c>
      <c r="P214" s="79" t="n">
        <v>0.872630044288158</v>
      </c>
      <c r="Q214" s="80"/>
      <c r="R214" s="80"/>
      <c r="S214" s="80"/>
      <c r="T214" s="80"/>
      <c r="U214" s="80"/>
      <c r="V214" s="80"/>
      <c r="W214" s="80"/>
      <c r="X214" s="80"/>
      <c r="Y214" s="80"/>
      <c r="Z214" s="75"/>
    </row>
    <row r="215" customFormat="false" ht="15.75" hidden="false" customHeight="false" outlineLevel="0" collapsed="false">
      <c r="C215" s="69" t="n">
        <v>210</v>
      </c>
      <c r="D215" s="78" t="s">
        <v>1578</v>
      </c>
      <c r="E215" s="63" t="s">
        <v>1577</v>
      </c>
      <c r="F215" s="101" t="n">
        <f aca="false">VLOOKUP(D215,'[2]5. Demanda'!$D$4:$F$357,3,FALSE())</f>
        <v>13.8</v>
      </c>
      <c r="G215" s="63" t="str">
        <f aca="false">VLOOKUP(D215,'[2]5. Demanda'!D$4:J$357,4,FALSE())</f>
        <v>residencial</v>
      </c>
      <c r="H215" s="63" t="str">
        <f aca="false">VLOOKUP($D215,'[2]5. Demanda'!$D$4:$J$357,5,FALSE())</f>
        <v>Puerto Wilches 115 kV</v>
      </c>
      <c r="I215" s="63" t="str">
        <f aca="false">VLOOKUP($D215,'[2]5. Demanda'!$D$4:$J$357,6,FALSE())</f>
        <v>Sí</v>
      </c>
      <c r="J215" s="102" t="str">
        <f aca="false">IF(VLOOKUP($D215,'[2]5. Demanda'!$D$4:$J$357,7,FALSE())=0,"",VLOOKUP($D215,'[2]5. Demanda'!$D$4:$J$357,7,FALSE()))</f>
        <v/>
      </c>
      <c r="K215" s="79" t="n">
        <v>1.13454456483925</v>
      </c>
      <c r="L215" s="79" t="n">
        <v>0.483313960748547</v>
      </c>
      <c r="M215" s="79" t="n">
        <v>1.01921515168818</v>
      </c>
      <c r="N215" s="79" t="n">
        <v>0.434183836478158</v>
      </c>
      <c r="O215" s="79" t="n">
        <v>1.30150996296058</v>
      </c>
      <c r="P215" s="79" t="n">
        <v>0.554440922504706</v>
      </c>
      <c r="Q215" s="80"/>
      <c r="R215" s="80"/>
      <c r="S215" s="80"/>
      <c r="T215" s="80"/>
      <c r="U215" s="80"/>
      <c r="V215" s="80"/>
      <c r="W215" s="80"/>
      <c r="X215" s="80"/>
      <c r="Y215" s="80"/>
      <c r="Z215" s="75"/>
    </row>
    <row r="216" customFormat="false" ht="15.75" hidden="false" customHeight="false" outlineLevel="0" collapsed="false">
      <c r="C216" s="69" t="n">
        <v>211</v>
      </c>
      <c r="D216" s="78" t="s">
        <v>1579</v>
      </c>
      <c r="E216" s="63" t="s">
        <v>1577</v>
      </c>
      <c r="F216" s="101" t="n">
        <f aca="false">VLOOKUP(D216,'[2]5. Demanda'!$D$4:$F$357,3,FALSE())</f>
        <v>13.8</v>
      </c>
      <c r="G216" s="63" t="str">
        <f aca="false">VLOOKUP(D216,'[2]5. Demanda'!D$4:J$357,4,FALSE())</f>
        <v>residencial</v>
      </c>
      <c r="H216" s="63" t="str">
        <f aca="false">VLOOKUP($D216,'[2]5. Demanda'!$D$4:$J$357,5,FALSE())</f>
        <v>Puerto Wilches 115 kV</v>
      </c>
      <c r="I216" s="63" t="str">
        <f aca="false">VLOOKUP($D216,'[2]5. Demanda'!$D$4:$J$357,6,FALSE())</f>
        <v>Sí</v>
      </c>
      <c r="J216" s="102" t="str">
        <f aca="false">IF(VLOOKUP($D216,'[2]5. Demanda'!$D$4:$J$357,7,FALSE())=0,"",VLOOKUP($D216,'[2]5. Demanda'!$D$4:$J$357,7,FALSE()))</f>
        <v/>
      </c>
      <c r="K216" s="79" t="n">
        <v>0.178556798849141</v>
      </c>
      <c r="L216" s="79" t="n">
        <v>0.0760648777887253</v>
      </c>
      <c r="M216" s="79" t="n">
        <v>0.155920878057794</v>
      </c>
      <c r="N216" s="79" t="n">
        <v>0.066422015911011</v>
      </c>
      <c r="O216" s="79" t="n">
        <v>0.222851480237737</v>
      </c>
      <c r="P216" s="79" t="n">
        <v>0.0949343330445888</v>
      </c>
      <c r="Q216" s="80"/>
      <c r="R216" s="80"/>
      <c r="S216" s="80"/>
      <c r="T216" s="80"/>
      <c r="U216" s="80"/>
      <c r="V216" s="80"/>
      <c r="W216" s="80"/>
      <c r="X216" s="80"/>
      <c r="Y216" s="80"/>
      <c r="Z216" s="75"/>
    </row>
    <row r="217" customFormat="false" ht="15.75" hidden="false" customHeight="false" outlineLevel="0" collapsed="false">
      <c r="C217" s="69" t="n">
        <v>212</v>
      </c>
      <c r="D217" s="78" t="s">
        <v>1580</v>
      </c>
      <c r="E217" s="63" t="s">
        <v>1577</v>
      </c>
      <c r="F217" s="101" t="n">
        <f aca="false">VLOOKUP(D217,'[2]5. Demanda'!$D$4:$F$357,3,FALSE())</f>
        <v>13.8</v>
      </c>
      <c r="G217" s="63" t="str">
        <f aca="false">VLOOKUP(D217,'[2]5. Demanda'!D$4:J$357,4,FALSE())</f>
        <v>residencial</v>
      </c>
      <c r="H217" s="63" t="str">
        <f aca="false">VLOOKUP($D217,'[2]5. Demanda'!$D$4:$J$357,5,FALSE())</f>
        <v>Puerto Wilches 115 kV</v>
      </c>
      <c r="I217" s="63" t="str">
        <f aca="false">VLOOKUP($D217,'[2]5. Demanda'!$D$4:$J$357,6,FALSE())</f>
        <v>Sí</v>
      </c>
      <c r="J217" s="102" t="str">
        <f aca="false">IF(VLOOKUP($D217,'[2]5. Demanda'!$D$4:$J$357,7,FALSE())=0,"",VLOOKUP($D217,'[2]5. Demanda'!$D$4:$J$357,7,FALSE()))</f>
        <v/>
      </c>
      <c r="K217" s="79" t="n">
        <v>0.683921931571486</v>
      </c>
      <c r="L217" s="79" t="n">
        <v>0.291349522825881</v>
      </c>
      <c r="M217" s="79" t="n">
        <v>0.603179228801656</v>
      </c>
      <c r="N217" s="79" t="n">
        <v>0.256953275479917</v>
      </c>
      <c r="O217" s="79" t="n">
        <v>0.769098027166231</v>
      </c>
      <c r="P217" s="79" t="n">
        <v>0.327634387606689</v>
      </c>
      <c r="Q217" s="80"/>
      <c r="R217" s="80"/>
      <c r="S217" s="80"/>
      <c r="T217" s="80"/>
      <c r="U217" s="80"/>
      <c r="V217" s="80"/>
      <c r="W217" s="80"/>
      <c r="X217" s="80"/>
      <c r="Y217" s="80"/>
      <c r="Z217" s="75"/>
    </row>
    <row r="218" customFormat="false" ht="15.75" hidden="false" customHeight="false" outlineLevel="0" collapsed="false">
      <c r="C218" s="69" t="n">
        <v>213</v>
      </c>
      <c r="D218" s="78" t="s">
        <v>1581</v>
      </c>
      <c r="E218" s="63" t="s">
        <v>1582</v>
      </c>
      <c r="F218" s="101" t="n">
        <f aca="false">VLOOKUP(D218,'[2]5. Demanda'!$D$4:$F$357,3,FALSE())</f>
        <v>34.5</v>
      </c>
      <c r="G218" s="63" t="str">
        <f aca="false">VLOOKUP(D218,'[2]5. Demanda'!D$4:J$357,4,FALSE())</f>
        <v>residencial</v>
      </c>
      <c r="H218" s="63" t="str">
        <f aca="false">VLOOKUP($D218,'[2]5. Demanda'!$D$4:$J$357,5,FALSE())</f>
        <v>Puerto Wilches 115 kV</v>
      </c>
      <c r="I218" s="63" t="str">
        <f aca="false">VLOOKUP($D218,'[2]5. Demanda'!$D$4:$J$357,6,FALSE())</f>
        <v>Sí</v>
      </c>
      <c r="J218" s="102" t="str">
        <f aca="false">IF(VLOOKUP($D218,'[2]5. Demanda'!$D$4:$J$357,7,FALSE())=0,"",VLOOKUP($D218,'[2]5. Demanda'!$D$4:$J$357,7,FALSE()))</f>
        <v/>
      </c>
      <c r="K218" s="79" t="n">
        <v>1.27264702913259</v>
      </c>
      <c r="L218" s="79" t="n">
        <v>0.542145364181523</v>
      </c>
      <c r="M218" s="79" t="n">
        <v>1.05033205071155</v>
      </c>
      <c r="N218" s="79" t="n">
        <v>0.447439579953803</v>
      </c>
      <c r="O218" s="79" t="n">
        <v>1.44775146950666</v>
      </c>
      <c r="P218" s="79" t="n">
        <v>0.616739543418407</v>
      </c>
      <c r="Q218" s="80"/>
      <c r="R218" s="80"/>
      <c r="S218" s="80"/>
      <c r="T218" s="80"/>
      <c r="U218" s="80"/>
      <c r="V218" s="80"/>
      <c r="W218" s="80"/>
      <c r="X218" s="80"/>
      <c r="Y218" s="80"/>
      <c r="Z218" s="75"/>
    </row>
    <row r="219" customFormat="false" ht="15.75" hidden="false" customHeight="false" outlineLevel="0" collapsed="false">
      <c r="C219" s="69" t="n">
        <v>214</v>
      </c>
      <c r="D219" s="78" t="s">
        <v>1583</v>
      </c>
      <c r="E219" s="63" t="s">
        <v>1582</v>
      </c>
      <c r="F219" s="101" t="n">
        <f aca="false">VLOOKUP(D219,'[2]5. Demanda'!$D$4:$F$357,3,FALSE())</f>
        <v>34.5</v>
      </c>
      <c r="G219" s="63" t="str">
        <f aca="false">VLOOKUP(D219,'[2]5. Demanda'!D$4:J$357,4,FALSE())</f>
        <v>residencial</v>
      </c>
      <c r="H219" s="63" t="str">
        <f aca="false">VLOOKUP($D219,'[2]5. Demanda'!$D$4:$J$357,5,FALSE())</f>
        <v>Puerto Wilches 115 kV</v>
      </c>
      <c r="I219" s="63" t="str">
        <f aca="false">VLOOKUP($D219,'[2]5. Demanda'!$D$4:$J$357,6,FALSE())</f>
        <v>Sí</v>
      </c>
      <c r="J219" s="102" t="str">
        <f aca="false">IF(VLOOKUP($D219,'[2]5. Demanda'!$D$4:$J$357,7,FALSE())=0,"",VLOOKUP($D219,'[2]5. Demanda'!$D$4:$J$357,7,FALSE()))</f>
        <v/>
      </c>
      <c r="K219" s="79" t="n">
        <v>0.526736529025024</v>
      </c>
      <c r="L219" s="79" t="n">
        <v>0.224388821738436</v>
      </c>
      <c r="M219" s="79" t="n">
        <v>0.435538180871085</v>
      </c>
      <c r="N219" s="79" t="n">
        <v>0.18553848811029</v>
      </c>
      <c r="O219" s="79" t="n">
        <v>0.568073857208256</v>
      </c>
      <c r="P219" s="79" t="n">
        <v>0.24199844980433</v>
      </c>
      <c r="Q219" s="80"/>
      <c r="R219" s="80"/>
      <c r="S219" s="80"/>
      <c r="T219" s="80"/>
      <c r="U219" s="80"/>
      <c r="V219" s="80"/>
      <c r="W219" s="80"/>
      <c r="X219" s="80"/>
      <c r="Y219" s="80"/>
      <c r="Z219" s="75"/>
    </row>
    <row r="220" customFormat="false" ht="15.75" hidden="false" customHeight="false" outlineLevel="0" collapsed="false">
      <c r="C220" s="69" t="n">
        <v>215</v>
      </c>
      <c r="D220" s="78" t="s">
        <v>1584</v>
      </c>
      <c r="E220" s="63" t="s">
        <v>1585</v>
      </c>
      <c r="F220" s="101" t="n">
        <f aca="false">VLOOKUP(D220,'[2]5. Demanda'!$D$4:$F$357,3,FALSE())</f>
        <v>13.8</v>
      </c>
      <c r="G220" s="63" t="str">
        <f aca="false">VLOOKUP(D220,'[2]5. Demanda'!D$4:J$357,4,FALSE())</f>
        <v>residencial</v>
      </c>
      <c r="H220" s="63" t="str">
        <f aca="false">VLOOKUP($D220,'[2]5. Demanda'!$D$4:$J$357,5,FALSE())</f>
        <v>Cimitarra 115 kV</v>
      </c>
      <c r="I220" s="63" t="str">
        <f aca="false">VLOOKUP($D220,'[2]5. Demanda'!$D$4:$J$357,6,FALSE())</f>
        <v>Sí</v>
      </c>
      <c r="J220" s="102" t="str">
        <f aca="false">IF(VLOOKUP($D220,'[2]5. Demanda'!$D$4:$J$357,7,FALSE())=0,"",VLOOKUP($D220,'[2]5. Demanda'!$D$4:$J$357,7,FALSE()))</f>
        <v/>
      </c>
      <c r="K220" s="79" t="n">
        <v>1.49397410060349</v>
      </c>
      <c r="L220" s="79" t="n">
        <v>0.636430301810777</v>
      </c>
      <c r="M220" s="79" t="n">
        <v>1.4511174003962</v>
      </c>
      <c r="N220" s="79" t="n">
        <v>0.618173423972987</v>
      </c>
      <c r="O220" s="79" t="n">
        <v>1.85276330646059</v>
      </c>
      <c r="P220" s="79" t="n">
        <v>0.789273863474829</v>
      </c>
      <c r="Q220" s="80"/>
      <c r="R220" s="80"/>
      <c r="S220" s="80"/>
      <c r="T220" s="80"/>
      <c r="U220" s="80"/>
      <c r="V220" s="80"/>
      <c r="W220" s="80"/>
      <c r="X220" s="80"/>
      <c r="Y220" s="80"/>
      <c r="Z220" s="75"/>
    </row>
    <row r="221" customFormat="false" ht="15.75" hidden="false" customHeight="false" outlineLevel="0" collapsed="false">
      <c r="C221" s="69" t="n">
        <v>216</v>
      </c>
      <c r="D221" s="78" t="s">
        <v>1586</v>
      </c>
      <c r="E221" s="63" t="s">
        <v>1585</v>
      </c>
      <c r="F221" s="101" t="n">
        <f aca="false">VLOOKUP(D221,'[2]5. Demanda'!$D$4:$F$357,3,FALSE())</f>
        <v>13.8</v>
      </c>
      <c r="G221" s="63" t="str">
        <f aca="false">VLOOKUP(D221,'[2]5. Demanda'!D$4:J$357,4,FALSE())</f>
        <v>residencial</v>
      </c>
      <c r="H221" s="63" t="str">
        <f aca="false">VLOOKUP($D221,'[2]5. Demanda'!$D$4:$J$357,5,FALSE())</f>
        <v>Cimitarra 115 kV</v>
      </c>
      <c r="I221" s="63" t="str">
        <f aca="false">VLOOKUP($D221,'[2]5. Demanda'!$D$4:$J$357,6,FALSE())</f>
        <v>Sí</v>
      </c>
      <c r="J221" s="102" t="str">
        <f aca="false">IF(VLOOKUP($D221,'[2]5. Demanda'!$D$4:$J$357,7,FALSE())=0,"",VLOOKUP($D221,'[2]5. Demanda'!$D$4:$J$357,7,FALSE()))</f>
        <v/>
      </c>
      <c r="K221" s="79" t="n">
        <v>0.665613296387036</v>
      </c>
      <c r="L221" s="79" t="n">
        <v>0.283550076897416</v>
      </c>
      <c r="M221" s="79" t="n">
        <v>0.685404062676724</v>
      </c>
      <c r="N221" s="79" t="n">
        <v>0.291980908032792</v>
      </c>
      <c r="O221" s="79" t="n">
        <v>0.884045823199078</v>
      </c>
      <c r="P221" s="79" t="n">
        <v>0.37660194366547</v>
      </c>
      <c r="Q221" s="80"/>
      <c r="R221" s="80"/>
      <c r="S221" s="80"/>
      <c r="T221" s="80"/>
      <c r="U221" s="80"/>
      <c r="V221" s="80"/>
      <c r="W221" s="80"/>
      <c r="X221" s="80"/>
      <c r="Y221" s="80"/>
      <c r="Z221" s="75"/>
    </row>
    <row r="222" customFormat="false" ht="15.75" hidden="false" customHeight="false" outlineLevel="0" collapsed="false">
      <c r="C222" s="69" t="n">
        <v>217</v>
      </c>
      <c r="D222" s="78" t="s">
        <v>1587</v>
      </c>
      <c r="E222" s="63" t="s">
        <v>1585</v>
      </c>
      <c r="F222" s="101" t="n">
        <f aca="false">VLOOKUP(D222,'[2]5. Demanda'!$D$4:$F$357,3,FALSE())</f>
        <v>13.8</v>
      </c>
      <c r="G222" s="63" t="str">
        <f aca="false">VLOOKUP(D222,'[2]5. Demanda'!D$4:J$357,4,FALSE())</f>
        <v>residencial</v>
      </c>
      <c r="H222" s="63" t="str">
        <f aca="false">VLOOKUP($D222,'[2]5. Demanda'!$D$4:$J$357,5,FALSE())</f>
        <v>Cimitarra 115 kV</v>
      </c>
      <c r="I222" s="63" t="str">
        <f aca="false">VLOOKUP($D222,'[2]5. Demanda'!$D$4:$J$357,6,FALSE())</f>
        <v>Sí</v>
      </c>
      <c r="J222" s="102" t="str">
        <f aca="false">IF(VLOOKUP($D222,'[2]5. Demanda'!$D$4:$J$357,7,FALSE())=0,"",VLOOKUP($D222,'[2]5. Demanda'!$D$4:$J$357,7,FALSE()))</f>
        <v/>
      </c>
      <c r="K222" s="79" t="n">
        <v>0.235007730915836</v>
      </c>
      <c r="L222" s="79" t="n">
        <v>0.100112874148363</v>
      </c>
      <c r="M222" s="79" t="n">
        <v>0.224226133563961</v>
      </c>
      <c r="N222" s="79" t="n">
        <v>0.0955199329093657</v>
      </c>
      <c r="O222" s="79" t="n">
        <v>0.28569624348709</v>
      </c>
      <c r="P222" s="79" t="n">
        <v>0.121706090082315</v>
      </c>
      <c r="Q222" s="80"/>
      <c r="R222" s="80"/>
      <c r="S222" s="80"/>
      <c r="T222" s="80"/>
      <c r="U222" s="80"/>
      <c r="V222" s="80"/>
      <c r="W222" s="80"/>
      <c r="X222" s="80"/>
      <c r="Y222" s="80"/>
      <c r="Z222" s="75"/>
    </row>
    <row r="223" customFormat="false" ht="15.75" hidden="false" customHeight="false" outlineLevel="0" collapsed="false">
      <c r="C223" s="69" t="n">
        <v>218</v>
      </c>
      <c r="D223" s="78" t="s">
        <v>1588</v>
      </c>
      <c r="E223" s="63" t="s">
        <v>1585</v>
      </c>
      <c r="F223" s="101" t="n">
        <f aca="false">VLOOKUP(D223,'[2]5. Demanda'!$D$4:$F$357,3,FALSE())</f>
        <v>13.8</v>
      </c>
      <c r="G223" s="63" t="str">
        <f aca="false">VLOOKUP(D223,'[2]5. Demanda'!D$4:J$357,4,FALSE())</f>
        <v>residencial</v>
      </c>
      <c r="H223" s="63" t="str">
        <f aca="false">VLOOKUP($D223,'[2]5. Demanda'!$D$4:$J$357,5,FALSE())</f>
        <v>Cimitarra 115 kV</v>
      </c>
      <c r="I223" s="63" t="str">
        <f aca="false">VLOOKUP($D223,'[2]5. Demanda'!$D$4:$J$357,6,FALSE())</f>
        <v>Sí</v>
      </c>
      <c r="J223" s="102" t="str">
        <f aca="false">IF(VLOOKUP($D223,'[2]5. Demanda'!$D$4:$J$357,7,FALSE())=0,"",VLOOKUP($D223,'[2]5. Demanda'!$D$4:$J$357,7,FALSE()))</f>
        <v/>
      </c>
      <c r="K223" s="79" t="n">
        <v>0.35505887748077</v>
      </c>
      <c r="L223" s="79" t="n">
        <v>0.151254448430131</v>
      </c>
      <c r="M223" s="79" t="n">
        <v>0.340941369860631</v>
      </c>
      <c r="N223" s="79" t="n">
        <v>0.145240415367663</v>
      </c>
      <c r="O223" s="79" t="n">
        <v>0.414931070845327</v>
      </c>
      <c r="P223" s="79" t="n">
        <v>0.176759895999594</v>
      </c>
      <c r="Q223" s="80"/>
      <c r="R223" s="80"/>
      <c r="S223" s="80"/>
      <c r="T223" s="80"/>
      <c r="U223" s="80"/>
      <c r="V223" s="80"/>
      <c r="W223" s="80"/>
      <c r="X223" s="80"/>
      <c r="Y223" s="80"/>
      <c r="Z223" s="75"/>
    </row>
    <row r="224" customFormat="false" ht="15.75" hidden="false" customHeight="false" outlineLevel="0" collapsed="false">
      <c r="C224" s="69" t="n">
        <v>219</v>
      </c>
      <c r="D224" s="78" t="s">
        <v>1589</v>
      </c>
      <c r="E224" s="63" t="s">
        <v>1590</v>
      </c>
      <c r="F224" s="101" t="n">
        <f aca="false">VLOOKUP(D224,'[2]5. Demanda'!$D$4:$F$357,3,FALSE())</f>
        <v>13.8</v>
      </c>
      <c r="G224" s="63" t="str">
        <f aca="false">VLOOKUP(D224,'[2]5. Demanda'!D$4:J$357,4,FALSE())</f>
        <v>residencial</v>
      </c>
      <c r="H224" s="63" t="str">
        <f aca="false">VLOOKUP($D224,'[2]5. Demanda'!$D$4:$J$357,5,FALSE())</f>
        <v>Lizama 115 kV</v>
      </c>
      <c r="I224" s="63" t="str">
        <f aca="false">VLOOKUP($D224,'[2]5. Demanda'!$D$4:$J$357,6,FALSE())</f>
        <v>Sí</v>
      </c>
      <c r="J224" s="102" t="str">
        <f aca="false">IF(VLOOKUP($D224,'[2]5. Demanda'!$D$4:$J$357,7,FALSE())=0,"",VLOOKUP($D224,'[2]5. Demanda'!$D$4:$J$357,7,FALSE()))</f>
        <v/>
      </c>
      <c r="K224" s="79" t="n">
        <v>0.252753885004213</v>
      </c>
      <c r="L224" s="79" t="n">
        <v>0.10767270413329</v>
      </c>
      <c r="M224" s="79" t="n">
        <v>0.23530937004911</v>
      </c>
      <c r="N224" s="79" t="n">
        <v>0.100241371881055</v>
      </c>
      <c r="O224" s="79" t="n">
        <v>0.305273262981643</v>
      </c>
      <c r="P224" s="79" t="n">
        <v>0.130045865464259</v>
      </c>
      <c r="Q224" s="80"/>
      <c r="R224" s="80"/>
      <c r="S224" s="80"/>
      <c r="T224" s="80"/>
      <c r="U224" s="80"/>
      <c r="V224" s="80"/>
      <c r="W224" s="80"/>
      <c r="X224" s="80"/>
      <c r="Y224" s="80"/>
      <c r="Z224" s="75"/>
    </row>
    <row r="225" customFormat="false" ht="15.75" hidden="false" customHeight="false" outlineLevel="0" collapsed="false">
      <c r="C225" s="69" t="n">
        <v>220</v>
      </c>
      <c r="D225" s="78" t="s">
        <v>1591</v>
      </c>
      <c r="E225" s="63" t="s">
        <v>1590</v>
      </c>
      <c r="F225" s="101" t="n">
        <f aca="false">VLOOKUP(D225,'[2]5. Demanda'!$D$4:$F$357,3,FALSE())</f>
        <v>13.8</v>
      </c>
      <c r="G225" s="63" t="str">
        <f aca="false">VLOOKUP(D225,'[2]5. Demanda'!D$4:J$357,4,FALSE())</f>
        <v>residencial</v>
      </c>
      <c r="H225" s="63" t="str">
        <f aca="false">VLOOKUP($D225,'[2]5. Demanda'!$D$4:$J$357,5,FALSE())</f>
        <v>Lizama 115 kV</v>
      </c>
      <c r="I225" s="63" t="str">
        <f aca="false">VLOOKUP($D225,'[2]5. Demanda'!$D$4:$J$357,6,FALSE())</f>
        <v>Sí</v>
      </c>
      <c r="J225" s="102" t="str">
        <f aca="false">IF(VLOOKUP($D225,'[2]5. Demanda'!$D$4:$J$357,7,FALSE())=0,"",VLOOKUP($D225,'[2]5. Demanda'!$D$4:$J$357,7,FALSE()))</f>
        <v/>
      </c>
      <c r="K225" s="79" t="n">
        <v>0.154922308771009</v>
      </c>
      <c r="L225" s="79" t="n">
        <v>0.0659966271761523</v>
      </c>
      <c r="M225" s="79" t="n">
        <v>0.197497268905201</v>
      </c>
      <c r="N225" s="79" t="n">
        <v>0.0841334842453879</v>
      </c>
      <c r="O225" s="79" t="n">
        <v>0.213950206450419</v>
      </c>
      <c r="P225" s="79" t="n">
        <v>0.0911424062898514</v>
      </c>
      <c r="Q225" s="80"/>
      <c r="R225" s="80"/>
      <c r="S225" s="80"/>
      <c r="T225" s="80"/>
      <c r="U225" s="80"/>
      <c r="V225" s="80"/>
      <c r="W225" s="80"/>
      <c r="X225" s="80"/>
      <c r="Y225" s="80"/>
      <c r="Z225" s="75"/>
    </row>
    <row r="226" customFormat="false" ht="15.75" hidden="false" customHeight="false" outlineLevel="0" collapsed="false">
      <c r="C226" s="69" t="n">
        <v>221</v>
      </c>
      <c r="D226" s="78" t="s">
        <v>1592</v>
      </c>
      <c r="E226" s="63" t="s">
        <v>1593</v>
      </c>
      <c r="F226" s="101" t="n">
        <f aca="false">VLOOKUP(D226,'[2]5. Demanda'!$D$4:$F$357,3,FALSE())</f>
        <v>13.8</v>
      </c>
      <c r="G226" s="63" t="str">
        <f aca="false">VLOOKUP(D226,'[2]5. Demanda'!D$4:J$357,4,FALSE())</f>
        <v>residencial</v>
      </c>
      <c r="H226" s="63" t="str">
        <f aca="false">VLOOKUP($D226,'[2]5. Demanda'!$D$4:$J$357,5,FALSE())</f>
        <v>Barranca 115 kV</v>
      </c>
      <c r="I226" s="63" t="str">
        <f aca="false">VLOOKUP($D226,'[2]5. Demanda'!$D$4:$J$357,6,FALSE())</f>
        <v>Sí</v>
      </c>
      <c r="J226" s="102" t="str">
        <f aca="false">IF(VLOOKUP($D226,'[2]5. Demanda'!$D$4:$J$357,7,FALSE())=0,"",VLOOKUP($D226,'[2]5. Demanda'!$D$4:$J$357,7,FALSE()))</f>
        <v/>
      </c>
      <c r="K226" s="79" t="n">
        <v>0.525263300129199</v>
      </c>
      <c r="L226" s="79" t="n">
        <v>0.223761228856855</v>
      </c>
      <c r="M226" s="79" t="n">
        <v>0.764693894223201</v>
      </c>
      <c r="N226" s="79" t="n">
        <v>0.325758234829331</v>
      </c>
      <c r="O226" s="79" t="n">
        <v>0.915977818937916</v>
      </c>
      <c r="P226" s="79" t="n">
        <v>0.390204916887884</v>
      </c>
      <c r="Q226" s="80"/>
      <c r="R226" s="80"/>
      <c r="S226" s="80"/>
      <c r="T226" s="80"/>
      <c r="U226" s="80"/>
      <c r="V226" s="80"/>
      <c r="W226" s="80"/>
      <c r="X226" s="80"/>
      <c r="Y226" s="80"/>
      <c r="Z226" s="75"/>
    </row>
    <row r="227" customFormat="false" ht="15.75" hidden="false" customHeight="false" outlineLevel="0" collapsed="false">
      <c r="C227" s="69" t="n">
        <v>222</v>
      </c>
      <c r="D227" s="78" t="s">
        <v>1594</v>
      </c>
      <c r="E227" s="63" t="s">
        <v>1593</v>
      </c>
      <c r="F227" s="101" t="n">
        <f aca="false">VLOOKUP(D227,'[2]5. Demanda'!$D$4:$F$357,3,FALSE())</f>
        <v>13.8</v>
      </c>
      <c r="G227" s="63" t="str">
        <f aca="false">VLOOKUP(D227,'[2]5. Demanda'!D$4:J$357,4,FALSE())</f>
        <v>residencial</v>
      </c>
      <c r="H227" s="63" t="str">
        <f aca="false">VLOOKUP($D227,'[2]5. Demanda'!$D$4:$J$357,5,FALSE())</f>
        <v>Barranca 115 kV</v>
      </c>
      <c r="I227" s="63" t="str">
        <f aca="false">VLOOKUP($D227,'[2]5. Demanda'!$D$4:$J$357,6,FALSE())</f>
        <v>Sí</v>
      </c>
      <c r="J227" s="102" t="str">
        <f aca="false">IF(VLOOKUP($D227,'[2]5. Demanda'!$D$4:$J$357,7,FALSE())=0,"",VLOOKUP($D227,'[2]5. Demanda'!$D$4:$J$357,7,FALSE()))</f>
        <v/>
      </c>
      <c r="K227" s="79" t="n">
        <v>0.235827317023215</v>
      </c>
      <c r="L227" s="79" t="n">
        <v>0.100462016368077</v>
      </c>
      <c r="M227" s="79" t="n">
        <v>0.204853762110046</v>
      </c>
      <c r="N227" s="79" t="n">
        <v>0.0872673372276701</v>
      </c>
      <c r="O227" s="79" t="n">
        <v>0.280269441091689</v>
      </c>
      <c r="P227" s="79" t="n">
        <v>0.119394281942551</v>
      </c>
      <c r="Q227" s="80"/>
      <c r="R227" s="80"/>
      <c r="S227" s="80"/>
      <c r="T227" s="80"/>
      <c r="U227" s="80"/>
      <c r="V227" s="80"/>
      <c r="W227" s="80"/>
      <c r="X227" s="80"/>
      <c r="Y227" s="80"/>
      <c r="Z227" s="75"/>
    </row>
    <row r="228" customFormat="false" ht="15.75" hidden="false" customHeight="false" outlineLevel="0" collapsed="false">
      <c r="C228" s="69" t="n">
        <v>223</v>
      </c>
      <c r="D228" s="78" t="s">
        <v>1595</v>
      </c>
      <c r="E228" s="63" t="s">
        <v>1593</v>
      </c>
      <c r="F228" s="101" t="n">
        <f aca="false">VLOOKUP(D228,'[2]5. Demanda'!$D$4:$F$357,3,FALSE())</f>
        <v>13.8</v>
      </c>
      <c r="G228" s="63" t="str">
        <f aca="false">VLOOKUP(D228,'[2]5. Demanda'!D$4:J$357,4,FALSE())</f>
        <v>residencial</v>
      </c>
      <c r="H228" s="63" t="str">
        <f aca="false">VLOOKUP($D228,'[2]5. Demanda'!$D$4:$J$357,5,FALSE())</f>
        <v>Barranca 115 kV</v>
      </c>
      <c r="I228" s="63" t="str">
        <f aca="false">VLOOKUP($D228,'[2]5. Demanda'!$D$4:$J$357,6,FALSE())</f>
        <v>Sí</v>
      </c>
      <c r="J228" s="102" t="str">
        <f aca="false">IF(VLOOKUP($D228,'[2]5. Demanda'!$D$4:$J$357,7,FALSE())=0,"",VLOOKUP($D228,'[2]5. Demanda'!$D$4:$J$357,7,FALSE()))</f>
        <v/>
      </c>
      <c r="K228" s="79" t="n">
        <v>0.444360863592512</v>
      </c>
      <c r="L228" s="79" t="n">
        <v>0.189296935211154</v>
      </c>
      <c r="M228" s="79" t="n">
        <v>0.515005004025283</v>
      </c>
      <c r="N228" s="79" t="n">
        <v>0.21939121301599</v>
      </c>
      <c r="O228" s="79" t="n">
        <v>0.523672204648705</v>
      </c>
      <c r="P228" s="79" t="n">
        <v>0.223083425020462</v>
      </c>
      <c r="Q228" s="80"/>
      <c r="R228" s="80"/>
      <c r="S228" s="80"/>
      <c r="T228" s="80"/>
      <c r="U228" s="80"/>
      <c r="V228" s="80"/>
      <c r="W228" s="80"/>
      <c r="X228" s="80"/>
      <c r="Y228" s="80"/>
      <c r="Z228" s="75"/>
    </row>
    <row r="229" customFormat="false" ht="15.75" hidden="false" customHeight="false" outlineLevel="0" collapsed="false">
      <c r="C229" s="69" t="n">
        <v>224</v>
      </c>
      <c r="D229" s="78" t="s">
        <v>1596</v>
      </c>
      <c r="E229" s="63" t="s">
        <v>1597</v>
      </c>
      <c r="F229" s="101" t="n">
        <f aca="false">VLOOKUP(D229,'[2]5. Demanda'!$D$4:$F$357,3,FALSE())</f>
        <v>13.8</v>
      </c>
      <c r="G229" s="63" t="str">
        <f aca="false">VLOOKUP(D229,'[2]5. Demanda'!D$4:J$357,4,FALSE())</f>
        <v>residencial</v>
      </c>
      <c r="H229" s="63" t="str">
        <f aca="false">VLOOKUP($D229,'[2]5. Demanda'!$D$4:$J$357,5,FALSE())</f>
        <v>Puerto Wilches 115 kV</v>
      </c>
      <c r="I229" s="63" t="str">
        <f aca="false">VLOOKUP($D229,'[2]5. Demanda'!$D$4:$J$357,6,FALSE())</f>
        <v>Sí</v>
      </c>
      <c r="J229" s="102" t="str">
        <f aca="false">IF(VLOOKUP($D229,'[2]5. Demanda'!$D$4:$J$357,7,FALSE())=0,"",VLOOKUP($D229,'[2]5. Demanda'!$D$4:$J$357,7,FALSE()))</f>
        <v/>
      </c>
      <c r="K229" s="79" t="n">
        <v>0.172898674685819</v>
      </c>
      <c r="L229" s="79" t="n">
        <v>0.0736545269884727</v>
      </c>
      <c r="M229" s="79" t="n">
        <v>0.172576443778157</v>
      </c>
      <c r="N229" s="79" t="n">
        <v>0.073517257196625</v>
      </c>
      <c r="O229" s="79" t="n">
        <v>0.213542406924951</v>
      </c>
      <c r="P229" s="79" t="n">
        <v>0.0909686844194609</v>
      </c>
      <c r="Q229" s="80"/>
      <c r="R229" s="80"/>
      <c r="S229" s="80"/>
      <c r="T229" s="80"/>
      <c r="U229" s="80"/>
      <c r="V229" s="80"/>
      <c r="W229" s="80"/>
      <c r="X229" s="80"/>
      <c r="Y229" s="80"/>
      <c r="Z229" s="75"/>
    </row>
    <row r="230" customFormat="false" ht="15.75" hidden="false" customHeight="false" outlineLevel="0" collapsed="false">
      <c r="C230" s="69" t="n">
        <v>225</v>
      </c>
      <c r="D230" s="78" t="s">
        <v>1598</v>
      </c>
      <c r="E230" s="63" t="s">
        <v>1599</v>
      </c>
      <c r="F230" s="101" t="n">
        <f aca="false">VLOOKUP(D230,'[2]5. Demanda'!$D$4:$F$357,3,FALSE())</f>
        <v>13.8</v>
      </c>
      <c r="G230" s="63" t="str">
        <f aca="false">VLOOKUP(D230,'[2]5. Demanda'!D$4:J$357,4,FALSE())</f>
        <v>residencial</v>
      </c>
      <c r="H230" s="63" t="str">
        <f aca="false">VLOOKUP($D230,'[2]5. Demanda'!$D$4:$J$357,5,FALSE())</f>
        <v>Puerto Wilches 115 kV</v>
      </c>
      <c r="I230" s="63" t="str">
        <f aca="false">VLOOKUP($D230,'[2]5. Demanda'!$D$4:$J$357,6,FALSE())</f>
        <v>Sí</v>
      </c>
      <c r="J230" s="102" t="str">
        <f aca="false">IF(VLOOKUP($D230,'[2]5. Demanda'!$D$4:$J$357,7,FALSE())=0,"",VLOOKUP($D230,'[2]5. Demanda'!$D$4:$J$357,7,FALSE()))</f>
        <v/>
      </c>
      <c r="K230" s="79" t="n">
        <v>1.00704711508922</v>
      </c>
      <c r="L230" s="79" t="n">
        <v>0.429000274593119</v>
      </c>
      <c r="M230" s="79" t="n">
        <v>1.02493721866047</v>
      </c>
      <c r="N230" s="79" t="n">
        <v>0.436621426800963</v>
      </c>
      <c r="O230" s="79" t="n">
        <v>1.20921075995595</v>
      </c>
      <c r="P230" s="79" t="n">
        <v>0.515121626673941</v>
      </c>
      <c r="Q230" s="80"/>
      <c r="R230" s="80"/>
      <c r="S230" s="80"/>
      <c r="T230" s="80"/>
      <c r="U230" s="80"/>
      <c r="V230" s="80"/>
      <c r="W230" s="80"/>
      <c r="X230" s="80"/>
      <c r="Y230" s="80"/>
      <c r="Z230" s="75"/>
    </row>
    <row r="231" customFormat="false" ht="15.75" hidden="false" customHeight="false" outlineLevel="0" collapsed="false">
      <c r="C231" s="69" t="n">
        <v>226</v>
      </c>
      <c r="D231" s="78" t="s">
        <v>1600</v>
      </c>
      <c r="E231" s="63" t="s">
        <v>1599</v>
      </c>
      <c r="F231" s="101" t="n">
        <f aca="false">VLOOKUP(D231,'[2]5. Demanda'!$D$4:$F$357,3,FALSE())</f>
        <v>13.8</v>
      </c>
      <c r="G231" s="63" t="str">
        <f aca="false">VLOOKUP(D231,'[2]5. Demanda'!D$4:J$357,4,FALSE())</f>
        <v>residencial</v>
      </c>
      <c r="H231" s="63" t="str">
        <f aca="false">VLOOKUP($D231,'[2]5. Demanda'!$D$4:$J$357,5,FALSE())</f>
        <v>Puerto Wilches 115 kV</v>
      </c>
      <c r="I231" s="63" t="str">
        <f aca="false">VLOOKUP($D231,'[2]5. Demanda'!$D$4:$J$357,6,FALSE())</f>
        <v>Sí</v>
      </c>
      <c r="J231" s="102" t="str">
        <f aca="false">IF(VLOOKUP($D231,'[2]5. Demanda'!$D$4:$J$357,7,FALSE())=0,"",VLOOKUP($D231,'[2]5. Demanda'!$D$4:$J$357,7,FALSE()))</f>
        <v/>
      </c>
      <c r="K231" s="79" t="n">
        <v>1.77430093995614</v>
      </c>
      <c r="L231" s="79" t="n">
        <v>0.755849035310108</v>
      </c>
      <c r="M231" s="79" t="n">
        <v>1.50417621880589</v>
      </c>
      <c r="N231" s="79" t="n">
        <v>0.640776385965812</v>
      </c>
      <c r="O231" s="79" t="n">
        <v>2.02861411137853</v>
      </c>
      <c r="P231" s="79" t="n">
        <v>0.864185992675988</v>
      </c>
      <c r="Q231" s="80"/>
      <c r="R231" s="80"/>
      <c r="S231" s="80"/>
      <c r="T231" s="80"/>
      <c r="U231" s="80"/>
      <c r="V231" s="80"/>
      <c r="W231" s="80"/>
      <c r="X231" s="80"/>
      <c r="Y231" s="80"/>
      <c r="Z231" s="75"/>
    </row>
    <row r="232" customFormat="false" ht="15.75" hidden="false" customHeight="false" outlineLevel="0" collapsed="false">
      <c r="C232" s="69" t="n">
        <v>227</v>
      </c>
      <c r="D232" s="78" t="s">
        <v>1601</v>
      </c>
      <c r="E232" s="63" t="s">
        <v>1602</v>
      </c>
      <c r="F232" s="101" t="n">
        <f aca="false">VLOOKUP(D232,'[2]5. Demanda'!$D$4:$F$357,3,FALSE())</f>
        <v>13.8</v>
      </c>
      <c r="G232" s="63" t="str">
        <f aca="false">VLOOKUP(D232,'[2]5. Demanda'!D$4:J$357,4,FALSE())</f>
        <v>residencial</v>
      </c>
      <c r="H232" s="63" t="str">
        <f aca="false">VLOOKUP($D232,'[2]5. Demanda'!$D$4:$J$357,5,FALSE())</f>
        <v>Barranca 115 kV</v>
      </c>
      <c r="I232" s="63" t="str">
        <f aca="false">VLOOKUP($D232,'[2]5. Demanda'!$D$4:$J$357,6,FALSE())</f>
        <v>Sí</v>
      </c>
      <c r="J232" s="102" t="str">
        <f aca="false">IF(VLOOKUP($D232,'[2]5. Demanda'!$D$4:$J$357,7,FALSE())=0,"",VLOOKUP($D232,'[2]5. Demanda'!$D$4:$J$357,7,FALSE()))</f>
        <v/>
      </c>
      <c r="K232" s="79" t="n">
        <v>0.157641916439271</v>
      </c>
      <c r="L232" s="79" t="n">
        <v>0.0671551751914221</v>
      </c>
      <c r="M232" s="79" t="n">
        <v>0.170901383884621</v>
      </c>
      <c r="N232" s="79" t="n">
        <v>0.0728036846700571</v>
      </c>
      <c r="O232" s="79" t="n">
        <v>0.183562661778918</v>
      </c>
      <c r="P232" s="79" t="n">
        <v>0.0781973664670325</v>
      </c>
      <c r="Q232" s="80"/>
      <c r="R232" s="80"/>
      <c r="S232" s="80"/>
      <c r="T232" s="80"/>
      <c r="U232" s="80"/>
      <c r="V232" s="80"/>
      <c r="W232" s="80"/>
      <c r="X232" s="80"/>
      <c r="Y232" s="80"/>
      <c r="Z232" s="75"/>
    </row>
    <row r="233" customFormat="false" ht="15.75" hidden="false" customHeight="false" outlineLevel="0" collapsed="false">
      <c r="C233" s="69" t="n">
        <v>228</v>
      </c>
      <c r="D233" s="78" t="s">
        <v>1603</v>
      </c>
      <c r="E233" s="63" t="s">
        <v>1604</v>
      </c>
      <c r="F233" s="101" t="n">
        <f aca="false">VLOOKUP(D233,'[2]5. Demanda'!$D$4:$F$357,3,FALSE())</f>
        <v>13.8</v>
      </c>
      <c r="G233" s="63" t="str">
        <f aca="false">VLOOKUP(D233,'[2]5. Demanda'!D$4:J$357,4,FALSE())</f>
        <v>residencial</v>
      </c>
      <c r="H233" s="63" t="str">
        <f aca="false">VLOOKUP($D233,'[2]5. Demanda'!$D$4:$J$357,5,FALSE())</f>
        <v>Cimitarra 115 kV</v>
      </c>
      <c r="I233" s="63" t="str">
        <f aca="false">VLOOKUP($D233,'[2]5. Demanda'!$D$4:$J$357,6,FALSE())</f>
        <v>Sí</v>
      </c>
      <c r="J233" s="102" t="str">
        <f aca="false">IF(VLOOKUP($D233,'[2]5. Demanda'!$D$4:$J$357,7,FALSE())=0,"",VLOOKUP($D233,'[2]5. Demanda'!$D$4:$J$357,7,FALSE()))</f>
        <v/>
      </c>
      <c r="K233" s="79" t="n">
        <v>0.216081271442066</v>
      </c>
      <c r="L233" s="79" t="n">
        <v>0.0920502361747633</v>
      </c>
      <c r="M233" s="79" t="n">
        <v>0.324256697369277</v>
      </c>
      <c r="N233" s="79" t="n">
        <v>0.138132774649529</v>
      </c>
      <c r="O233" s="79" t="n">
        <v>0.378165638415697</v>
      </c>
      <c r="P233" s="79" t="n">
        <v>0.161097887369096</v>
      </c>
      <c r="Q233" s="80"/>
      <c r="R233" s="80"/>
      <c r="S233" s="80"/>
      <c r="T233" s="80"/>
      <c r="U233" s="80"/>
      <c r="V233" s="80"/>
      <c r="W233" s="80"/>
      <c r="X233" s="80"/>
      <c r="Y233" s="80"/>
      <c r="Z233" s="75"/>
    </row>
    <row r="234" customFormat="false" ht="15.75" hidden="false" customHeight="false" outlineLevel="0" collapsed="false">
      <c r="C234" s="69" t="n">
        <v>229</v>
      </c>
      <c r="D234" s="78" t="s">
        <v>1605</v>
      </c>
      <c r="E234" s="63" t="s">
        <v>1604</v>
      </c>
      <c r="F234" s="101" t="n">
        <f aca="false">VLOOKUP(D234,'[2]5. Demanda'!$D$4:$F$357,3,FALSE())</f>
        <v>13.8</v>
      </c>
      <c r="G234" s="63" t="str">
        <f aca="false">VLOOKUP(D234,'[2]5. Demanda'!D$4:J$357,4,FALSE())</f>
        <v>residencial</v>
      </c>
      <c r="H234" s="63" t="str">
        <f aca="false">VLOOKUP($D234,'[2]5. Demanda'!$D$4:$J$357,5,FALSE())</f>
        <v>Cimitarra 115 kV</v>
      </c>
      <c r="I234" s="63" t="str">
        <f aca="false">VLOOKUP($D234,'[2]5. Demanda'!$D$4:$J$357,6,FALSE())</f>
        <v>Sí</v>
      </c>
      <c r="J234" s="102" t="str">
        <f aca="false">IF(VLOOKUP($D234,'[2]5. Demanda'!$D$4:$J$357,7,FALSE())=0,"",VLOOKUP($D234,'[2]5. Demanda'!$D$4:$J$357,7,FALSE()))</f>
        <v/>
      </c>
      <c r="K234" s="79" t="n">
        <v>0.301923635246977</v>
      </c>
      <c r="L234" s="79" t="n">
        <v>0.128618930024571</v>
      </c>
      <c r="M234" s="79" t="n">
        <v>0.495263836586537</v>
      </c>
      <c r="N234" s="79" t="n">
        <v>0.210981510902638</v>
      </c>
      <c r="O234" s="79" t="n">
        <v>0.537686709392852</v>
      </c>
      <c r="P234" s="79" t="n">
        <v>0.229053579041501</v>
      </c>
      <c r="Q234" s="80"/>
      <c r="R234" s="80"/>
      <c r="S234" s="80"/>
      <c r="T234" s="80"/>
      <c r="U234" s="80"/>
      <c r="V234" s="80"/>
      <c r="W234" s="80"/>
      <c r="X234" s="80"/>
      <c r="Y234" s="80"/>
      <c r="Z234" s="75"/>
    </row>
    <row r="235" customFormat="false" ht="15.75" hidden="false" customHeight="false" outlineLevel="0" collapsed="false">
      <c r="C235" s="69" t="n">
        <v>230</v>
      </c>
      <c r="D235" s="78" t="s">
        <v>1606</v>
      </c>
      <c r="E235" s="63" t="s">
        <v>1604</v>
      </c>
      <c r="F235" s="101" t="n">
        <f aca="false">VLOOKUP(D235,'[2]5. Demanda'!$D$4:$F$357,3,FALSE())</f>
        <v>13.8</v>
      </c>
      <c r="G235" s="63" t="str">
        <f aca="false">VLOOKUP(D235,'[2]5. Demanda'!D$4:J$357,4,FALSE())</f>
        <v>residencial</v>
      </c>
      <c r="H235" s="63" t="str">
        <f aca="false">VLOOKUP($D235,'[2]5. Demanda'!$D$4:$J$357,5,FALSE())</f>
        <v>Cimitarra 115 kV</v>
      </c>
      <c r="I235" s="63" t="str">
        <f aca="false">VLOOKUP($D235,'[2]5. Demanda'!$D$4:$J$357,6,FALSE())</f>
        <v>Sí</v>
      </c>
      <c r="J235" s="102" t="str">
        <f aca="false">IF(VLOOKUP($D235,'[2]5. Demanda'!$D$4:$J$357,7,FALSE())=0,"",VLOOKUP($D235,'[2]5. Demanda'!$D$4:$J$357,7,FALSE()))</f>
        <v/>
      </c>
      <c r="K235" s="79" t="n">
        <v>0.183451997613403</v>
      </c>
      <c r="L235" s="79" t="n">
        <v>0.0781502237299331</v>
      </c>
      <c r="M235" s="79" t="n">
        <v>0.286170494077188</v>
      </c>
      <c r="N235" s="79" t="n">
        <v>0.121908119987698</v>
      </c>
      <c r="O235" s="79" t="n">
        <v>0.348878238210984</v>
      </c>
      <c r="P235" s="79" t="n">
        <v>0.148621507126621</v>
      </c>
      <c r="Q235" s="80"/>
      <c r="R235" s="80"/>
      <c r="S235" s="80"/>
      <c r="T235" s="80"/>
      <c r="U235" s="80"/>
      <c r="V235" s="80"/>
      <c r="W235" s="80"/>
      <c r="X235" s="80"/>
      <c r="Y235" s="80"/>
      <c r="Z235" s="75"/>
    </row>
    <row r="236" customFormat="false" ht="15.75" hidden="false" customHeight="false" outlineLevel="0" collapsed="false">
      <c r="C236" s="69" t="n">
        <v>231</v>
      </c>
      <c r="D236" s="78" t="s">
        <v>1607</v>
      </c>
      <c r="E236" s="63" t="s">
        <v>1608</v>
      </c>
      <c r="F236" s="101" t="n">
        <f aca="false">VLOOKUP(D236,'[2]5. Demanda'!$D$4:$F$357,3,FALSE())</f>
        <v>13.8</v>
      </c>
      <c r="G236" s="63" t="str">
        <f aca="false">VLOOKUP(D236,'[2]5. Demanda'!D$4:J$357,4,FALSE())</f>
        <v>industrial</v>
      </c>
      <c r="H236" s="63" t="str">
        <f aca="false">VLOOKUP($D236,'[2]5. Demanda'!$D$4:$J$357,5,FALSE())</f>
        <v>San Gil 115 kV</v>
      </c>
      <c r="I236" s="63" t="str">
        <f aca="false">VLOOKUP($D236,'[2]5. Demanda'!$D$4:$J$357,6,FALSE())</f>
        <v>Sí</v>
      </c>
      <c r="J236" s="102" t="str">
        <f aca="false">IF(VLOOKUP($D236,'[2]5. Demanda'!$D$4:$J$357,7,FALSE())=0,"",VLOOKUP($D236,'[2]5. Demanda'!$D$4:$J$357,7,FALSE()))</f>
        <v/>
      </c>
      <c r="K236" s="79" t="n">
        <v>1.06630242251257</v>
      </c>
      <c r="L236" s="79" t="n">
        <v>0.454242929852068</v>
      </c>
      <c r="M236" s="79" t="n">
        <v>2.28307163882921</v>
      </c>
      <c r="N236" s="79" t="n">
        <v>0.972584445452406</v>
      </c>
      <c r="O236" s="79" t="n">
        <v>1.9721478086669</v>
      </c>
      <c r="P236" s="79" t="n">
        <v>0.840131448449026</v>
      </c>
      <c r="Q236" s="80"/>
      <c r="R236" s="80"/>
      <c r="S236" s="80"/>
      <c r="T236" s="80"/>
      <c r="U236" s="80"/>
      <c r="V236" s="80"/>
      <c r="W236" s="80"/>
      <c r="X236" s="80"/>
      <c r="Y236" s="80"/>
      <c r="Z236" s="75"/>
    </row>
    <row r="237" customFormat="false" ht="15.75" hidden="false" customHeight="false" outlineLevel="0" collapsed="false">
      <c r="C237" s="69" t="n">
        <v>232</v>
      </c>
      <c r="D237" s="78" t="s">
        <v>1609</v>
      </c>
      <c r="E237" s="63" t="s">
        <v>1608</v>
      </c>
      <c r="F237" s="101" t="n">
        <f aca="false">VLOOKUP(D237,'[2]5. Demanda'!$D$4:$F$357,3,FALSE())</f>
        <v>13.8</v>
      </c>
      <c r="G237" s="63" t="str">
        <f aca="false">VLOOKUP(D237,'[2]5. Demanda'!D$4:J$357,4,FALSE())</f>
        <v>residencial</v>
      </c>
      <c r="H237" s="63" t="str">
        <f aca="false">VLOOKUP($D237,'[2]5. Demanda'!$D$4:$J$357,5,FALSE())</f>
        <v>San Gil 115 kV</v>
      </c>
      <c r="I237" s="63" t="str">
        <f aca="false">VLOOKUP($D237,'[2]5. Demanda'!$D$4:$J$357,6,FALSE())</f>
        <v>Sí</v>
      </c>
      <c r="J237" s="102" t="str">
        <f aca="false">IF(VLOOKUP($D237,'[2]5. Demanda'!$D$4:$J$357,7,FALSE())=0,"",VLOOKUP($D237,'[2]5. Demanda'!$D$4:$J$357,7,FALSE()))</f>
        <v/>
      </c>
      <c r="K237" s="79" t="n">
        <v>1.66153168063752</v>
      </c>
      <c r="L237" s="79" t="n">
        <v>0.707809532005373</v>
      </c>
      <c r="M237" s="79" t="n">
        <v>2.78024250595158</v>
      </c>
      <c r="N237" s="79" t="n">
        <v>1.18437834796142</v>
      </c>
      <c r="O237" s="79" t="n">
        <v>3.12610509710809</v>
      </c>
      <c r="P237" s="79" t="n">
        <v>1.33171519482234</v>
      </c>
      <c r="Q237" s="80"/>
      <c r="R237" s="80"/>
      <c r="S237" s="80"/>
      <c r="T237" s="80"/>
      <c r="U237" s="80"/>
      <c r="V237" s="80"/>
      <c r="W237" s="80"/>
      <c r="X237" s="80"/>
      <c r="Y237" s="80"/>
      <c r="Z237" s="75"/>
    </row>
    <row r="238" customFormat="false" ht="15.75" hidden="false" customHeight="false" outlineLevel="0" collapsed="false">
      <c r="C238" s="69" t="n">
        <v>233</v>
      </c>
      <c r="D238" s="78" t="s">
        <v>1610</v>
      </c>
      <c r="E238" s="63" t="s">
        <v>1608</v>
      </c>
      <c r="F238" s="101" t="n">
        <f aca="false">VLOOKUP(D238,'[2]5. Demanda'!$D$4:$F$357,3,FALSE())</f>
        <v>13.8</v>
      </c>
      <c r="G238" s="63" t="str">
        <f aca="false">VLOOKUP(D238,'[2]5. Demanda'!D$4:J$357,4,FALSE())</f>
        <v>residencial</v>
      </c>
      <c r="H238" s="63" t="str">
        <f aca="false">VLOOKUP($D238,'[2]5. Demanda'!$D$4:$J$357,5,FALSE())</f>
        <v>San Gil 115 kV</v>
      </c>
      <c r="I238" s="63" t="str">
        <f aca="false">VLOOKUP($D238,'[2]5. Demanda'!$D$4:$J$357,6,FALSE())</f>
        <v>Sí</v>
      </c>
      <c r="J238" s="102" t="str">
        <f aca="false">IF(VLOOKUP($D238,'[2]5. Demanda'!$D$4:$J$357,7,FALSE())=0,"",VLOOKUP($D238,'[2]5. Demanda'!$D$4:$J$357,7,FALSE()))</f>
        <v/>
      </c>
      <c r="K238" s="79" t="n">
        <v>0.729736042634335</v>
      </c>
      <c r="L238" s="79" t="n">
        <v>0.31086625241252</v>
      </c>
      <c r="M238" s="79" t="n">
        <v>1.18226165202626</v>
      </c>
      <c r="N238" s="79" t="n">
        <v>0.503641354769429</v>
      </c>
      <c r="O238" s="79" t="n">
        <v>1.40691078339958</v>
      </c>
      <c r="P238" s="79" t="n">
        <v>0.599341483991012</v>
      </c>
      <c r="Q238" s="80"/>
      <c r="R238" s="80"/>
      <c r="S238" s="80"/>
      <c r="T238" s="80"/>
      <c r="U238" s="80"/>
      <c r="V238" s="80"/>
      <c r="W238" s="80"/>
      <c r="X238" s="80"/>
      <c r="Y238" s="80"/>
      <c r="Z238" s="75"/>
    </row>
    <row r="239" customFormat="false" ht="15.75" hidden="false" customHeight="false" outlineLevel="0" collapsed="false">
      <c r="C239" s="69" t="n">
        <v>234</v>
      </c>
      <c r="D239" s="78" t="s">
        <v>1611</v>
      </c>
      <c r="E239" s="63" t="s">
        <v>1608</v>
      </c>
      <c r="F239" s="101" t="n">
        <f aca="false">VLOOKUP(D239,'[2]5. Demanda'!$D$4:$F$357,3,FALSE())</f>
        <v>13.8</v>
      </c>
      <c r="G239" s="63" t="str">
        <f aca="false">VLOOKUP(D239,'[2]5. Demanda'!D$4:J$357,4,FALSE())</f>
        <v>residencial</v>
      </c>
      <c r="H239" s="63" t="str">
        <f aca="false">VLOOKUP($D239,'[2]5. Demanda'!$D$4:$J$357,5,FALSE())</f>
        <v>San Gil 115 kV</v>
      </c>
      <c r="I239" s="63" t="str">
        <f aca="false">VLOOKUP($D239,'[2]5. Demanda'!$D$4:$J$357,6,FALSE())</f>
        <v>Sí</v>
      </c>
      <c r="J239" s="102" t="str">
        <f aca="false">IF(VLOOKUP($D239,'[2]5. Demanda'!$D$4:$J$357,7,FALSE())=0,"",VLOOKUP($D239,'[2]5. Demanda'!$D$4:$J$357,7,FALSE()))</f>
        <v/>
      </c>
      <c r="K239" s="79" t="n">
        <v>1.17346698518681</v>
      </c>
      <c r="L239" s="79" t="n">
        <v>0.499894842384309</v>
      </c>
      <c r="M239" s="79" t="n">
        <v>2.12694549798651</v>
      </c>
      <c r="N239" s="79" t="n">
        <v>0.906074987961183</v>
      </c>
      <c r="O239" s="79" t="n">
        <v>2.32497131362419</v>
      </c>
      <c r="P239" s="79" t="n">
        <v>0.990433632171755</v>
      </c>
      <c r="Q239" s="80"/>
      <c r="R239" s="80"/>
      <c r="S239" s="80"/>
      <c r="T239" s="80"/>
      <c r="U239" s="80"/>
      <c r="V239" s="80"/>
      <c r="W239" s="80"/>
      <c r="X239" s="80"/>
      <c r="Y239" s="80"/>
      <c r="Z239" s="75"/>
    </row>
    <row r="240" customFormat="false" ht="15.75" hidden="false" customHeight="false" outlineLevel="0" collapsed="false">
      <c r="C240" s="69" t="n">
        <v>235</v>
      </c>
      <c r="D240" s="78" t="s">
        <v>1612</v>
      </c>
      <c r="E240" s="63" t="s">
        <v>1608</v>
      </c>
      <c r="F240" s="101" t="n">
        <f aca="false">VLOOKUP(D240,'[2]5. Demanda'!$D$4:$F$357,3,FALSE())</f>
        <v>13.8</v>
      </c>
      <c r="G240" s="63" t="str">
        <f aca="false">VLOOKUP(D240,'[2]5. Demanda'!D$4:J$357,4,FALSE())</f>
        <v>residencial</v>
      </c>
      <c r="H240" s="63" t="str">
        <f aca="false">VLOOKUP($D240,'[2]5. Demanda'!$D$4:$J$357,5,FALSE())</f>
        <v>San Gil 115 kV</v>
      </c>
      <c r="I240" s="63" t="str">
        <f aca="false">VLOOKUP($D240,'[2]5. Demanda'!$D$4:$J$357,6,FALSE())</f>
        <v>Sí</v>
      </c>
      <c r="J240" s="102" t="str">
        <f aca="false">IF(VLOOKUP($D240,'[2]5. Demanda'!$D$4:$J$357,7,FALSE())=0,"",VLOOKUP($D240,'[2]5. Demanda'!$D$4:$J$357,7,FALSE()))</f>
        <v/>
      </c>
      <c r="K240" s="79" t="n">
        <v>0.827583873437071</v>
      </c>
      <c r="L240" s="79" t="n">
        <v>0.352549253787283</v>
      </c>
      <c r="M240" s="79" t="n">
        <v>1.23620855738007</v>
      </c>
      <c r="N240" s="79" t="n">
        <v>0.526622640216222</v>
      </c>
      <c r="O240" s="79" t="n">
        <v>1.42518755803845</v>
      </c>
      <c r="P240" s="79" t="n">
        <v>0.607127357383892</v>
      </c>
      <c r="Q240" s="80"/>
      <c r="R240" s="80"/>
      <c r="S240" s="80"/>
      <c r="T240" s="80"/>
      <c r="U240" s="80"/>
      <c r="V240" s="80"/>
      <c r="W240" s="80"/>
      <c r="X240" s="80"/>
      <c r="Y240" s="80"/>
      <c r="Z240" s="75"/>
    </row>
    <row r="241" customFormat="false" ht="15.75" hidden="false" customHeight="false" outlineLevel="0" collapsed="false">
      <c r="C241" s="69" t="n">
        <v>236</v>
      </c>
      <c r="D241" s="78" t="s">
        <v>1613</v>
      </c>
      <c r="E241" s="63" t="s">
        <v>1608</v>
      </c>
      <c r="F241" s="101" t="n">
        <f aca="false">VLOOKUP(D241,'[2]5. Demanda'!$D$4:$F$357,3,FALSE())</f>
        <v>13.8</v>
      </c>
      <c r="G241" s="63" t="str">
        <f aca="false">VLOOKUP(D241,'[2]5. Demanda'!D$4:J$357,4,FALSE())</f>
        <v>residencial</v>
      </c>
      <c r="H241" s="63" t="str">
        <f aca="false">VLOOKUP($D241,'[2]5. Demanda'!$D$4:$J$357,5,FALSE())</f>
        <v>San Gil 115 kV</v>
      </c>
      <c r="I241" s="63" t="str">
        <f aca="false">VLOOKUP($D241,'[2]5. Demanda'!$D$4:$J$357,6,FALSE())</f>
        <v>Sí</v>
      </c>
      <c r="J241" s="102" t="str">
        <f aca="false">IF(VLOOKUP($D241,'[2]5. Demanda'!$D$4:$J$357,7,FALSE())=0,"",VLOOKUP($D241,'[2]5. Demanda'!$D$4:$J$357,7,FALSE()))</f>
        <v/>
      </c>
      <c r="K241" s="79" t="n">
        <v>0.665916162227096</v>
      </c>
      <c r="L241" s="79" t="n">
        <v>0.28367909720501</v>
      </c>
      <c r="M241" s="79" t="n">
        <v>0.975220718453174</v>
      </c>
      <c r="N241" s="79" t="n">
        <v>0.41544228640012</v>
      </c>
      <c r="O241" s="79" t="n">
        <v>1.04136406640174</v>
      </c>
      <c r="P241" s="79" t="n">
        <v>0.443619234635484</v>
      </c>
      <c r="Q241" s="80"/>
      <c r="R241" s="80"/>
      <c r="S241" s="80"/>
      <c r="T241" s="80"/>
      <c r="U241" s="80"/>
      <c r="V241" s="80"/>
      <c r="W241" s="80"/>
      <c r="X241" s="80"/>
      <c r="Y241" s="80"/>
      <c r="Z241" s="75"/>
    </row>
    <row r="242" customFormat="false" ht="15.75" hidden="false" customHeight="false" outlineLevel="0" collapsed="false">
      <c r="C242" s="69" t="n">
        <v>237</v>
      </c>
      <c r="D242" s="78" t="s">
        <v>1614</v>
      </c>
      <c r="E242" s="63" t="s">
        <v>1608</v>
      </c>
      <c r="F242" s="101" t="n">
        <f aca="false">VLOOKUP(D242,'[2]5. Demanda'!$D$4:$F$357,3,FALSE())</f>
        <v>13.8</v>
      </c>
      <c r="G242" s="63" t="str">
        <f aca="false">VLOOKUP(D242,'[2]5. Demanda'!D$4:J$357,4,FALSE())</f>
        <v>residencial</v>
      </c>
      <c r="H242" s="63" t="str">
        <f aca="false">VLOOKUP($D242,'[2]5. Demanda'!$D$4:$J$357,5,FALSE())</f>
        <v>San Gil 115 kV</v>
      </c>
      <c r="I242" s="63" t="str">
        <f aca="false">VLOOKUP($D242,'[2]5. Demanda'!$D$4:$J$357,6,FALSE())</f>
        <v>Sí</v>
      </c>
      <c r="J242" s="102" t="str">
        <f aca="false">IF(VLOOKUP($D242,'[2]5. Demanda'!$D$4:$J$357,7,FALSE())=0,"",VLOOKUP($D242,'[2]5. Demanda'!$D$4:$J$357,7,FALSE()))</f>
        <v/>
      </c>
      <c r="K242" s="79" t="n">
        <v>0.775071905377215</v>
      </c>
      <c r="L242" s="79" t="n">
        <v>0.330179249067983</v>
      </c>
      <c r="M242" s="79" t="n">
        <v>1.25843788490401</v>
      </c>
      <c r="N242" s="79" t="n">
        <v>0.536092294087326</v>
      </c>
      <c r="O242" s="79" t="n">
        <v>1.44828667353445</v>
      </c>
      <c r="P242" s="79" t="n">
        <v>0.616967539379516</v>
      </c>
      <c r="Q242" s="80"/>
      <c r="R242" s="80"/>
      <c r="S242" s="80"/>
      <c r="T242" s="80"/>
      <c r="U242" s="80"/>
      <c r="V242" s="80"/>
      <c r="W242" s="80"/>
      <c r="X242" s="80"/>
      <c r="Y242" s="80"/>
      <c r="Z242" s="75"/>
    </row>
    <row r="243" customFormat="false" ht="15.75" hidden="false" customHeight="false" outlineLevel="0" collapsed="false">
      <c r="C243" s="69" t="n">
        <v>238</v>
      </c>
      <c r="D243" s="78" t="s">
        <v>1615</v>
      </c>
      <c r="E243" s="63" t="s">
        <v>1608</v>
      </c>
      <c r="F243" s="101" t="n">
        <f aca="false">VLOOKUP(D243,'[2]5. Demanda'!$D$4:$F$357,3,FALSE())</f>
        <v>13.8</v>
      </c>
      <c r="G243" s="63" t="str">
        <f aca="false">VLOOKUP(D243,'[2]5. Demanda'!D$4:J$357,4,FALSE())</f>
        <v>residencial</v>
      </c>
      <c r="H243" s="63" t="str">
        <f aca="false">VLOOKUP($D243,'[2]5. Demanda'!$D$4:$J$357,5,FALSE())</f>
        <v>San Gil 115 kV</v>
      </c>
      <c r="I243" s="63" t="str">
        <f aca="false">VLOOKUP($D243,'[2]5. Demanda'!$D$4:$J$357,6,FALSE())</f>
        <v>Sí</v>
      </c>
      <c r="J243" s="102" t="str">
        <f aca="false">IF(VLOOKUP($D243,'[2]5. Demanda'!$D$4:$J$357,7,FALSE())=0,"",VLOOKUP($D243,'[2]5. Demanda'!$D$4:$J$357,7,FALSE()))</f>
        <v/>
      </c>
      <c r="K243" s="79" t="n">
        <v>0.746746007554148</v>
      </c>
      <c r="L243" s="79" t="n">
        <v>0.3181124671249</v>
      </c>
      <c r="M243" s="79" t="n">
        <v>1.17640267188464</v>
      </c>
      <c r="N243" s="79" t="n">
        <v>0.50114543968072</v>
      </c>
      <c r="O243" s="79" t="n">
        <v>1.3483346676056</v>
      </c>
      <c r="P243" s="79" t="n">
        <v>0.574388163154587</v>
      </c>
      <c r="Q243" s="80"/>
      <c r="R243" s="80"/>
      <c r="S243" s="80"/>
      <c r="T243" s="80"/>
      <c r="U243" s="80"/>
      <c r="V243" s="80"/>
      <c r="W243" s="80"/>
      <c r="X243" s="80"/>
      <c r="Y243" s="80"/>
      <c r="Z243" s="75"/>
    </row>
    <row r="244" customFormat="false" ht="15.75" hidden="false" customHeight="false" outlineLevel="0" collapsed="false">
      <c r="C244" s="69" t="n">
        <v>239</v>
      </c>
      <c r="D244" s="78" t="s">
        <v>1616</v>
      </c>
      <c r="E244" s="63" t="s">
        <v>1608</v>
      </c>
      <c r="F244" s="101" t="n">
        <f aca="false">VLOOKUP(D244,'[2]5. Demanda'!$D$4:$F$357,3,FALSE())</f>
        <v>13.8</v>
      </c>
      <c r="G244" s="63" t="str">
        <f aca="false">VLOOKUP(D244,'[2]5. Demanda'!D$4:J$357,4,FALSE())</f>
        <v>residencial</v>
      </c>
      <c r="H244" s="63" t="str">
        <f aca="false">VLOOKUP($D244,'[2]5. Demanda'!$D$4:$J$357,5,FALSE())</f>
        <v>San Gil 115 kV</v>
      </c>
      <c r="I244" s="63" t="str">
        <f aca="false">VLOOKUP($D244,'[2]5. Demanda'!$D$4:$J$357,6,FALSE())</f>
        <v>Sí</v>
      </c>
      <c r="J244" s="102" t="str">
        <f aca="false">IF(VLOOKUP($D244,'[2]5. Demanda'!$D$4:$J$357,7,FALSE())=0,"",VLOOKUP($D244,'[2]5. Demanda'!$D$4:$J$357,7,FALSE()))</f>
        <v/>
      </c>
      <c r="K244" s="79" t="n">
        <v>0.981897362285322</v>
      </c>
      <c r="L244" s="79" t="n">
        <v>0.418286524762392</v>
      </c>
      <c r="M244" s="79" t="n">
        <v>1.39030559321491</v>
      </c>
      <c r="N244" s="79" t="n">
        <v>0.59226770259374</v>
      </c>
      <c r="O244" s="79" t="n">
        <v>1.84789021789985</v>
      </c>
      <c r="P244" s="79" t="n">
        <v>0.787197936440881</v>
      </c>
      <c r="Q244" s="80"/>
      <c r="R244" s="80"/>
      <c r="S244" s="80"/>
      <c r="T244" s="80"/>
      <c r="U244" s="80"/>
      <c r="V244" s="80"/>
      <c r="W244" s="80"/>
      <c r="X244" s="80"/>
      <c r="Y244" s="80"/>
      <c r="Z244" s="75"/>
    </row>
    <row r="245" customFormat="false" ht="15.75" hidden="false" customHeight="false" outlineLevel="0" collapsed="false">
      <c r="C245" s="69" t="n">
        <v>240</v>
      </c>
      <c r="D245" s="78" t="s">
        <v>1617</v>
      </c>
      <c r="E245" s="63" t="s">
        <v>1618</v>
      </c>
      <c r="F245" s="101" t="n">
        <f aca="false">VLOOKUP(D245,'[2]5. Demanda'!$D$4:$F$357,3,FALSE())</f>
        <v>13.8</v>
      </c>
      <c r="G245" s="63" t="str">
        <f aca="false">VLOOKUP(D245,'[2]5. Demanda'!D$4:J$357,4,FALSE())</f>
        <v>residencial</v>
      </c>
      <c r="H245" s="63" t="str">
        <f aca="false">VLOOKUP($D245,'[2]5. Demanda'!$D$4:$J$357,5,FALSE())</f>
        <v>San Gil  115 kV</v>
      </c>
      <c r="I245" s="63" t="str">
        <f aca="false">VLOOKUP($D245,'[2]5. Demanda'!$D$4:$J$357,6,FALSE())</f>
        <v>No</v>
      </c>
      <c r="J245" s="102" t="n">
        <f aca="false">IF(VLOOKUP($D245,'[2]5. Demanda'!$D$4:$J$357,7,FALSE())=0,"",VLOOKUP($D245,'[2]5. Demanda'!$D$4:$J$357,7,FALSE()))</f>
        <v>45855</v>
      </c>
      <c r="K245" s="79" t="n">
        <v>0.1076</v>
      </c>
      <c r="L245" s="79" t="n">
        <v>0.02069</v>
      </c>
      <c r="M245" s="79" t="n">
        <v>0.18482</v>
      </c>
      <c r="N245" s="79" t="n">
        <v>0.05711</v>
      </c>
      <c r="O245" s="79" t="n">
        <v>0.20459</v>
      </c>
      <c r="P245" s="79" t="n">
        <v>0.03468</v>
      </c>
      <c r="Q245" s="80"/>
      <c r="R245" s="80"/>
      <c r="S245" s="80"/>
      <c r="T245" s="80"/>
      <c r="U245" s="80"/>
      <c r="V245" s="80"/>
      <c r="W245" s="80"/>
      <c r="X245" s="80"/>
      <c r="Y245" s="80"/>
      <c r="Z245" s="75"/>
    </row>
    <row r="246" customFormat="false" ht="15.75" hidden="false" customHeight="false" outlineLevel="0" collapsed="false">
      <c r="C246" s="69" t="n">
        <v>241</v>
      </c>
      <c r="D246" s="78" t="s">
        <v>1619</v>
      </c>
      <c r="E246" s="63" t="s">
        <v>1618</v>
      </c>
      <c r="F246" s="101" t="n">
        <f aca="false">VLOOKUP(D246,'[2]5. Demanda'!$D$4:$F$357,3,FALSE())</f>
        <v>13.8</v>
      </c>
      <c r="G246" s="63" t="str">
        <f aca="false">VLOOKUP(D246,'[2]5. Demanda'!D$4:J$357,4,FALSE())</f>
        <v>residencial</v>
      </c>
      <c r="H246" s="63" t="str">
        <f aca="false">VLOOKUP($D246,'[2]5. Demanda'!$D$4:$J$357,5,FALSE())</f>
        <v>San Gil  115 kV</v>
      </c>
      <c r="I246" s="63" t="str">
        <f aca="false">VLOOKUP($D246,'[2]5. Demanda'!$D$4:$J$357,6,FALSE())</f>
        <v>No</v>
      </c>
      <c r="J246" s="102" t="n">
        <f aca="false">IF(VLOOKUP($D246,'[2]5. Demanda'!$D$4:$J$357,7,FALSE())=0,"",VLOOKUP($D246,'[2]5. Demanda'!$D$4:$J$357,7,FALSE()))</f>
        <v>45855</v>
      </c>
      <c r="K246" s="79" t="n">
        <v>0.11352</v>
      </c>
      <c r="L246" s="79" t="n">
        <v>0.02183</v>
      </c>
      <c r="M246" s="79" t="n">
        <v>0.195</v>
      </c>
      <c r="N246" s="79" t="n">
        <v>0.06025</v>
      </c>
      <c r="O246" s="79" t="n">
        <v>0.21586</v>
      </c>
      <c r="P246" s="79" t="n">
        <v>0.03659</v>
      </c>
      <c r="Q246" s="80"/>
      <c r="R246" s="80"/>
      <c r="S246" s="80"/>
      <c r="T246" s="80"/>
      <c r="U246" s="80"/>
      <c r="V246" s="80"/>
      <c r="W246" s="80"/>
      <c r="X246" s="80"/>
      <c r="Y246" s="80"/>
      <c r="Z246" s="75"/>
    </row>
    <row r="247" customFormat="false" ht="15.75" hidden="false" customHeight="false" outlineLevel="0" collapsed="false">
      <c r="C247" s="69" t="n">
        <v>242</v>
      </c>
      <c r="D247" s="78" t="s">
        <v>1620</v>
      </c>
      <c r="E247" s="63" t="s">
        <v>1618</v>
      </c>
      <c r="F247" s="101" t="n">
        <f aca="false">VLOOKUP(D247,'[2]5. Demanda'!$D$4:$F$357,3,FALSE())</f>
        <v>13.8</v>
      </c>
      <c r="G247" s="63" t="str">
        <f aca="false">VLOOKUP(D247,'[2]5. Demanda'!D$4:J$357,4,FALSE())</f>
        <v>residencial</v>
      </c>
      <c r="H247" s="63" t="str">
        <f aca="false">VLOOKUP($D247,'[2]5. Demanda'!$D$4:$J$357,5,FALSE())</f>
        <v>San Gil  115 kV</v>
      </c>
      <c r="I247" s="63" t="str">
        <f aca="false">VLOOKUP($D247,'[2]5. Demanda'!$D$4:$J$357,6,FALSE())</f>
        <v>No</v>
      </c>
      <c r="J247" s="102" t="n">
        <f aca="false">IF(VLOOKUP($D247,'[2]5. Demanda'!$D$4:$J$357,7,FALSE())=0,"",VLOOKUP($D247,'[2]5. Demanda'!$D$4:$J$357,7,FALSE()))</f>
        <v>45855</v>
      </c>
      <c r="K247" s="79" t="n">
        <v>0.16596</v>
      </c>
      <c r="L247" s="79" t="n">
        <v>0.03191</v>
      </c>
      <c r="M247" s="79" t="n">
        <v>0.28508</v>
      </c>
      <c r="N247" s="79" t="n">
        <v>0.08809</v>
      </c>
      <c r="O247" s="79" t="n">
        <v>0.31557</v>
      </c>
      <c r="P247" s="79" t="n">
        <v>0.05349</v>
      </c>
      <c r="Q247" s="80"/>
      <c r="R247" s="80"/>
      <c r="S247" s="80"/>
      <c r="T247" s="80"/>
      <c r="U247" s="80"/>
      <c r="V247" s="80"/>
      <c r="W247" s="80"/>
      <c r="X247" s="80"/>
      <c r="Y247" s="80"/>
      <c r="Z247" s="75"/>
    </row>
    <row r="248" customFormat="false" ht="15.75" hidden="false" customHeight="false" outlineLevel="0" collapsed="false">
      <c r="C248" s="69" t="n">
        <v>243</v>
      </c>
      <c r="D248" s="78" t="s">
        <v>1621</v>
      </c>
      <c r="E248" s="63" t="s">
        <v>1618</v>
      </c>
      <c r="F248" s="101" t="n">
        <f aca="false">VLOOKUP(D248,'[2]5. Demanda'!$D$4:$F$357,3,FALSE())</f>
        <v>13.8</v>
      </c>
      <c r="G248" s="63" t="str">
        <f aca="false">VLOOKUP(D248,'[2]5. Demanda'!D$4:J$357,4,FALSE())</f>
        <v>residencial</v>
      </c>
      <c r="H248" s="63" t="str">
        <f aca="false">VLOOKUP($D248,'[2]5. Demanda'!$D$4:$J$357,5,FALSE())</f>
        <v>San Gil  115 kV</v>
      </c>
      <c r="I248" s="63" t="str">
        <f aca="false">VLOOKUP($D248,'[2]5. Demanda'!$D$4:$J$357,6,FALSE())</f>
        <v>No</v>
      </c>
      <c r="J248" s="102" t="n">
        <f aca="false">IF(VLOOKUP($D248,'[2]5. Demanda'!$D$4:$J$357,7,FALSE())=0,"",VLOOKUP($D248,'[2]5. Demanda'!$D$4:$J$357,7,FALSE()))</f>
        <v>45855</v>
      </c>
      <c r="K248" s="79" t="n">
        <v>0.23798</v>
      </c>
      <c r="L248" s="79" t="n">
        <v>0.04576</v>
      </c>
      <c r="M248" s="79" t="n">
        <v>0.40878</v>
      </c>
      <c r="N248" s="79" t="n">
        <v>0.12631</v>
      </c>
      <c r="O248" s="79" t="n">
        <v>0.45251</v>
      </c>
      <c r="P248" s="79" t="n">
        <v>0.07669</v>
      </c>
      <c r="Q248" s="80"/>
      <c r="R248" s="80"/>
      <c r="S248" s="80"/>
      <c r="T248" s="80"/>
      <c r="U248" s="80"/>
      <c r="V248" s="80"/>
      <c r="W248" s="80"/>
      <c r="X248" s="80"/>
      <c r="Y248" s="80"/>
      <c r="Z248" s="75"/>
    </row>
    <row r="249" customFormat="false" ht="15.75" hidden="false" customHeight="false" outlineLevel="0" collapsed="false">
      <c r="C249" s="69" t="n">
        <v>244</v>
      </c>
      <c r="D249" s="78" t="s">
        <v>1622</v>
      </c>
      <c r="E249" s="63" t="s">
        <v>1623</v>
      </c>
      <c r="F249" s="101" t="n">
        <f aca="false">VLOOKUP(D249,'[2]5. Demanda'!$D$4:$F$357,3,FALSE())</f>
        <v>13.8</v>
      </c>
      <c r="G249" s="63" t="str">
        <f aca="false">VLOOKUP(D249,'[2]5. Demanda'!D$4:J$357,4,FALSE())</f>
        <v>residencial</v>
      </c>
      <c r="H249" s="63" t="str">
        <f aca="false">VLOOKUP($D249,'[2]5. Demanda'!$D$4:$J$357,5,FALSE())</f>
        <v>San Gil  115 kV</v>
      </c>
      <c r="I249" s="63" t="str">
        <f aca="false">VLOOKUP($D249,'[2]5. Demanda'!$D$4:$J$357,6,FALSE())</f>
        <v>No</v>
      </c>
      <c r="J249" s="102" t="n">
        <f aca="false">IF(VLOOKUP($D249,'[2]5. Demanda'!$D$4:$J$357,7,FALSE())=0,"",VLOOKUP($D249,'[2]5. Demanda'!$D$4:$J$357,7,FALSE()))</f>
        <v>45855</v>
      </c>
      <c r="K249" s="79" t="n">
        <v>0.06665</v>
      </c>
      <c r="L249" s="79" t="n">
        <v>0.01281</v>
      </c>
      <c r="M249" s="79" t="n">
        <v>0.11448</v>
      </c>
      <c r="N249" s="79" t="n">
        <v>0.03537</v>
      </c>
      <c r="O249" s="79" t="n">
        <v>0.12673</v>
      </c>
      <c r="P249" s="79" t="n">
        <v>0.02148</v>
      </c>
      <c r="Q249" s="80"/>
      <c r="R249" s="80"/>
      <c r="S249" s="80"/>
      <c r="T249" s="80"/>
      <c r="U249" s="80"/>
      <c r="V249" s="80"/>
      <c r="W249" s="80"/>
      <c r="X249" s="80"/>
      <c r="Y249" s="80"/>
      <c r="Z249" s="75"/>
    </row>
    <row r="250" customFormat="false" ht="15.75" hidden="false" customHeight="false" outlineLevel="0" collapsed="false">
      <c r="C250" s="69" t="n">
        <v>245</v>
      </c>
      <c r="D250" s="78" t="s">
        <v>1624</v>
      </c>
      <c r="E250" s="63" t="s">
        <v>1625</v>
      </c>
      <c r="F250" s="101" t="n">
        <f aca="false">VLOOKUP(D250,'[2]5. Demanda'!$D$4:$F$357,3,FALSE())</f>
        <v>13.8</v>
      </c>
      <c r="G250" s="63" t="str">
        <f aca="false">VLOOKUP(D250,'[2]5. Demanda'!D$4:J$357,4,FALSE())</f>
        <v>residencial</v>
      </c>
      <c r="H250" s="63" t="str">
        <f aca="false">VLOOKUP($D250,'[2]5. Demanda'!$D$4:$J$357,5,FALSE())</f>
        <v>San Gil 115 kV</v>
      </c>
      <c r="I250" s="63" t="str">
        <f aca="false">VLOOKUP($D250,'[2]5. Demanda'!$D$4:$J$357,6,FALSE())</f>
        <v>Sí</v>
      </c>
      <c r="J250" s="102" t="str">
        <f aca="false">IF(VLOOKUP($D250,'[2]5. Demanda'!$D$4:$J$357,7,FALSE())=0,"",VLOOKUP($D250,'[2]5. Demanda'!$D$4:$J$357,7,FALSE()))</f>
        <v/>
      </c>
      <c r="K250" s="79" t="n">
        <v>0.807770694716174</v>
      </c>
      <c r="L250" s="79" t="n">
        <v>0.344108874996193</v>
      </c>
      <c r="M250" s="79" t="n">
        <v>1.23819554664589</v>
      </c>
      <c r="N250" s="79" t="n">
        <v>0.527469094098941</v>
      </c>
      <c r="O250" s="79" t="n">
        <v>1.47748338074577</v>
      </c>
      <c r="P250" s="79" t="n">
        <v>0.629405284568587</v>
      </c>
      <c r="Q250" s="80"/>
      <c r="R250" s="80"/>
      <c r="S250" s="80"/>
      <c r="T250" s="80"/>
      <c r="U250" s="80"/>
      <c r="V250" s="80"/>
      <c r="W250" s="80"/>
      <c r="X250" s="80"/>
      <c r="Y250" s="80"/>
      <c r="Z250" s="75"/>
    </row>
    <row r="251" customFormat="false" ht="15.75" hidden="false" customHeight="false" outlineLevel="0" collapsed="false">
      <c r="C251" s="69" t="n">
        <v>246</v>
      </c>
      <c r="D251" s="78" t="s">
        <v>1626</v>
      </c>
      <c r="E251" s="63" t="s">
        <v>1625</v>
      </c>
      <c r="F251" s="101" t="n">
        <f aca="false">VLOOKUP(D251,'[2]5. Demanda'!$D$4:$F$357,3,FALSE())</f>
        <v>13.8</v>
      </c>
      <c r="G251" s="63" t="str">
        <f aca="false">VLOOKUP(D251,'[2]5. Demanda'!D$4:J$357,4,FALSE())</f>
        <v>industrial</v>
      </c>
      <c r="H251" s="63" t="str">
        <f aca="false">VLOOKUP($D251,'[2]5. Demanda'!$D$4:$J$357,5,FALSE())</f>
        <v>San Gil 115 kV</v>
      </c>
      <c r="I251" s="63" t="str">
        <f aca="false">VLOOKUP($D251,'[2]5. Demanda'!$D$4:$J$357,6,FALSE())</f>
        <v>Sí</v>
      </c>
      <c r="J251" s="102" t="str">
        <f aca="false">IF(VLOOKUP($D251,'[2]5. Demanda'!$D$4:$J$357,7,FALSE())=0,"",VLOOKUP($D251,'[2]5. Demanda'!$D$4:$J$357,7,FALSE()))</f>
        <v/>
      </c>
      <c r="K251" s="79" t="n">
        <v>0.514375532352397</v>
      </c>
      <c r="L251" s="79" t="n">
        <v>0.219123059206232</v>
      </c>
      <c r="M251" s="79" t="n">
        <v>1.02712627839961</v>
      </c>
      <c r="N251" s="79" t="n">
        <v>0.437553962344851</v>
      </c>
      <c r="O251" s="79" t="n">
        <v>0.819672686649113</v>
      </c>
      <c r="P251" s="79" t="n">
        <v>0.349179102328093</v>
      </c>
      <c r="Q251" s="80"/>
      <c r="R251" s="80"/>
      <c r="S251" s="80"/>
      <c r="T251" s="80"/>
      <c r="U251" s="80"/>
      <c r="V251" s="80"/>
      <c r="W251" s="80"/>
      <c r="X251" s="80"/>
      <c r="Y251" s="80"/>
      <c r="Z251" s="75"/>
    </row>
    <row r="252" customFormat="false" ht="15.75" hidden="false" customHeight="false" outlineLevel="0" collapsed="false">
      <c r="C252" s="69" t="n">
        <v>247</v>
      </c>
      <c r="D252" s="78" t="s">
        <v>1627</v>
      </c>
      <c r="E252" s="63" t="s">
        <v>1625</v>
      </c>
      <c r="F252" s="101" t="n">
        <f aca="false">VLOOKUP(D252,'[2]5. Demanda'!$D$4:$F$357,3,FALSE())</f>
        <v>13.8</v>
      </c>
      <c r="G252" s="63" t="str">
        <f aca="false">VLOOKUP(D252,'[2]5. Demanda'!D$4:J$357,4,FALSE())</f>
        <v>residencial</v>
      </c>
      <c r="H252" s="63" t="str">
        <f aca="false">VLOOKUP($D252,'[2]5. Demanda'!$D$4:$J$357,5,FALSE())</f>
        <v>San Gil 115 kV</v>
      </c>
      <c r="I252" s="63" t="str">
        <f aca="false">VLOOKUP($D252,'[2]5. Demanda'!$D$4:$J$357,6,FALSE())</f>
        <v>Sí</v>
      </c>
      <c r="J252" s="102" t="str">
        <f aca="false">IF(VLOOKUP($D252,'[2]5. Demanda'!$D$4:$J$357,7,FALSE())=0,"",VLOOKUP($D252,'[2]5. Demanda'!$D$4:$J$357,7,FALSE()))</f>
        <v/>
      </c>
      <c r="K252" s="79" t="n">
        <v>0.304861441440789</v>
      </c>
      <c r="L252" s="79" t="n">
        <v>0.129870430222488</v>
      </c>
      <c r="M252" s="79" t="n">
        <v>0.416099355060387</v>
      </c>
      <c r="N252" s="79" t="n">
        <v>0.17725758299115</v>
      </c>
      <c r="O252" s="79" t="n">
        <v>0.511772098771494</v>
      </c>
      <c r="P252" s="79" t="n">
        <v>0.218014001144938</v>
      </c>
      <c r="Q252" s="80"/>
      <c r="R252" s="80"/>
      <c r="S252" s="80"/>
      <c r="T252" s="80"/>
      <c r="U252" s="80"/>
      <c r="V252" s="80"/>
      <c r="W252" s="80"/>
      <c r="X252" s="80"/>
      <c r="Y252" s="80"/>
      <c r="Z252" s="75"/>
    </row>
    <row r="253" customFormat="false" ht="15.75" hidden="false" customHeight="false" outlineLevel="0" collapsed="false">
      <c r="C253" s="69" t="n">
        <v>248</v>
      </c>
      <c r="D253" s="78" t="s">
        <v>1628</v>
      </c>
      <c r="E253" s="63" t="s">
        <v>1625</v>
      </c>
      <c r="F253" s="101" t="n">
        <f aca="false">VLOOKUP(D253,'[2]5. Demanda'!$D$4:$F$357,3,FALSE())</f>
        <v>13.8</v>
      </c>
      <c r="G253" s="63" t="str">
        <f aca="false">VLOOKUP(D253,'[2]5. Demanda'!D$4:J$357,4,FALSE())</f>
        <v>residencial</v>
      </c>
      <c r="H253" s="63" t="str">
        <f aca="false">VLOOKUP($D253,'[2]5. Demanda'!$D$4:$J$357,5,FALSE())</f>
        <v>San Gil 115 kV</v>
      </c>
      <c r="I253" s="63" t="str">
        <f aca="false">VLOOKUP($D253,'[2]5. Demanda'!$D$4:$J$357,6,FALSE())</f>
        <v>Sí</v>
      </c>
      <c r="J253" s="102" t="str">
        <f aca="false">IF(VLOOKUP($D253,'[2]5. Demanda'!$D$4:$J$357,7,FALSE())=0,"",VLOOKUP($D253,'[2]5. Demanda'!$D$4:$J$357,7,FALSE()))</f>
        <v/>
      </c>
      <c r="K253" s="79" t="n">
        <v>0.370169261527863</v>
      </c>
      <c r="L253" s="79" t="n">
        <v>0.157691445079326</v>
      </c>
      <c r="M253" s="79" t="n">
        <v>0.40022909802784</v>
      </c>
      <c r="N253" s="79" t="n">
        <v>0.170496881805662</v>
      </c>
      <c r="O253" s="79" t="n">
        <v>0.541831746035402</v>
      </c>
      <c r="P253" s="79" t="n">
        <v>0.230819357257047</v>
      </c>
      <c r="Q253" s="80"/>
      <c r="R253" s="80"/>
      <c r="S253" s="80"/>
      <c r="T253" s="80"/>
      <c r="U253" s="80"/>
      <c r="V253" s="80"/>
      <c r="W253" s="80"/>
      <c r="X253" s="80"/>
      <c r="Y253" s="80"/>
      <c r="Z253" s="75"/>
    </row>
    <row r="254" customFormat="false" ht="15.75" hidden="false" customHeight="false" outlineLevel="0" collapsed="false">
      <c r="C254" s="69" t="n">
        <v>249</v>
      </c>
      <c r="D254" s="78" t="s">
        <v>1629</v>
      </c>
      <c r="E254" s="63" t="s">
        <v>1625</v>
      </c>
      <c r="F254" s="101" t="n">
        <f aca="false">VLOOKUP(D254,'[2]5. Demanda'!$D$4:$F$357,3,FALSE())</f>
        <v>13.8</v>
      </c>
      <c r="G254" s="63" t="str">
        <f aca="false">VLOOKUP(D254,'[2]5. Demanda'!D$4:J$357,4,FALSE())</f>
        <v>residencial</v>
      </c>
      <c r="H254" s="63" t="str">
        <f aca="false">VLOOKUP($D254,'[2]5. Demanda'!$D$4:$J$357,5,FALSE())</f>
        <v>San Gil 115 kV</v>
      </c>
      <c r="I254" s="63" t="str">
        <f aca="false">VLOOKUP($D254,'[2]5. Demanda'!$D$4:$J$357,6,FALSE())</f>
        <v>Sí</v>
      </c>
      <c r="J254" s="102" t="str">
        <f aca="false">IF(VLOOKUP($D254,'[2]5. Demanda'!$D$4:$J$357,7,FALSE())=0,"",VLOOKUP($D254,'[2]5. Demanda'!$D$4:$J$357,7,FALSE()))</f>
        <v/>
      </c>
      <c r="K254" s="79" t="n">
        <v>0.592231424204271</v>
      </c>
      <c r="L254" s="79" t="n">
        <v>0.252289530250823</v>
      </c>
      <c r="M254" s="79" t="n">
        <v>0.858369235788741</v>
      </c>
      <c r="N254" s="79" t="n">
        <v>0.365663763232201</v>
      </c>
      <c r="O254" s="79" t="n">
        <v>1.05770907915941</v>
      </c>
      <c r="P254" s="79" t="n">
        <v>0.450582180912977</v>
      </c>
      <c r="Q254" s="80"/>
      <c r="R254" s="80"/>
      <c r="S254" s="80"/>
      <c r="T254" s="80"/>
      <c r="U254" s="80"/>
      <c r="V254" s="80"/>
      <c r="W254" s="80"/>
      <c r="X254" s="80"/>
      <c r="Y254" s="80"/>
      <c r="Z254" s="75"/>
    </row>
    <row r="255" customFormat="false" ht="15.75" hidden="false" customHeight="false" outlineLevel="0" collapsed="false">
      <c r="C255" s="69" t="n">
        <v>250</v>
      </c>
      <c r="D255" s="78" t="s">
        <v>1630</v>
      </c>
      <c r="E255" s="63" t="s">
        <v>1625</v>
      </c>
      <c r="F255" s="101" t="n">
        <f aca="false">VLOOKUP(D255,'[2]5. Demanda'!$D$4:$F$357,3,FALSE())</f>
        <v>13.8</v>
      </c>
      <c r="G255" s="63" t="str">
        <f aca="false">VLOOKUP(D255,'[2]5. Demanda'!D$4:J$357,4,FALSE())</f>
        <v>residencial</v>
      </c>
      <c r="H255" s="63" t="str">
        <f aca="false">VLOOKUP($D255,'[2]5. Demanda'!$D$4:$J$357,5,FALSE())</f>
        <v>San Gil 115 kV</v>
      </c>
      <c r="I255" s="63" t="str">
        <f aca="false">VLOOKUP($D255,'[2]5. Demanda'!$D$4:$J$357,6,FALSE())</f>
        <v>Sí</v>
      </c>
      <c r="J255" s="102" t="str">
        <f aca="false">IF(VLOOKUP($D255,'[2]5. Demanda'!$D$4:$J$357,7,FALSE())=0,"",VLOOKUP($D255,'[2]5. Demanda'!$D$4:$J$357,7,FALSE()))</f>
        <v/>
      </c>
      <c r="K255" s="79" t="n">
        <v>0.187711947181473</v>
      </c>
      <c r="L255" s="79" t="n">
        <v>0.079964954646761</v>
      </c>
      <c r="M255" s="79" t="n">
        <v>0.225448743985716</v>
      </c>
      <c r="N255" s="79" t="n">
        <v>0.0960407627680631</v>
      </c>
      <c r="O255" s="79" t="n">
        <v>0.280619723296044</v>
      </c>
      <c r="P255" s="79" t="n">
        <v>0.11954350153675</v>
      </c>
      <c r="Q255" s="80"/>
      <c r="R255" s="80"/>
      <c r="S255" s="80"/>
      <c r="T255" s="80"/>
      <c r="U255" s="80"/>
      <c r="V255" s="80"/>
      <c r="W255" s="80"/>
      <c r="X255" s="80"/>
      <c r="Y255" s="80"/>
      <c r="Z255" s="75"/>
    </row>
    <row r="256" customFormat="false" ht="15.75" hidden="false" customHeight="false" outlineLevel="0" collapsed="false">
      <c r="C256" s="69" t="n">
        <v>251</v>
      </c>
      <c r="D256" s="78" t="s">
        <v>1631</v>
      </c>
      <c r="E256" s="63" t="s">
        <v>1625</v>
      </c>
      <c r="F256" s="101" t="n">
        <f aca="false">VLOOKUP(D256,'[2]5. Demanda'!$D$4:$F$357,3,FALSE())</f>
        <v>13.8</v>
      </c>
      <c r="G256" s="63" t="str">
        <f aca="false">VLOOKUP(D256,'[2]5. Demanda'!D$4:J$357,4,FALSE())</f>
        <v>residencial</v>
      </c>
      <c r="H256" s="63" t="str">
        <f aca="false">VLOOKUP($D256,'[2]5. Demanda'!$D$4:$J$357,5,FALSE())</f>
        <v>San Gil 115 kV</v>
      </c>
      <c r="I256" s="63" t="str">
        <f aca="false">VLOOKUP($D256,'[2]5. Demanda'!$D$4:$J$357,6,FALSE())</f>
        <v>Sí</v>
      </c>
      <c r="J256" s="102" t="str">
        <f aca="false">IF(VLOOKUP($D256,'[2]5. Demanda'!$D$4:$J$357,7,FALSE())=0,"",VLOOKUP($D256,'[2]5. Demanda'!$D$4:$J$357,7,FALSE()))</f>
        <v/>
      </c>
      <c r="K256" s="79" t="n">
        <v>0.0959120538718768</v>
      </c>
      <c r="L256" s="79" t="n">
        <v>0.0408583638553791</v>
      </c>
      <c r="M256" s="79" t="n">
        <v>0.106805492768073</v>
      </c>
      <c r="N256" s="79" t="n">
        <v>0.0454989493927476</v>
      </c>
      <c r="O256" s="79" t="n">
        <v>0.162959707851925</v>
      </c>
      <c r="P256" s="79" t="n">
        <v>0.069420544846997</v>
      </c>
      <c r="Q256" s="80"/>
      <c r="R256" s="80"/>
      <c r="S256" s="80"/>
      <c r="T256" s="80"/>
      <c r="U256" s="80"/>
      <c r="V256" s="80"/>
      <c r="W256" s="80"/>
      <c r="X256" s="80"/>
      <c r="Y256" s="80"/>
      <c r="Z256" s="75"/>
    </row>
    <row r="257" customFormat="false" ht="15.75" hidden="false" customHeight="false" outlineLevel="0" collapsed="false">
      <c r="C257" s="69" t="n">
        <v>252</v>
      </c>
      <c r="D257" s="78" t="s">
        <v>1632</v>
      </c>
      <c r="E257" s="63" t="s">
        <v>1625</v>
      </c>
      <c r="F257" s="101" t="n">
        <f aca="false">VLOOKUP(D257,'[2]5. Demanda'!$D$4:$F$357,3,FALSE())</f>
        <v>13.8</v>
      </c>
      <c r="G257" s="63" t="str">
        <f aca="false">VLOOKUP(D257,'[2]5. Demanda'!D$4:J$357,4,FALSE())</f>
        <v>residencial</v>
      </c>
      <c r="H257" s="63" t="str">
        <f aca="false">VLOOKUP($D257,'[2]5. Demanda'!$D$4:$J$357,5,FALSE())</f>
        <v>San Gil 115 kV</v>
      </c>
      <c r="I257" s="63" t="str">
        <f aca="false">VLOOKUP($D257,'[2]5. Demanda'!$D$4:$J$357,6,FALSE())</f>
        <v>Sí</v>
      </c>
      <c r="J257" s="102" t="str">
        <f aca="false">IF(VLOOKUP($D257,'[2]5. Demanda'!$D$4:$J$357,7,FALSE())=0,"",VLOOKUP($D257,'[2]5. Demanda'!$D$4:$J$357,7,FALSE()))</f>
        <v/>
      </c>
      <c r="K257" s="79" t="n">
        <v>0.574646064432346</v>
      </c>
      <c r="L257" s="79" t="n">
        <v>0.24479819835787</v>
      </c>
      <c r="M257" s="79" t="n">
        <v>0.824307519793076</v>
      </c>
      <c r="N257" s="79" t="n">
        <v>0.35115353297951</v>
      </c>
      <c r="O257" s="79" t="n">
        <v>1.02456097770778</v>
      </c>
      <c r="P257" s="79" t="n">
        <v>0.436461148826279</v>
      </c>
      <c r="Q257" s="80"/>
      <c r="R257" s="80"/>
      <c r="S257" s="80"/>
      <c r="T257" s="80"/>
      <c r="U257" s="80"/>
      <c r="V257" s="80"/>
      <c r="W257" s="80"/>
      <c r="X257" s="80"/>
      <c r="Y257" s="80"/>
      <c r="Z257" s="75"/>
    </row>
    <row r="258" customFormat="false" ht="15.75" hidden="false" customHeight="false" outlineLevel="0" collapsed="false">
      <c r="C258" s="69" t="n">
        <v>253</v>
      </c>
      <c r="D258" s="78" t="s">
        <v>1633</v>
      </c>
      <c r="E258" s="63" t="s">
        <v>1634</v>
      </c>
      <c r="F258" s="101" t="n">
        <f aca="false">VLOOKUP(D258,'[2]5. Demanda'!$D$4:$F$357,3,FALSE())</f>
        <v>13.8</v>
      </c>
      <c r="G258" s="63" t="str">
        <f aca="false">VLOOKUP(D258,'[2]5. Demanda'!D$4:J$357,4,FALSE())</f>
        <v>residencial</v>
      </c>
      <c r="H258" s="63" t="str">
        <f aca="false">VLOOKUP($D258,'[2]5. Demanda'!$D$4:$J$357,5,FALSE())</f>
        <v>San Gil 115 kV</v>
      </c>
      <c r="I258" s="63" t="str">
        <f aca="false">VLOOKUP($D258,'[2]5. Demanda'!$D$4:$J$357,6,FALSE())</f>
        <v>Sí</v>
      </c>
      <c r="J258" s="102" t="str">
        <f aca="false">IF(VLOOKUP($D258,'[2]5. Demanda'!$D$4:$J$357,7,FALSE())=0,"",VLOOKUP($D258,'[2]5. Demanda'!$D$4:$J$357,7,FALSE()))</f>
        <v/>
      </c>
      <c r="K258" s="79" t="n">
        <v>0.143991172675262</v>
      </c>
      <c r="L258" s="79" t="n">
        <v>0.061339982699022</v>
      </c>
      <c r="M258" s="79" t="n">
        <v>0.188161507301843</v>
      </c>
      <c r="N258" s="79" t="n">
        <v>0.0801564664560846</v>
      </c>
      <c r="O258" s="79" t="n">
        <v>0.241032204110691</v>
      </c>
      <c r="P258" s="79" t="n">
        <v>0.102679288982532</v>
      </c>
      <c r="Q258" s="80"/>
      <c r="R258" s="80"/>
      <c r="S258" s="80"/>
      <c r="T258" s="80"/>
      <c r="U258" s="80"/>
      <c r="V258" s="80"/>
      <c r="W258" s="80"/>
      <c r="X258" s="80"/>
      <c r="Y258" s="80"/>
      <c r="Z258" s="75"/>
    </row>
    <row r="259" customFormat="false" ht="15.75" hidden="false" customHeight="false" outlineLevel="0" collapsed="false">
      <c r="C259" s="69" t="n">
        <v>254</v>
      </c>
      <c r="D259" s="78" t="s">
        <v>1635</v>
      </c>
      <c r="E259" s="63" t="s">
        <v>1634</v>
      </c>
      <c r="F259" s="101" t="n">
        <f aca="false">VLOOKUP(D259,'[2]5. Demanda'!$D$4:$F$357,3,FALSE())</f>
        <v>13.8</v>
      </c>
      <c r="G259" s="63" t="str">
        <f aca="false">VLOOKUP(D259,'[2]5. Demanda'!D$4:J$357,4,FALSE())</f>
        <v>residencial</v>
      </c>
      <c r="H259" s="63" t="str">
        <f aca="false">VLOOKUP($D259,'[2]5. Demanda'!$D$4:$J$357,5,FALSE())</f>
        <v>San Gil 115 kV</v>
      </c>
      <c r="I259" s="63" t="str">
        <f aca="false">VLOOKUP($D259,'[2]5. Demanda'!$D$4:$J$357,6,FALSE())</f>
        <v>Sí</v>
      </c>
      <c r="J259" s="102" t="str">
        <f aca="false">IF(VLOOKUP($D259,'[2]5. Demanda'!$D$4:$J$357,7,FALSE())=0,"",VLOOKUP($D259,'[2]5. Demanda'!$D$4:$J$357,7,FALSE()))</f>
        <v/>
      </c>
      <c r="K259" s="79" t="n">
        <v>0.174530466369518</v>
      </c>
      <c r="L259" s="79" t="n">
        <v>0.0743496673348346</v>
      </c>
      <c r="M259" s="79" t="n">
        <v>0.257812840430895</v>
      </c>
      <c r="N259" s="79" t="n">
        <v>0.109827810120569</v>
      </c>
      <c r="O259" s="79" t="n">
        <v>0.315394334952466</v>
      </c>
      <c r="P259" s="79" t="n">
        <v>0.134357424069215</v>
      </c>
      <c r="Q259" s="80"/>
      <c r="R259" s="80"/>
      <c r="S259" s="80"/>
      <c r="T259" s="80"/>
      <c r="U259" s="80"/>
      <c r="V259" s="80"/>
      <c r="W259" s="80"/>
      <c r="X259" s="80"/>
      <c r="Y259" s="80"/>
      <c r="Z259" s="75"/>
    </row>
    <row r="260" customFormat="false" ht="15.75" hidden="false" customHeight="false" outlineLevel="0" collapsed="false">
      <c r="C260" s="69" t="n">
        <v>255</v>
      </c>
      <c r="D260" s="78" t="s">
        <v>1636</v>
      </c>
      <c r="E260" s="63" t="s">
        <v>1634</v>
      </c>
      <c r="F260" s="101" t="n">
        <f aca="false">VLOOKUP(D260,'[2]5. Demanda'!$D$4:$F$357,3,FALSE())</f>
        <v>13.8</v>
      </c>
      <c r="G260" s="63" t="str">
        <f aca="false">VLOOKUP(D260,'[2]5. Demanda'!D$4:J$357,4,FALSE())</f>
        <v>residencial</v>
      </c>
      <c r="H260" s="63" t="str">
        <f aca="false">VLOOKUP($D260,'[2]5. Demanda'!$D$4:$J$357,5,FALSE())</f>
        <v>San Gil 115 kV</v>
      </c>
      <c r="I260" s="63" t="str">
        <f aca="false">VLOOKUP($D260,'[2]5. Demanda'!$D$4:$J$357,6,FALSE())</f>
        <v>Sí</v>
      </c>
      <c r="J260" s="102" t="str">
        <f aca="false">IF(VLOOKUP($D260,'[2]5. Demanda'!$D$4:$J$357,7,FALSE())=0,"",VLOOKUP($D260,'[2]5. Demanda'!$D$4:$J$357,7,FALSE()))</f>
        <v/>
      </c>
      <c r="K260" s="79" t="n">
        <v>0.0987000406244691</v>
      </c>
      <c r="L260" s="79" t="n">
        <v>0.0420460412385948</v>
      </c>
      <c r="M260" s="79" t="n">
        <v>0.139024461959706</v>
      </c>
      <c r="N260" s="79" t="n">
        <v>0.0592241727941303</v>
      </c>
      <c r="O260" s="79" t="n">
        <v>0.160418352849064</v>
      </c>
      <c r="P260" s="79" t="n">
        <v>0.0683379321492096</v>
      </c>
      <c r="Q260" s="80"/>
      <c r="R260" s="80"/>
      <c r="S260" s="80"/>
      <c r="T260" s="80"/>
      <c r="U260" s="80"/>
      <c r="V260" s="80"/>
      <c r="W260" s="80"/>
      <c r="X260" s="80"/>
      <c r="Y260" s="80"/>
      <c r="Z260" s="75"/>
    </row>
    <row r="261" customFormat="false" ht="15.75" hidden="false" customHeight="false" outlineLevel="0" collapsed="false">
      <c r="C261" s="69" t="n">
        <v>256</v>
      </c>
      <c r="D261" s="78" t="s">
        <v>1637</v>
      </c>
      <c r="E261" s="63" t="s">
        <v>1638</v>
      </c>
      <c r="F261" s="101" t="n">
        <f aca="false">VLOOKUP(D261,'[2]5. Demanda'!$D$4:$F$357,3,FALSE())</f>
        <v>13.8</v>
      </c>
      <c r="G261" s="63" t="str">
        <f aca="false">VLOOKUP(D261,'[2]5. Demanda'!D$4:J$357,4,FALSE())</f>
        <v>residencial</v>
      </c>
      <c r="H261" s="63" t="str">
        <f aca="false">VLOOKUP($D261,'[2]5. Demanda'!$D$4:$J$357,5,FALSE())</f>
        <v>San Gil 115 kV</v>
      </c>
      <c r="I261" s="63" t="str">
        <f aca="false">VLOOKUP($D261,'[2]5. Demanda'!$D$4:$J$357,6,FALSE())</f>
        <v>Sí</v>
      </c>
      <c r="J261" s="102" t="str">
        <f aca="false">IF(VLOOKUP($D261,'[2]5. Demanda'!$D$4:$J$357,7,FALSE())=0,"",VLOOKUP($D261,'[2]5. Demanda'!$D$4:$J$357,7,FALSE()))</f>
        <v/>
      </c>
      <c r="K261" s="79" t="n">
        <v>0.295240803488406</v>
      </c>
      <c r="L261" s="79" t="n">
        <v>0.125772055616681</v>
      </c>
      <c r="M261" s="79" t="n">
        <v>0.532260964990996</v>
      </c>
      <c r="N261" s="79" t="n">
        <v>0.226742221605099</v>
      </c>
      <c r="O261" s="79" t="n">
        <v>0.583554800416871</v>
      </c>
      <c r="P261" s="79" t="n">
        <v>0.248593303995306</v>
      </c>
      <c r="Q261" s="80"/>
      <c r="R261" s="80"/>
      <c r="S261" s="80"/>
      <c r="T261" s="80"/>
      <c r="U261" s="80"/>
      <c r="V261" s="80"/>
      <c r="W261" s="80"/>
      <c r="X261" s="80"/>
      <c r="Y261" s="80"/>
      <c r="Z261" s="75"/>
    </row>
    <row r="262" customFormat="false" ht="15.75" hidden="false" customHeight="false" outlineLevel="0" collapsed="false">
      <c r="C262" s="69" t="n">
        <v>257</v>
      </c>
      <c r="D262" s="78" t="s">
        <v>1639</v>
      </c>
      <c r="E262" s="63" t="s">
        <v>1638</v>
      </c>
      <c r="F262" s="101" t="n">
        <f aca="false">VLOOKUP(D262,'[2]5. Demanda'!$D$4:$F$357,3,FALSE())</f>
        <v>13.8</v>
      </c>
      <c r="G262" s="63" t="str">
        <f aca="false">VLOOKUP(D262,'[2]5. Demanda'!D$4:J$357,4,FALSE())</f>
        <v>residencial</v>
      </c>
      <c r="H262" s="63" t="str">
        <f aca="false">VLOOKUP($D262,'[2]5. Demanda'!$D$4:$J$357,5,FALSE())</f>
        <v>San Gil 115 kV</v>
      </c>
      <c r="I262" s="63" t="str">
        <f aca="false">VLOOKUP($D262,'[2]5. Demanda'!$D$4:$J$357,6,FALSE())</f>
        <v>Sí</v>
      </c>
      <c r="J262" s="102" t="str">
        <f aca="false">IF(VLOOKUP($D262,'[2]5. Demanda'!$D$4:$J$357,7,FALSE())=0,"",VLOOKUP($D262,'[2]5. Demanda'!$D$4:$J$357,7,FALSE()))</f>
        <v/>
      </c>
      <c r="K262" s="79" t="n">
        <v>0.14194206860467</v>
      </c>
      <c r="L262" s="79" t="n">
        <v>0.0604670680202721</v>
      </c>
      <c r="M262" s="79" t="n">
        <v>0.233924136807406</v>
      </c>
      <c r="N262" s="79" t="n">
        <v>0.0996512649911564</v>
      </c>
      <c r="O262" s="79" t="n">
        <v>0.266875540582342</v>
      </c>
      <c r="P262" s="79" t="n">
        <v>0.113688504218463</v>
      </c>
      <c r="Q262" s="80"/>
      <c r="R262" s="80"/>
      <c r="S262" s="80"/>
      <c r="T262" s="80"/>
      <c r="U262" s="80"/>
      <c r="V262" s="80"/>
      <c r="W262" s="80"/>
      <c r="X262" s="80"/>
      <c r="Y262" s="80"/>
      <c r="Z262" s="75"/>
    </row>
    <row r="263" customFormat="false" ht="15.75" hidden="false" customHeight="false" outlineLevel="0" collapsed="false">
      <c r="C263" s="69" t="n">
        <v>258</v>
      </c>
      <c r="D263" s="78" t="s">
        <v>1640</v>
      </c>
      <c r="E263" s="63" t="s">
        <v>1638</v>
      </c>
      <c r="F263" s="101" t="n">
        <f aca="false">VLOOKUP(D263,'[2]5. Demanda'!$D$4:$F$357,3,FALSE())</f>
        <v>13.8</v>
      </c>
      <c r="G263" s="63" t="str">
        <f aca="false">VLOOKUP(D263,'[2]5. Demanda'!D$4:J$357,4,FALSE())</f>
        <v>residencial</v>
      </c>
      <c r="H263" s="63" t="str">
        <f aca="false">VLOOKUP($D263,'[2]5. Demanda'!$D$4:$J$357,5,FALSE())</f>
        <v>San Gil 115 kV</v>
      </c>
      <c r="I263" s="63" t="str">
        <f aca="false">VLOOKUP($D263,'[2]5. Demanda'!$D$4:$J$357,6,FALSE())</f>
        <v>Sí</v>
      </c>
      <c r="J263" s="102" t="str">
        <f aca="false">IF(VLOOKUP($D263,'[2]5. Demanda'!$D$4:$J$357,7,FALSE())=0,"",VLOOKUP($D263,'[2]5. Demanda'!$D$4:$J$357,7,FALSE()))</f>
        <v/>
      </c>
      <c r="K263" s="79" t="n">
        <v>0.174732450262029</v>
      </c>
      <c r="L263" s="79" t="n">
        <v>0.0744357121127326</v>
      </c>
      <c r="M263" s="79" t="n">
        <v>0.231764009582911</v>
      </c>
      <c r="N263" s="79" t="n">
        <v>0.0987310546468942</v>
      </c>
      <c r="O263" s="79" t="n">
        <v>0.303702668920638</v>
      </c>
      <c r="P263" s="79" t="n">
        <v>0.129376795195996</v>
      </c>
      <c r="Q263" s="80"/>
      <c r="R263" s="80"/>
      <c r="S263" s="80"/>
      <c r="T263" s="80"/>
      <c r="U263" s="80"/>
      <c r="V263" s="80"/>
      <c r="W263" s="80"/>
      <c r="X263" s="80"/>
      <c r="Y263" s="80"/>
      <c r="Z263" s="75"/>
    </row>
    <row r="264" customFormat="false" ht="15.75" hidden="false" customHeight="false" outlineLevel="0" collapsed="false">
      <c r="C264" s="69" t="n">
        <v>259</v>
      </c>
      <c r="D264" s="78" t="s">
        <v>1641</v>
      </c>
      <c r="E264" s="63" t="s">
        <v>1638</v>
      </c>
      <c r="F264" s="101" t="n">
        <f aca="false">VLOOKUP(D264,'[2]5. Demanda'!$D$4:$F$357,3,FALSE())</f>
        <v>13.8</v>
      </c>
      <c r="G264" s="63" t="str">
        <f aca="false">VLOOKUP(D264,'[2]5. Demanda'!D$4:J$357,4,FALSE())</f>
        <v>residencial</v>
      </c>
      <c r="H264" s="63" t="str">
        <f aca="false">VLOOKUP($D264,'[2]5. Demanda'!$D$4:$J$357,5,FALSE())</f>
        <v>San Gil 115 kV</v>
      </c>
      <c r="I264" s="63" t="str">
        <f aca="false">VLOOKUP($D264,'[2]5. Demanda'!$D$4:$J$357,6,FALSE())</f>
        <v>Sí</v>
      </c>
      <c r="J264" s="102" t="str">
        <f aca="false">IF(VLOOKUP($D264,'[2]5. Demanda'!$D$4:$J$357,7,FALSE())=0,"",VLOOKUP($D264,'[2]5. Demanda'!$D$4:$J$357,7,FALSE()))</f>
        <v/>
      </c>
      <c r="K264" s="79" t="n">
        <v>0.109938743565871</v>
      </c>
      <c r="L264" s="79" t="n">
        <v>0.0468337086433168</v>
      </c>
      <c r="M264" s="79" t="n">
        <v>0.161803960221179</v>
      </c>
      <c r="N264" s="79" t="n">
        <v>0.0689281984179956</v>
      </c>
      <c r="O264" s="79" t="n">
        <v>0.181008928150295</v>
      </c>
      <c r="P264" s="79" t="n">
        <v>0.0771094804967521</v>
      </c>
      <c r="Q264" s="80"/>
      <c r="R264" s="80"/>
      <c r="S264" s="80"/>
      <c r="T264" s="80"/>
      <c r="U264" s="80"/>
      <c r="V264" s="80"/>
      <c r="W264" s="80"/>
      <c r="X264" s="80"/>
      <c r="Y264" s="80"/>
      <c r="Z264" s="75"/>
    </row>
    <row r="265" customFormat="false" ht="15.75" hidden="false" customHeight="false" outlineLevel="0" collapsed="false">
      <c r="C265" s="69" t="n">
        <v>260</v>
      </c>
      <c r="D265" s="78" t="s">
        <v>1642</v>
      </c>
      <c r="E265" s="63" t="s">
        <v>1643</v>
      </c>
      <c r="F265" s="101" t="n">
        <f aca="false">VLOOKUP(D265,'[2]5. Demanda'!$D$4:$F$357,3,FALSE())</f>
        <v>13.8</v>
      </c>
      <c r="G265" s="63" t="str">
        <f aca="false">VLOOKUP(D265,'[2]5. Demanda'!D$4:J$357,4,FALSE())</f>
        <v>residencial</v>
      </c>
      <c r="H265" s="63" t="str">
        <f aca="false">VLOOKUP($D265,'[2]5. Demanda'!$D$4:$J$357,5,FALSE())</f>
        <v>San Gil 115 kV</v>
      </c>
      <c r="I265" s="63" t="str">
        <f aca="false">VLOOKUP($D265,'[2]5. Demanda'!$D$4:$J$357,6,FALSE())</f>
        <v>Sí</v>
      </c>
      <c r="J265" s="102" t="str">
        <f aca="false">IF(VLOOKUP($D265,'[2]5. Demanda'!$D$4:$J$357,7,FALSE())=0,"",VLOOKUP($D265,'[2]5. Demanda'!$D$4:$J$357,7,FALSE()))</f>
        <v/>
      </c>
      <c r="K265" s="79" t="n">
        <v>0.1211956895612</v>
      </c>
      <c r="L265" s="79" t="n">
        <v>0.0516291475564685</v>
      </c>
      <c r="M265" s="79" t="n">
        <v>0.185675107542931</v>
      </c>
      <c r="N265" s="79" t="n">
        <v>0.0790972645941866</v>
      </c>
      <c r="O265" s="79" t="n">
        <v>0.223504093993088</v>
      </c>
      <c r="P265" s="79" t="n">
        <v>0.0952123453401941</v>
      </c>
      <c r="Q265" s="80"/>
      <c r="R265" s="80"/>
      <c r="S265" s="80"/>
      <c r="T265" s="80"/>
      <c r="U265" s="80"/>
      <c r="V265" s="80"/>
      <c r="W265" s="80"/>
      <c r="X265" s="80"/>
      <c r="Y265" s="80"/>
      <c r="Z265" s="75"/>
    </row>
    <row r="266" customFormat="false" ht="15.75" hidden="false" customHeight="false" outlineLevel="0" collapsed="false">
      <c r="C266" s="69" t="n">
        <v>261</v>
      </c>
      <c r="D266" s="78" t="s">
        <v>1644</v>
      </c>
      <c r="E266" s="63" t="s">
        <v>1643</v>
      </c>
      <c r="F266" s="101" t="n">
        <f aca="false">VLOOKUP(D266,'[2]5. Demanda'!$D$4:$F$357,3,FALSE())</f>
        <v>13.8</v>
      </c>
      <c r="G266" s="63" t="str">
        <f aca="false">VLOOKUP(D266,'[2]5. Demanda'!D$4:J$357,4,FALSE())</f>
        <v>residencial</v>
      </c>
      <c r="H266" s="63" t="str">
        <f aca="false">VLOOKUP($D266,'[2]5. Demanda'!$D$4:$J$357,5,FALSE())</f>
        <v>San Gil 115 kV</v>
      </c>
      <c r="I266" s="63" t="str">
        <f aca="false">VLOOKUP($D266,'[2]5. Demanda'!$D$4:$J$357,6,FALSE())</f>
        <v>Sí</v>
      </c>
      <c r="J266" s="102" t="str">
        <f aca="false">IF(VLOOKUP($D266,'[2]5. Demanda'!$D$4:$J$357,7,FALSE())=0,"",VLOOKUP($D266,'[2]5. Demanda'!$D$4:$J$357,7,FALSE()))</f>
        <v/>
      </c>
      <c r="K266" s="79" t="n">
        <v>0.197149281133134</v>
      </c>
      <c r="L266" s="79" t="n">
        <v>0.0839852420752504</v>
      </c>
      <c r="M266" s="79" t="n">
        <v>0.289753351594409</v>
      </c>
      <c r="N266" s="79" t="n">
        <v>0.123434410898705</v>
      </c>
      <c r="O266" s="79" t="n">
        <v>0.348291215133966</v>
      </c>
      <c r="P266" s="79" t="n">
        <v>0.148371436342981</v>
      </c>
      <c r="Q266" s="80"/>
      <c r="R266" s="80"/>
      <c r="S266" s="80"/>
      <c r="T266" s="80"/>
      <c r="U266" s="80"/>
      <c r="V266" s="80"/>
      <c r="W266" s="80"/>
      <c r="X266" s="80"/>
      <c r="Y266" s="80"/>
      <c r="Z266" s="75"/>
    </row>
    <row r="267" customFormat="false" ht="15.75" hidden="false" customHeight="false" outlineLevel="0" collapsed="false">
      <c r="C267" s="69" t="n">
        <v>262</v>
      </c>
      <c r="D267" s="78" t="s">
        <v>1645</v>
      </c>
      <c r="E267" s="63" t="s">
        <v>1643</v>
      </c>
      <c r="F267" s="101" t="n">
        <f aca="false">VLOOKUP(D267,'[2]5. Demanda'!$D$4:$F$357,3,FALSE())</f>
        <v>13.8</v>
      </c>
      <c r="G267" s="63" t="str">
        <f aca="false">VLOOKUP(D267,'[2]5. Demanda'!D$4:J$357,4,FALSE())</f>
        <v>residencial</v>
      </c>
      <c r="H267" s="63" t="str">
        <f aca="false">VLOOKUP($D267,'[2]5. Demanda'!$D$4:$J$357,5,FALSE())</f>
        <v>San Gil 115 kV</v>
      </c>
      <c r="I267" s="63" t="str">
        <f aca="false">VLOOKUP($D267,'[2]5. Demanda'!$D$4:$J$357,6,FALSE())</f>
        <v>Sí</v>
      </c>
      <c r="J267" s="102" t="str">
        <f aca="false">IF(VLOOKUP($D267,'[2]5. Demanda'!$D$4:$J$357,7,FALSE())=0,"",VLOOKUP($D267,'[2]5. Demanda'!$D$4:$J$357,7,FALSE()))</f>
        <v/>
      </c>
      <c r="K267" s="79" t="n">
        <v>0.127474363014681</v>
      </c>
      <c r="L267" s="79" t="n">
        <v>0.0543038512473529</v>
      </c>
      <c r="M267" s="79" t="n">
        <v>0.173370296671042</v>
      </c>
      <c r="N267" s="79" t="n">
        <v>0.0738554371128684</v>
      </c>
      <c r="O267" s="79" t="n">
        <v>0.227773676402793</v>
      </c>
      <c r="P267" s="79" t="n">
        <v>0.097031179830375</v>
      </c>
      <c r="Q267" s="80"/>
      <c r="R267" s="80"/>
      <c r="S267" s="80"/>
      <c r="T267" s="80"/>
      <c r="U267" s="80"/>
      <c r="V267" s="80"/>
      <c r="W267" s="80"/>
      <c r="X267" s="80"/>
      <c r="Y267" s="80"/>
      <c r="Z267" s="75"/>
    </row>
    <row r="268" customFormat="false" ht="15.75" hidden="false" customHeight="false" outlineLevel="0" collapsed="false">
      <c r="C268" s="69" t="n">
        <v>263</v>
      </c>
      <c r="D268" s="78" t="s">
        <v>1646</v>
      </c>
      <c r="E268" s="63" t="s">
        <v>1643</v>
      </c>
      <c r="F268" s="101" t="n">
        <f aca="false">VLOOKUP(D268,'[2]5. Demanda'!$D$4:$F$357,3,FALSE())</f>
        <v>13.8</v>
      </c>
      <c r="G268" s="63" t="str">
        <f aca="false">VLOOKUP(D268,'[2]5. Demanda'!D$4:J$357,4,FALSE())</f>
        <v>residencial</v>
      </c>
      <c r="H268" s="63" t="str">
        <f aca="false">VLOOKUP($D268,'[2]5. Demanda'!$D$4:$J$357,5,FALSE())</f>
        <v>San Gil 115 kV</v>
      </c>
      <c r="I268" s="63" t="str">
        <f aca="false">VLOOKUP($D268,'[2]5. Demanda'!$D$4:$J$357,6,FALSE())</f>
        <v>Sí</v>
      </c>
      <c r="J268" s="102" t="str">
        <f aca="false">IF(VLOOKUP($D268,'[2]5. Demanda'!$D$4:$J$357,7,FALSE())=0,"",VLOOKUP($D268,'[2]5. Demanda'!$D$4:$J$357,7,FALSE()))</f>
        <v/>
      </c>
      <c r="K268" s="79" t="n">
        <v>0.0359984380775715</v>
      </c>
      <c r="L268" s="79" t="n">
        <v>0.0153352704047351</v>
      </c>
      <c r="M268" s="79" t="n">
        <v>0.0500160635131888</v>
      </c>
      <c r="N268" s="79" t="n">
        <v>0.0213067538347735</v>
      </c>
      <c r="O268" s="79" t="n">
        <v>0.0605354636386713</v>
      </c>
      <c r="P268" s="79" t="n">
        <v>0.0257879995230521</v>
      </c>
      <c r="Q268" s="80"/>
      <c r="R268" s="80"/>
      <c r="S268" s="80"/>
      <c r="T268" s="80"/>
      <c r="U268" s="80"/>
      <c r="V268" s="80"/>
      <c r="W268" s="80"/>
      <c r="X268" s="80"/>
      <c r="Y268" s="80"/>
      <c r="Z268" s="75"/>
    </row>
    <row r="269" customFormat="false" ht="15.75" hidden="false" customHeight="false" outlineLevel="0" collapsed="false">
      <c r="C269" s="69" t="n">
        <v>264</v>
      </c>
      <c r="D269" s="78" t="s">
        <v>1647</v>
      </c>
      <c r="E269" s="63" t="s">
        <v>1648</v>
      </c>
      <c r="F269" s="101" t="n">
        <f aca="false">VLOOKUP(D269,'[2]5. Demanda'!$D$4:$F$357,3,FALSE())</f>
        <v>13.8</v>
      </c>
      <c r="G269" s="63" t="str">
        <f aca="false">VLOOKUP(D269,'[2]5. Demanda'!D$4:J$357,4,FALSE())</f>
        <v>residencial</v>
      </c>
      <c r="H269" s="63" t="str">
        <f aca="false">VLOOKUP($D269,'[2]5. Demanda'!$D$4:$J$357,5,FALSE())</f>
        <v>San Gil 115 kV</v>
      </c>
      <c r="I269" s="63" t="str">
        <f aca="false">VLOOKUP($D269,'[2]5. Demanda'!$D$4:$J$357,6,FALSE())</f>
        <v>Sí</v>
      </c>
      <c r="J269" s="102" t="str">
        <f aca="false">IF(VLOOKUP($D269,'[2]5. Demanda'!$D$4:$J$357,7,FALSE())=0,"",VLOOKUP($D269,'[2]5. Demanda'!$D$4:$J$357,7,FALSE()))</f>
        <v/>
      </c>
      <c r="K269" s="79" t="n">
        <v>0.417116405197951</v>
      </c>
      <c r="L269" s="79" t="n">
        <v>0.177690844535474</v>
      </c>
      <c r="M269" s="79" t="n">
        <v>0.622165144615556</v>
      </c>
      <c r="N269" s="79" t="n">
        <v>0.265041241748351</v>
      </c>
      <c r="O269" s="79" t="n">
        <v>0.769554569132178</v>
      </c>
      <c r="P269" s="79" t="n">
        <v>0.327828873669774</v>
      </c>
      <c r="Q269" s="80"/>
      <c r="R269" s="80"/>
      <c r="S269" s="80"/>
      <c r="T269" s="80"/>
      <c r="U269" s="80"/>
      <c r="V269" s="80"/>
      <c r="W269" s="80"/>
      <c r="X269" s="80"/>
      <c r="Y269" s="80"/>
      <c r="Z269" s="75"/>
    </row>
    <row r="270" customFormat="false" ht="15.75" hidden="false" customHeight="false" outlineLevel="0" collapsed="false">
      <c r="C270" s="69" t="n">
        <v>265</v>
      </c>
      <c r="D270" s="78" t="s">
        <v>1649</v>
      </c>
      <c r="E270" s="63" t="s">
        <v>1648</v>
      </c>
      <c r="F270" s="101" t="n">
        <f aca="false">VLOOKUP(D270,'[2]5. Demanda'!$D$4:$F$357,3,FALSE())</f>
        <v>13.8</v>
      </c>
      <c r="G270" s="63" t="str">
        <f aca="false">VLOOKUP(D270,'[2]5. Demanda'!D$4:J$357,4,FALSE())</f>
        <v>residencial</v>
      </c>
      <c r="H270" s="63" t="str">
        <f aca="false">VLOOKUP($D270,'[2]5. Demanda'!$D$4:$J$357,5,FALSE())</f>
        <v>San Gil 115 kV</v>
      </c>
      <c r="I270" s="63" t="str">
        <f aca="false">VLOOKUP($D270,'[2]5. Demanda'!$D$4:$J$357,6,FALSE())</f>
        <v>Sí</v>
      </c>
      <c r="J270" s="102" t="str">
        <f aca="false">IF(VLOOKUP($D270,'[2]5. Demanda'!$D$4:$J$357,7,FALSE())=0,"",VLOOKUP($D270,'[2]5. Demanda'!$D$4:$J$357,7,FALSE()))</f>
        <v/>
      </c>
      <c r="K270" s="79" t="n">
        <v>0.140597684192942</v>
      </c>
      <c r="L270" s="79" t="n">
        <v>0.0598943626590748</v>
      </c>
      <c r="M270" s="79" t="n">
        <v>0.203284614140728</v>
      </c>
      <c r="N270" s="79" t="n">
        <v>0.0865988829918868</v>
      </c>
      <c r="O270" s="79" t="n">
        <v>0.248074870606476</v>
      </c>
      <c r="P270" s="79" t="n">
        <v>0.105679452346578</v>
      </c>
      <c r="Q270" s="80"/>
      <c r="R270" s="80"/>
      <c r="S270" s="80"/>
      <c r="T270" s="80"/>
      <c r="U270" s="80"/>
      <c r="V270" s="80"/>
      <c r="W270" s="80"/>
      <c r="X270" s="80"/>
      <c r="Y270" s="80"/>
      <c r="Z270" s="75"/>
    </row>
    <row r="271" customFormat="false" ht="15.75" hidden="false" customHeight="false" outlineLevel="0" collapsed="false">
      <c r="C271" s="69" t="n">
        <v>266</v>
      </c>
      <c r="D271" s="78" t="s">
        <v>1650</v>
      </c>
      <c r="E271" s="63" t="s">
        <v>1648</v>
      </c>
      <c r="F271" s="101" t="n">
        <f aca="false">VLOOKUP(D271,'[2]5. Demanda'!$D$4:$F$357,3,FALSE())</f>
        <v>13.8</v>
      </c>
      <c r="G271" s="63" t="str">
        <f aca="false">VLOOKUP(D271,'[2]5. Demanda'!D$4:J$357,4,FALSE())</f>
        <v>residencial</v>
      </c>
      <c r="H271" s="63" t="str">
        <f aca="false">VLOOKUP($D271,'[2]5. Demanda'!$D$4:$J$357,5,FALSE())</f>
        <v>San Gil 115 kV</v>
      </c>
      <c r="I271" s="63" t="str">
        <f aca="false">VLOOKUP($D271,'[2]5. Demanda'!$D$4:$J$357,6,FALSE())</f>
        <v>Sí</v>
      </c>
      <c r="J271" s="102" t="str">
        <f aca="false">IF(VLOOKUP($D271,'[2]5. Demanda'!$D$4:$J$357,7,FALSE())=0,"",VLOOKUP($D271,'[2]5. Demanda'!$D$4:$J$357,7,FALSE()))</f>
        <v/>
      </c>
      <c r="K271" s="79" t="n">
        <v>0.118487404606488</v>
      </c>
      <c r="L271" s="79" t="n">
        <v>0.0504754229969726</v>
      </c>
      <c r="M271" s="79" t="n">
        <v>0.171955281545427</v>
      </c>
      <c r="N271" s="79" t="n">
        <v>0.0732526431935508</v>
      </c>
      <c r="O271" s="79" t="n">
        <v>0.214359058815118</v>
      </c>
      <c r="P271" s="79" t="n">
        <v>0.0913165766678762</v>
      </c>
      <c r="Q271" s="80"/>
      <c r="R271" s="80"/>
      <c r="S271" s="80"/>
      <c r="T271" s="80"/>
      <c r="U271" s="80"/>
      <c r="V271" s="80"/>
      <c r="W271" s="80"/>
      <c r="X271" s="80"/>
      <c r="Y271" s="80"/>
      <c r="Z271" s="75"/>
    </row>
    <row r="272" customFormat="false" ht="15.75" hidden="false" customHeight="false" outlineLevel="0" collapsed="false">
      <c r="C272" s="69" t="n">
        <v>267</v>
      </c>
      <c r="D272" s="78" t="s">
        <v>1651</v>
      </c>
      <c r="E272" s="63" t="s">
        <v>1648</v>
      </c>
      <c r="F272" s="101" t="n">
        <f aca="false">VLOOKUP(D272,'[2]5. Demanda'!$D$4:$F$357,3,FALSE())</f>
        <v>13.8</v>
      </c>
      <c r="G272" s="63" t="str">
        <f aca="false">VLOOKUP(D272,'[2]5. Demanda'!D$4:J$357,4,FALSE())</f>
        <v>residencial</v>
      </c>
      <c r="H272" s="63" t="str">
        <f aca="false">VLOOKUP($D272,'[2]5. Demanda'!$D$4:$J$357,5,FALSE())</f>
        <v>San Gil 115 kV</v>
      </c>
      <c r="I272" s="63" t="str">
        <f aca="false">VLOOKUP($D272,'[2]5. Demanda'!$D$4:$J$357,6,FALSE())</f>
        <v>Sí</v>
      </c>
      <c r="J272" s="102" t="str">
        <f aca="false">IF(VLOOKUP($D272,'[2]5. Demanda'!$D$4:$J$357,7,FALSE())=0,"",VLOOKUP($D272,'[2]5. Demanda'!$D$4:$J$357,7,FALSE()))</f>
        <v/>
      </c>
      <c r="K272" s="79" t="n">
        <v>0.204720760066735</v>
      </c>
      <c r="L272" s="79" t="n">
        <v>0.087210678594477</v>
      </c>
      <c r="M272" s="79" t="n">
        <v>0.332138014701435</v>
      </c>
      <c r="N272" s="79" t="n">
        <v>0.141490201773832</v>
      </c>
      <c r="O272" s="79" t="n">
        <v>0.358282176130616</v>
      </c>
      <c r="P272" s="79" t="n">
        <v>0.15262756790504</v>
      </c>
      <c r="Q272" s="80"/>
      <c r="R272" s="80"/>
      <c r="S272" s="80"/>
      <c r="T272" s="80"/>
      <c r="U272" s="80"/>
      <c r="V272" s="80"/>
      <c r="W272" s="80"/>
      <c r="X272" s="80"/>
      <c r="Y272" s="80"/>
      <c r="Z272" s="75"/>
    </row>
    <row r="273" customFormat="false" ht="15.75" hidden="false" customHeight="false" outlineLevel="0" collapsed="false">
      <c r="C273" s="69" t="n">
        <v>268</v>
      </c>
      <c r="D273" s="78" t="s">
        <v>1652</v>
      </c>
      <c r="E273" s="63" t="s">
        <v>1648</v>
      </c>
      <c r="F273" s="101" t="n">
        <f aca="false">VLOOKUP(D273,'[2]5. Demanda'!$D$4:$F$357,3,FALSE())</f>
        <v>13.8</v>
      </c>
      <c r="G273" s="63" t="str">
        <f aca="false">VLOOKUP(D273,'[2]5. Demanda'!D$4:J$357,4,FALSE())</f>
        <v>residencial</v>
      </c>
      <c r="H273" s="63" t="str">
        <f aca="false">VLOOKUP($D273,'[2]5. Demanda'!$D$4:$J$357,5,FALSE())</f>
        <v>San Gil 115 kV</v>
      </c>
      <c r="I273" s="63" t="str">
        <f aca="false">VLOOKUP($D273,'[2]5. Demanda'!$D$4:$J$357,6,FALSE())</f>
        <v>Sí</v>
      </c>
      <c r="J273" s="102" t="str">
        <f aca="false">IF(VLOOKUP($D273,'[2]5. Demanda'!$D$4:$J$357,7,FALSE())=0,"",VLOOKUP($D273,'[2]5. Demanda'!$D$4:$J$357,7,FALSE()))</f>
        <v/>
      </c>
      <c r="K273" s="79" t="n">
        <v>0.151881863461108</v>
      </c>
      <c r="L273" s="79" t="n">
        <v>0.0647014028978747</v>
      </c>
      <c r="M273" s="79" t="n">
        <v>0.231653583787475</v>
      </c>
      <c r="N273" s="79" t="n">
        <v>0.0986840134550234</v>
      </c>
      <c r="O273" s="79" t="n">
        <v>0.271819590579934</v>
      </c>
      <c r="P273" s="79" t="n">
        <v>0.115794660697926</v>
      </c>
      <c r="Q273" s="80"/>
      <c r="R273" s="80"/>
      <c r="S273" s="80"/>
      <c r="T273" s="80"/>
      <c r="U273" s="80"/>
      <c r="V273" s="80"/>
      <c r="W273" s="80"/>
      <c r="X273" s="80"/>
      <c r="Y273" s="80"/>
      <c r="Z273" s="75"/>
    </row>
    <row r="274" customFormat="false" ht="15.75" hidden="false" customHeight="false" outlineLevel="0" collapsed="false">
      <c r="C274" s="69" t="n">
        <v>269</v>
      </c>
      <c r="D274" s="78" t="s">
        <v>1653</v>
      </c>
      <c r="E274" s="63" t="s">
        <v>1654</v>
      </c>
      <c r="F274" s="101" t="n">
        <f aca="false">VLOOKUP(D274,'[2]5. Demanda'!$D$4:$F$357,3,FALSE())</f>
        <v>13.8</v>
      </c>
      <c r="G274" s="63" t="str">
        <f aca="false">VLOOKUP(D274,'[2]5. Demanda'!D$4:J$357,4,FALSE())</f>
        <v>residencial</v>
      </c>
      <c r="H274" s="63" t="str">
        <f aca="false">VLOOKUP($D274,'[2]5. Demanda'!$D$4:$J$357,5,FALSE())</f>
        <v>Barbosa 115 kV</v>
      </c>
      <c r="I274" s="63" t="str">
        <f aca="false">VLOOKUP($D274,'[2]5. Demanda'!$D$4:$J$357,6,FALSE())</f>
        <v>Sí</v>
      </c>
      <c r="J274" s="102" t="str">
        <f aca="false">IF(VLOOKUP($D274,'[2]5. Demanda'!$D$4:$J$357,7,FALSE())=0,"",VLOOKUP($D274,'[2]5. Demanda'!$D$4:$J$357,7,FALSE()))</f>
        <v/>
      </c>
      <c r="K274" s="79" t="n">
        <v>1.33679518308001</v>
      </c>
      <c r="L274" s="79" t="n">
        <v>0.569472363331556</v>
      </c>
      <c r="M274" s="79" t="n">
        <v>2.37040249158701</v>
      </c>
      <c r="N274" s="79" t="n">
        <v>1.00978723294088</v>
      </c>
      <c r="O274" s="79" t="n">
        <v>2.66196974675738</v>
      </c>
      <c r="P274" s="79" t="n">
        <v>1.13399436352719</v>
      </c>
      <c r="Q274" s="80"/>
      <c r="R274" s="80"/>
      <c r="S274" s="80"/>
      <c r="T274" s="80"/>
      <c r="U274" s="80"/>
      <c r="V274" s="80"/>
      <c r="W274" s="80"/>
      <c r="X274" s="80"/>
      <c r="Y274" s="80"/>
      <c r="Z274" s="75"/>
    </row>
    <row r="275" customFormat="false" ht="15.75" hidden="false" customHeight="false" outlineLevel="0" collapsed="false">
      <c r="C275" s="69" t="n">
        <v>270</v>
      </c>
      <c r="D275" s="78" t="s">
        <v>1655</v>
      </c>
      <c r="E275" s="63" t="s">
        <v>1654</v>
      </c>
      <c r="F275" s="101" t="n">
        <f aca="false">VLOOKUP(D275,'[2]5. Demanda'!$D$4:$F$357,3,FALSE())</f>
        <v>13.8</v>
      </c>
      <c r="G275" s="63" t="str">
        <f aca="false">VLOOKUP(D275,'[2]5. Demanda'!D$4:J$357,4,FALSE())</f>
        <v>residencial</v>
      </c>
      <c r="H275" s="63" t="str">
        <f aca="false">VLOOKUP($D275,'[2]5. Demanda'!$D$4:$J$357,5,FALSE())</f>
        <v>Barbosa 115 kV</v>
      </c>
      <c r="I275" s="63" t="str">
        <f aca="false">VLOOKUP($D275,'[2]5. Demanda'!$D$4:$J$357,6,FALSE())</f>
        <v>Sí</v>
      </c>
      <c r="J275" s="102" t="str">
        <f aca="false">IF(VLOOKUP($D275,'[2]5. Demanda'!$D$4:$J$357,7,FALSE())=0,"",VLOOKUP($D275,'[2]5. Demanda'!$D$4:$J$357,7,FALSE()))</f>
        <v/>
      </c>
      <c r="K275" s="79" t="n">
        <v>0.892141365511479</v>
      </c>
      <c r="L275" s="79" t="n">
        <v>0.380050630249208</v>
      </c>
      <c r="M275" s="79" t="n">
        <v>1.28853391195637</v>
      </c>
      <c r="N275" s="79" t="n">
        <v>0.548913147924418</v>
      </c>
      <c r="O275" s="79" t="n">
        <v>1.44375025481515</v>
      </c>
      <c r="P275" s="79" t="n">
        <v>0.615035033097445</v>
      </c>
      <c r="Q275" s="80"/>
      <c r="R275" s="80"/>
      <c r="S275" s="80"/>
      <c r="T275" s="80"/>
      <c r="U275" s="80"/>
      <c r="V275" s="80"/>
      <c r="W275" s="80"/>
      <c r="X275" s="80"/>
      <c r="Y275" s="80"/>
      <c r="Z275" s="75"/>
    </row>
    <row r="276" customFormat="false" ht="15.75" hidden="false" customHeight="false" outlineLevel="0" collapsed="false">
      <c r="C276" s="69" t="n">
        <v>271</v>
      </c>
      <c r="D276" s="78" t="s">
        <v>1656</v>
      </c>
      <c r="E276" s="63" t="s">
        <v>1654</v>
      </c>
      <c r="F276" s="101" t="n">
        <f aca="false">VLOOKUP(D276,'[2]5. Demanda'!$D$4:$F$357,3,FALSE())</f>
        <v>13.8</v>
      </c>
      <c r="G276" s="63" t="str">
        <f aca="false">VLOOKUP(D276,'[2]5. Demanda'!D$4:J$357,4,FALSE())</f>
        <v>residencial</v>
      </c>
      <c r="H276" s="63" t="str">
        <f aca="false">VLOOKUP($D276,'[2]5. Demanda'!$D$4:$J$357,5,FALSE())</f>
        <v>Barbosa 115 kV</v>
      </c>
      <c r="I276" s="63" t="str">
        <f aca="false">VLOOKUP($D276,'[2]5. Demanda'!$D$4:$J$357,6,FALSE())</f>
        <v>Sí</v>
      </c>
      <c r="J276" s="102" t="str">
        <f aca="false">IF(VLOOKUP($D276,'[2]5. Demanda'!$D$4:$J$357,7,FALSE())=0,"",VLOOKUP($D276,'[2]5. Demanda'!$D$4:$J$357,7,FALSE()))</f>
        <v/>
      </c>
      <c r="K276" s="79" t="n">
        <v>1.02701519814069</v>
      </c>
      <c r="L276" s="79" t="n">
        <v>0.437506642352706</v>
      </c>
      <c r="M276" s="79" t="n">
        <v>1.47602941973966</v>
      </c>
      <c r="N276" s="79" t="n">
        <v>0.628785899773651</v>
      </c>
      <c r="O276" s="79" t="n">
        <v>1.90361937545548</v>
      </c>
      <c r="P276" s="79" t="n">
        <v>0.810938458146349</v>
      </c>
      <c r="Q276" s="80"/>
      <c r="R276" s="80"/>
      <c r="S276" s="80"/>
      <c r="T276" s="80"/>
      <c r="U276" s="80"/>
      <c r="V276" s="80"/>
      <c r="W276" s="80"/>
      <c r="X276" s="80"/>
      <c r="Y276" s="80"/>
      <c r="Z276" s="75"/>
    </row>
    <row r="277" customFormat="false" ht="15.75" hidden="false" customHeight="false" outlineLevel="0" collapsed="false">
      <c r="C277" s="69" t="n">
        <v>272</v>
      </c>
      <c r="D277" s="78" t="s">
        <v>1657</v>
      </c>
      <c r="E277" s="63" t="s">
        <v>1654</v>
      </c>
      <c r="F277" s="101" t="n">
        <f aca="false">VLOOKUP(D277,'[2]5. Demanda'!$D$4:$F$357,3,FALSE())</f>
        <v>13.8</v>
      </c>
      <c r="G277" s="63" t="str">
        <f aca="false">VLOOKUP(D277,'[2]5. Demanda'!D$4:J$357,4,FALSE())</f>
        <v>residencial</v>
      </c>
      <c r="H277" s="63" t="str">
        <f aca="false">VLOOKUP($D277,'[2]5. Demanda'!$D$4:$J$357,5,FALSE())</f>
        <v>Barbosa 115 kV</v>
      </c>
      <c r="I277" s="63" t="str">
        <f aca="false">VLOOKUP($D277,'[2]5. Demanda'!$D$4:$J$357,6,FALSE())</f>
        <v>Sí</v>
      </c>
      <c r="J277" s="102" t="str">
        <f aca="false">IF(VLOOKUP($D277,'[2]5. Demanda'!$D$4:$J$357,7,FALSE())=0,"",VLOOKUP($D277,'[2]5. Demanda'!$D$4:$J$357,7,FALSE()))</f>
        <v/>
      </c>
      <c r="K277" s="79" t="n">
        <v>0.431802752500628</v>
      </c>
      <c r="L277" s="79" t="n">
        <v>0.183947202287971</v>
      </c>
      <c r="M277" s="79" t="n">
        <v>0.704092566427804</v>
      </c>
      <c r="N277" s="79" t="n">
        <v>0.299942177293007</v>
      </c>
      <c r="O277" s="79" t="n">
        <v>0.807398490591576</v>
      </c>
      <c r="P277" s="79" t="n">
        <v>0.343950316703076</v>
      </c>
      <c r="Q277" s="80"/>
      <c r="R277" s="80"/>
      <c r="S277" s="80"/>
      <c r="T277" s="80"/>
      <c r="U277" s="80"/>
      <c r="V277" s="80"/>
      <c r="W277" s="80"/>
      <c r="X277" s="80"/>
      <c r="Y277" s="80"/>
      <c r="Z277" s="75"/>
    </row>
    <row r="278" customFormat="false" ht="15.75" hidden="false" customHeight="false" outlineLevel="0" collapsed="false">
      <c r="C278" s="69" t="n">
        <v>273</v>
      </c>
      <c r="D278" s="78" t="s">
        <v>1658</v>
      </c>
      <c r="E278" s="63" t="s">
        <v>1659</v>
      </c>
      <c r="F278" s="101" t="n">
        <f aca="false">VLOOKUP(D278,'[2]5. Demanda'!$D$4:$F$357,3,FALSE())</f>
        <v>13.8</v>
      </c>
      <c r="G278" s="63" t="str">
        <f aca="false">VLOOKUP(D278,'[2]5. Demanda'!D$4:J$357,4,FALSE())</f>
        <v>residencial</v>
      </c>
      <c r="H278" s="63" t="str">
        <f aca="false">VLOOKUP($D278,'[2]5. Demanda'!$D$4:$J$357,5,FALSE())</f>
        <v>Barbosa 115 kV</v>
      </c>
      <c r="I278" s="63" t="str">
        <f aca="false">VLOOKUP($D278,'[2]5. Demanda'!$D$4:$J$357,6,FALSE())</f>
        <v>Sí</v>
      </c>
      <c r="J278" s="102" t="str">
        <f aca="false">IF(VLOOKUP($D278,'[2]5. Demanda'!$D$4:$J$357,7,FALSE())=0,"",VLOOKUP($D278,'[2]5. Demanda'!$D$4:$J$357,7,FALSE()))</f>
        <v/>
      </c>
      <c r="K278" s="79" t="n">
        <v>0.302698543725503</v>
      </c>
      <c r="L278" s="79" t="n">
        <v>0.128949039654091</v>
      </c>
      <c r="M278" s="79" t="n">
        <v>0.548962684498046</v>
      </c>
      <c r="N278" s="79" t="n">
        <v>0.23385712432151</v>
      </c>
      <c r="O278" s="79" t="n">
        <v>0.625124428597351</v>
      </c>
      <c r="P278" s="79" t="n">
        <v>0.266301891445636</v>
      </c>
      <c r="Q278" s="80"/>
      <c r="R278" s="80"/>
      <c r="S278" s="80"/>
      <c r="T278" s="80"/>
      <c r="U278" s="80"/>
      <c r="V278" s="80"/>
      <c r="W278" s="80"/>
      <c r="X278" s="80"/>
      <c r="Y278" s="80"/>
      <c r="Z278" s="75"/>
    </row>
    <row r="279" customFormat="false" ht="15.75" hidden="false" customHeight="false" outlineLevel="0" collapsed="false">
      <c r="C279" s="69" t="n">
        <v>274</v>
      </c>
      <c r="D279" s="78" t="s">
        <v>1660</v>
      </c>
      <c r="E279" s="63" t="s">
        <v>1659</v>
      </c>
      <c r="F279" s="101" t="n">
        <f aca="false">VLOOKUP(D279,'[2]5. Demanda'!$D$4:$F$357,3,FALSE())</f>
        <v>13.8</v>
      </c>
      <c r="G279" s="63" t="str">
        <f aca="false">VLOOKUP(D279,'[2]5. Demanda'!D$4:J$357,4,FALSE())</f>
        <v>residencial</v>
      </c>
      <c r="H279" s="63" t="str">
        <f aca="false">VLOOKUP($D279,'[2]5. Demanda'!$D$4:$J$357,5,FALSE())</f>
        <v>Barbosa 115 kV</v>
      </c>
      <c r="I279" s="63" t="str">
        <f aca="false">VLOOKUP($D279,'[2]5. Demanda'!$D$4:$J$357,6,FALSE())</f>
        <v>Sí</v>
      </c>
      <c r="J279" s="102" t="str">
        <f aca="false">IF(VLOOKUP($D279,'[2]5. Demanda'!$D$4:$J$357,7,FALSE())=0,"",VLOOKUP($D279,'[2]5. Demanda'!$D$4:$J$357,7,FALSE()))</f>
        <v/>
      </c>
      <c r="K279" s="79" t="n">
        <v>0.283518157455886</v>
      </c>
      <c r="L279" s="79" t="n">
        <v>0.120778229318431</v>
      </c>
      <c r="M279" s="79" t="n">
        <v>0.42456289706</v>
      </c>
      <c r="N279" s="79" t="n">
        <v>0.180863036785179</v>
      </c>
      <c r="O279" s="79" t="n">
        <v>0.557655229261129</v>
      </c>
      <c r="P279" s="79" t="n">
        <v>0.237560132884267</v>
      </c>
      <c r="Q279" s="80"/>
      <c r="R279" s="80"/>
      <c r="S279" s="80"/>
      <c r="T279" s="80"/>
      <c r="U279" s="80"/>
      <c r="V279" s="80"/>
      <c r="W279" s="80"/>
      <c r="X279" s="80"/>
      <c r="Y279" s="80"/>
      <c r="Z279" s="75"/>
    </row>
    <row r="280" customFormat="false" ht="15.75" hidden="false" customHeight="false" outlineLevel="0" collapsed="false">
      <c r="C280" s="69" t="n">
        <v>275</v>
      </c>
      <c r="D280" s="78" t="s">
        <v>1661</v>
      </c>
      <c r="E280" s="63" t="s">
        <v>1659</v>
      </c>
      <c r="F280" s="101" t="n">
        <f aca="false">VLOOKUP(D280,'[2]5. Demanda'!$D$4:$F$357,3,FALSE())</f>
        <v>13.8</v>
      </c>
      <c r="G280" s="63" t="str">
        <f aca="false">VLOOKUP(D280,'[2]5. Demanda'!D$4:J$357,4,FALSE())</f>
        <v>residencial</v>
      </c>
      <c r="H280" s="63" t="str">
        <f aca="false">VLOOKUP($D280,'[2]5. Demanda'!$D$4:$J$357,5,FALSE())</f>
        <v>Barbosa 115 kV</v>
      </c>
      <c r="I280" s="63" t="str">
        <f aca="false">VLOOKUP($D280,'[2]5. Demanda'!$D$4:$J$357,6,FALSE())</f>
        <v>Sí</v>
      </c>
      <c r="J280" s="102" t="str">
        <f aca="false">IF(VLOOKUP($D280,'[2]5. Demanda'!$D$4:$J$357,7,FALSE())=0,"",VLOOKUP($D280,'[2]5. Demanda'!$D$4:$J$357,7,FALSE()))</f>
        <v/>
      </c>
      <c r="K280" s="79" t="n">
        <v>0.283889717220463</v>
      </c>
      <c r="L280" s="79" t="n">
        <v>0.120936513115329</v>
      </c>
      <c r="M280" s="79" t="n">
        <v>0.342610641653947</v>
      </c>
      <c r="N280" s="79" t="n">
        <v>0.145951522173862</v>
      </c>
      <c r="O280" s="79" t="n">
        <v>0.469974201032931</v>
      </c>
      <c r="P280" s="79" t="n">
        <v>0.200208171270067</v>
      </c>
      <c r="Q280" s="80"/>
      <c r="R280" s="80"/>
      <c r="S280" s="80"/>
      <c r="T280" s="80"/>
      <c r="U280" s="80"/>
      <c r="V280" s="80"/>
      <c r="W280" s="80"/>
      <c r="X280" s="80"/>
      <c r="Y280" s="80"/>
      <c r="Z280" s="75"/>
    </row>
    <row r="281" customFormat="false" ht="15.75" hidden="false" customHeight="false" outlineLevel="0" collapsed="false">
      <c r="C281" s="69" t="n">
        <v>276</v>
      </c>
      <c r="D281" s="78" t="s">
        <v>1662</v>
      </c>
      <c r="E281" s="63" t="s">
        <v>1659</v>
      </c>
      <c r="F281" s="101" t="n">
        <f aca="false">VLOOKUP(D281,'[2]5. Demanda'!$D$4:$F$357,3,FALSE())</f>
        <v>13.8</v>
      </c>
      <c r="G281" s="63" t="str">
        <f aca="false">VLOOKUP(D281,'[2]5. Demanda'!D$4:J$357,4,FALSE())</f>
        <v>residencial</v>
      </c>
      <c r="H281" s="63" t="str">
        <f aca="false">VLOOKUP($D281,'[2]5. Demanda'!$D$4:$J$357,5,FALSE())</f>
        <v>Barbosa 115 kV</v>
      </c>
      <c r="I281" s="63" t="str">
        <f aca="false">VLOOKUP($D281,'[2]5. Demanda'!$D$4:$J$357,6,FALSE())</f>
        <v>Sí</v>
      </c>
      <c r="J281" s="102" t="str">
        <f aca="false">IF(VLOOKUP($D281,'[2]5. Demanda'!$D$4:$J$357,7,FALSE())=0,"",VLOOKUP($D281,'[2]5. Demanda'!$D$4:$J$357,7,FALSE()))</f>
        <v/>
      </c>
      <c r="K281" s="79" t="n">
        <v>0.0808276976072413</v>
      </c>
      <c r="L281" s="79" t="n">
        <v>0.0344324549950814</v>
      </c>
      <c r="M281" s="79" t="n">
        <v>0.103450726259866</v>
      </c>
      <c r="N281" s="79" t="n">
        <v>0.0440698248446976</v>
      </c>
      <c r="O281" s="79" t="n">
        <v>0.122447489334423</v>
      </c>
      <c r="P281" s="79" t="n">
        <v>0.0521624120268211</v>
      </c>
      <c r="Q281" s="80"/>
      <c r="R281" s="80"/>
      <c r="S281" s="80"/>
      <c r="T281" s="80"/>
      <c r="U281" s="80"/>
      <c r="V281" s="80"/>
      <c r="W281" s="80"/>
      <c r="X281" s="80"/>
      <c r="Y281" s="80"/>
      <c r="Z281" s="75"/>
    </row>
    <row r="282" customFormat="false" ht="15.75" hidden="false" customHeight="false" outlineLevel="0" collapsed="false">
      <c r="C282" s="69" t="n">
        <v>277</v>
      </c>
      <c r="D282" s="78" t="s">
        <v>1663</v>
      </c>
      <c r="E282" s="63" t="s">
        <v>1659</v>
      </c>
      <c r="F282" s="101" t="n">
        <f aca="false">VLOOKUP(D282,'[2]5. Demanda'!$D$4:$F$357,3,FALSE())</f>
        <v>13.8</v>
      </c>
      <c r="G282" s="63" t="str">
        <f aca="false">VLOOKUP(D282,'[2]5. Demanda'!D$4:J$357,4,FALSE())</f>
        <v>residencial</v>
      </c>
      <c r="H282" s="63" t="str">
        <f aca="false">VLOOKUP($D282,'[2]5. Demanda'!$D$4:$J$357,5,FALSE())</f>
        <v>Barbosa 115 kV</v>
      </c>
      <c r="I282" s="63" t="str">
        <f aca="false">VLOOKUP($D282,'[2]5. Demanda'!$D$4:$J$357,6,FALSE())</f>
        <v>Sí</v>
      </c>
      <c r="J282" s="102" t="str">
        <f aca="false">IF(VLOOKUP($D282,'[2]5. Demanda'!$D$4:$J$357,7,FALSE())=0,"",VLOOKUP($D282,'[2]5. Demanda'!$D$4:$J$357,7,FALSE()))</f>
        <v/>
      </c>
      <c r="K282" s="79" t="n">
        <v>0.074453809988433</v>
      </c>
      <c r="L282" s="79" t="n">
        <v>0.0317171902396164</v>
      </c>
      <c r="M282" s="79" t="n">
        <v>0.106336326052002</v>
      </c>
      <c r="N282" s="79" t="n">
        <v>0.0452990852086308</v>
      </c>
      <c r="O282" s="79" t="n">
        <v>0.144539296895638</v>
      </c>
      <c r="P282" s="79" t="n">
        <v>0.0615734826391231</v>
      </c>
      <c r="Q282" s="80"/>
      <c r="R282" s="80"/>
      <c r="S282" s="80"/>
      <c r="T282" s="80"/>
      <c r="U282" s="80"/>
      <c r="V282" s="80"/>
      <c r="W282" s="80"/>
      <c r="X282" s="80"/>
      <c r="Y282" s="80"/>
      <c r="Z282" s="75"/>
    </row>
    <row r="283" customFormat="false" ht="15.75" hidden="false" customHeight="false" outlineLevel="0" collapsed="false">
      <c r="C283" s="69" t="n">
        <v>278</v>
      </c>
      <c r="D283" s="78" t="s">
        <v>1664</v>
      </c>
      <c r="E283" s="63" t="s">
        <v>1659</v>
      </c>
      <c r="F283" s="101" t="n">
        <f aca="false">VLOOKUP(D283,'[2]5. Demanda'!$D$4:$F$357,3,FALSE())</f>
        <v>13.8</v>
      </c>
      <c r="G283" s="63" t="str">
        <f aca="false">VLOOKUP(D283,'[2]5. Demanda'!D$4:J$357,4,FALSE())</f>
        <v>residencial</v>
      </c>
      <c r="H283" s="63" t="str">
        <f aca="false">VLOOKUP($D283,'[2]5. Demanda'!$D$4:$J$357,5,FALSE())</f>
        <v>Barbosa 115 kV</v>
      </c>
      <c r="I283" s="63" t="str">
        <f aca="false">VLOOKUP($D283,'[2]5. Demanda'!$D$4:$J$357,6,FALSE())</f>
        <v>Sí</v>
      </c>
      <c r="J283" s="102" t="str">
        <f aca="false">IF(VLOOKUP($D283,'[2]5. Demanda'!$D$4:$J$357,7,FALSE())=0,"",VLOOKUP($D283,'[2]5. Demanda'!$D$4:$J$357,7,FALSE()))</f>
        <v/>
      </c>
      <c r="K283" s="79" t="n">
        <v>0.192538579838847</v>
      </c>
      <c r="L283" s="79" t="n">
        <v>0.0820210915487471</v>
      </c>
      <c r="M283" s="79" t="n">
        <v>0.300065321976067</v>
      </c>
      <c r="N283" s="79" t="n">
        <v>0.127827291886141</v>
      </c>
      <c r="O283" s="79" t="n">
        <v>0.389209474205619</v>
      </c>
      <c r="P283" s="79" t="n">
        <v>0.165802541714904</v>
      </c>
      <c r="Q283" s="80"/>
      <c r="R283" s="80"/>
      <c r="S283" s="80"/>
      <c r="T283" s="80"/>
      <c r="U283" s="80"/>
      <c r="V283" s="80"/>
      <c r="W283" s="80"/>
      <c r="X283" s="80"/>
      <c r="Y283" s="80"/>
      <c r="Z283" s="75"/>
    </row>
    <row r="284" customFormat="false" ht="15.75" hidden="false" customHeight="false" outlineLevel="0" collapsed="false">
      <c r="C284" s="69" t="n">
        <v>279</v>
      </c>
      <c r="D284" s="78" t="s">
        <v>1665</v>
      </c>
      <c r="E284" s="63" t="s">
        <v>1666</v>
      </c>
      <c r="F284" s="101" t="n">
        <f aca="false">VLOOKUP(D284,'[2]5. Demanda'!$D$4:$F$357,3,FALSE())</f>
        <v>13.8</v>
      </c>
      <c r="G284" s="63" t="str">
        <f aca="false">VLOOKUP(D284,'[2]5. Demanda'!D$4:J$357,4,FALSE())</f>
        <v>residencial</v>
      </c>
      <c r="H284" s="63" t="str">
        <f aca="false">VLOOKUP($D284,'[2]5. Demanda'!$D$4:$J$357,5,FALSE())</f>
        <v>Buenavista 115 kV</v>
      </c>
      <c r="I284" s="63" t="str">
        <f aca="false">VLOOKUP($D284,'[2]5. Demanda'!$D$4:$J$357,6,FALSE())</f>
        <v>No</v>
      </c>
      <c r="J284" s="102" t="n">
        <f aca="false">IF(VLOOKUP($D284,'[2]5. Demanda'!$D$4:$J$357,7,FALSE())=0,"",VLOOKUP($D284,'[2]5. Demanda'!$D$4:$J$357,7,FALSE()))</f>
        <v>46022</v>
      </c>
      <c r="K284" s="79" t="n">
        <v>0.42001</v>
      </c>
      <c r="L284" s="79" t="n">
        <v>0.20342</v>
      </c>
      <c r="M284" s="79" t="n">
        <v>0.64748</v>
      </c>
      <c r="N284" s="79" t="n">
        <v>0.31359</v>
      </c>
      <c r="O284" s="79" t="n">
        <v>0.79755</v>
      </c>
      <c r="P284" s="79" t="n">
        <v>0.38627</v>
      </c>
      <c r="Q284" s="80"/>
      <c r="R284" s="80"/>
      <c r="S284" s="80"/>
      <c r="T284" s="80"/>
      <c r="U284" s="80"/>
      <c r="V284" s="80"/>
      <c r="W284" s="80"/>
      <c r="X284" s="80"/>
      <c r="Y284" s="80"/>
      <c r="Z284" s="75"/>
    </row>
    <row r="285" customFormat="false" ht="15.75" hidden="false" customHeight="false" outlineLevel="0" collapsed="false">
      <c r="C285" s="69" t="n">
        <v>280</v>
      </c>
      <c r="D285" s="78" t="s">
        <v>1667</v>
      </c>
      <c r="E285" s="63" t="s">
        <v>1666</v>
      </c>
      <c r="F285" s="101" t="n">
        <f aca="false">VLOOKUP(D285,'[2]5. Demanda'!$D$4:$F$357,3,FALSE())</f>
        <v>13.8</v>
      </c>
      <c r="G285" s="63" t="str">
        <f aca="false">VLOOKUP(D285,'[2]5. Demanda'!D$4:J$357,4,FALSE())</f>
        <v>residencial</v>
      </c>
      <c r="H285" s="63" t="str">
        <f aca="false">VLOOKUP($D285,'[2]5. Demanda'!$D$4:$J$357,5,FALSE())</f>
        <v>Buenavista 115 kV</v>
      </c>
      <c r="I285" s="63" t="str">
        <f aca="false">VLOOKUP($D285,'[2]5. Demanda'!$D$4:$J$357,6,FALSE())</f>
        <v>No</v>
      </c>
      <c r="J285" s="102" t="n">
        <f aca="false">IF(VLOOKUP($D285,'[2]5. Demanda'!$D$4:$J$357,7,FALSE())=0,"",VLOOKUP($D285,'[2]5. Demanda'!$D$4:$J$357,7,FALSE()))</f>
        <v>46022</v>
      </c>
      <c r="K285" s="79" t="n">
        <v>0.23691</v>
      </c>
      <c r="L285" s="79" t="n">
        <v>0.11474</v>
      </c>
      <c r="M285" s="79" t="n">
        <v>0.38226</v>
      </c>
      <c r="N285" s="79" t="n">
        <v>0.18514</v>
      </c>
      <c r="O285" s="79" t="n">
        <v>0.47948</v>
      </c>
      <c r="P285" s="79" t="n">
        <v>0.23222</v>
      </c>
      <c r="Q285" s="80"/>
      <c r="R285" s="80"/>
      <c r="S285" s="80"/>
      <c r="T285" s="80"/>
      <c r="U285" s="80"/>
      <c r="V285" s="80"/>
      <c r="W285" s="80"/>
      <c r="X285" s="80"/>
      <c r="Y285" s="80"/>
      <c r="Z285" s="75"/>
    </row>
    <row r="286" customFormat="false" ht="15.75" hidden="false" customHeight="false" outlineLevel="0" collapsed="false">
      <c r="C286" s="69" t="n">
        <v>281</v>
      </c>
      <c r="D286" s="78" t="s">
        <v>1668</v>
      </c>
      <c r="E286" s="63" t="s">
        <v>1666</v>
      </c>
      <c r="F286" s="101" t="n">
        <f aca="false">VLOOKUP(D286,'[2]5. Demanda'!$D$4:$F$357,3,FALSE())</f>
        <v>13.8</v>
      </c>
      <c r="G286" s="63" t="str">
        <f aca="false">VLOOKUP(D286,'[2]5. Demanda'!D$4:J$357,4,FALSE())</f>
        <v>residencial</v>
      </c>
      <c r="H286" s="63" t="str">
        <f aca="false">VLOOKUP($D286,'[2]5. Demanda'!$D$4:$J$357,5,FALSE())</f>
        <v>Buenavista 115 kV</v>
      </c>
      <c r="I286" s="63" t="str">
        <f aca="false">VLOOKUP($D286,'[2]5. Demanda'!$D$4:$J$357,6,FALSE())</f>
        <v>No</v>
      </c>
      <c r="J286" s="102" t="n">
        <f aca="false">IF(VLOOKUP($D286,'[2]5. Demanda'!$D$4:$J$357,7,FALSE())=0,"",VLOOKUP($D286,'[2]5. Demanda'!$D$4:$J$357,7,FALSE()))</f>
        <v>46022</v>
      </c>
      <c r="K286" s="79" t="n">
        <v>0.30958</v>
      </c>
      <c r="L286" s="79" t="n">
        <v>0.14994</v>
      </c>
      <c r="M286" s="79" t="n">
        <v>0.4993</v>
      </c>
      <c r="N286" s="79" t="n">
        <v>0.24182</v>
      </c>
      <c r="O286" s="79" t="n">
        <v>0.62577</v>
      </c>
      <c r="P286" s="79" t="n">
        <v>0.30308</v>
      </c>
      <c r="Q286" s="80"/>
      <c r="R286" s="80"/>
      <c r="S286" s="80"/>
      <c r="T286" s="80"/>
      <c r="U286" s="80"/>
      <c r="V286" s="80"/>
      <c r="W286" s="80"/>
      <c r="X286" s="80"/>
      <c r="Y286" s="80"/>
      <c r="Z286" s="75"/>
    </row>
    <row r="287" customFormat="false" ht="15.75" hidden="false" customHeight="false" outlineLevel="0" collapsed="false">
      <c r="C287" s="69" t="n">
        <v>282</v>
      </c>
      <c r="D287" s="78" t="s">
        <v>1669</v>
      </c>
      <c r="E287" s="63" t="s">
        <v>1666</v>
      </c>
      <c r="F287" s="101" t="n">
        <f aca="false">VLOOKUP(D287,'[2]5. Demanda'!$D$4:$F$357,3,FALSE())</f>
        <v>13.8</v>
      </c>
      <c r="G287" s="63" t="str">
        <f aca="false">VLOOKUP(D287,'[2]5. Demanda'!D$4:J$357,4,FALSE())</f>
        <v>residencial</v>
      </c>
      <c r="H287" s="63" t="str">
        <f aca="false">VLOOKUP($D287,'[2]5. Demanda'!$D$4:$J$357,5,FALSE())</f>
        <v>Buenavista 115 kV</v>
      </c>
      <c r="I287" s="63" t="str">
        <f aca="false">VLOOKUP($D287,'[2]5. Demanda'!$D$4:$J$357,6,FALSE())</f>
        <v>No</v>
      </c>
      <c r="J287" s="102" t="n">
        <f aca="false">IF(VLOOKUP($D287,'[2]5. Demanda'!$D$4:$J$357,7,FALSE())=0,"",VLOOKUP($D287,'[2]5. Demanda'!$D$4:$J$357,7,FALSE()))</f>
        <v>46022</v>
      </c>
      <c r="K287" s="79" t="n">
        <v>0.47759</v>
      </c>
      <c r="L287" s="79" t="n">
        <v>0.23131</v>
      </c>
      <c r="M287" s="79" t="n">
        <v>0.76546</v>
      </c>
      <c r="N287" s="79" t="n">
        <v>0.37073</v>
      </c>
      <c r="O287" s="79" t="n">
        <v>0.95612</v>
      </c>
      <c r="P287" s="79" t="n">
        <v>0.46307</v>
      </c>
      <c r="Q287" s="80"/>
      <c r="R287" s="80"/>
      <c r="S287" s="80"/>
      <c r="T287" s="80"/>
      <c r="U287" s="80"/>
      <c r="V287" s="80"/>
      <c r="W287" s="80"/>
      <c r="X287" s="80"/>
      <c r="Y287" s="80"/>
      <c r="Z287" s="75"/>
    </row>
    <row r="288" customFormat="false" ht="15.75" hidden="false" customHeight="false" outlineLevel="0" collapsed="false">
      <c r="C288" s="69" t="n">
        <v>283</v>
      </c>
      <c r="D288" s="78" t="s">
        <v>1670</v>
      </c>
      <c r="E288" s="63" t="s">
        <v>1671</v>
      </c>
      <c r="F288" s="101" t="n">
        <f aca="false">VLOOKUP(D288,'[2]5. Demanda'!$D$4:$F$357,3,FALSE())</f>
        <v>13.8</v>
      </c>
      <c r="G288" s="63" t="str">
        <f aca="false">VLOOKUP(D288,'[2]5. Demanda'!D$4:J$357,4,FALSE())</f>
        <v>residencial</v>
      </c>
      <c r="H288" s="63" t="str">
        <f aca="false">VLOOKUP($D288,'[2]5. Demanda'!$D$4:$J$357,5,FALSE())</f>
        <v>Barbosa 115 kV</v>
      </c>
      <c r="I288" s="63" t="str">
        <f aca="false">VLOOKUP($D288,'[2]5. Demanda'!$D$4:$J$357,6,FALSE())</f>
        <v>Sí</v>
      </c>
      <c r="J288" s="102" t="str">
        <f aca="false">IF(VLOOKUP($D288,'[2]5. Demanda'!$D$4:$J$357,7,FALSE())=0,"",VLOOKUP($D288,'[2]5. Demanda'!$D$4:$J$357,7,FALSE()))</f>
        <v/>
      </c>
      <c r="K288" s="79" t="n">
        <v>0.115594424476878</v>
      </c>
      <c r="L288" s="79" t="n">
        <v>0.0492430186224412</v>
      </c>
      <c r="M288" s="79" t="n">
        <v>0.180972876057933</v>
      </c>
      <c r="N288" s="79" t="n">
        <v>0.0770941223697181</v>
      </c>
      <c r="O288" s="79" t="n">
        <v>0.227667315478939</v>
      </c>
      <c r="P288" s="79" t="n">
        <v>0.0969858702665467</v>
      </c>
      <c r="Q288" s="80"/>
      <c r="R288" s="80"/>
      <c r="S288" s="80"/>
      <c r="T288" s="80"/>
      <c r="U288" s="80"/>
      <c r="V288" s="80"/>
      <c r="W288" s="80"/>
      <c r="X288" s="80"/>
      <c r="Y288" s="80"/>
      <c r="Z288" s="75"/>
    </row>
    <row r="289" customFormat="false" ht="15.75" hidden="false" customHeight="false" outlineLevel="0" collapsed="false">
      <c r="C289" s="69" t="n">
        <v>284</v>
      </c>
      <c r="D289" s="78" t="s">
        <v>1672</v>
      </c>
      <c r="E289" s="63" t="s">
        <v>1671</v>
      </c>
      <c r="F289" s="101" t="n">
        <f aca="false">VLOOKUP(D289,'[2]5. Demanda'!$D$4:$F$357,3,FALSE())</f>
        <v>13.8</v>
      </c>
      <c r="G289" s="63" t="str">
        <f aca="false">VLOOKUP(D289,'[2]5. Demanda'!D$4:J$357,4,FALSE())</f>
        <v>residencial</v>
      </c>
      <c r="H289" s="63" t="str">
        <f aca="false">VLOOKUP($D289,'[2]5. Demanda'!$D$4:$J$357,5,FALSE())</f>
        <v>Barbosa 115 kV</v>
      </c>
      <c r="I289" s="63" t="str">
        <f aca="false">VLOOKUP($D289,'[2]5. Demanda'!$D$4:$J$357,6,FALSE())</f>
        <v>Sí</v>
      </c>
      <c r="J289" s="102" t="str">
        <f aca="false">IF(VLOOKUP($D289,'[2]5. Demanda'!$D$4:$J$357,7,FALSE())=0,"",VLOOKUP($D289,'[2]5. Demanda'!$D$4:$J$357,7,FALSE()))</f>
        <v/>
      </c>
      <c r="K289" s="79" t="n">
        <v>0.174513837179257</v>
      </c>
      <c r="L289" s="79" t="n">
        <v>0.0743425833294474</v>
      </c>
      <c r="M289" s="79" t="n">
        <v>0.276859259411009</v>
      </c>
      <c r="N289" s="79" t="n">
        <v>0.117941550629881</v>
      </c>
      <c r="O289" s="79" t="n">
        <v>0.356014314822091</v>
      </c>
      <c r="P289" s="79" t="n">
        <v>0.151661463033164</v>
      </c>
      <c r="Q289" s="80"/>
      <c r="R289" s="80"/>
      <c r="S289" s="80"/>
      <c r="T289" s="80"/>
      <c r="U289" s="80"/>
      <c r="V289" s="80"/>
      <c r="W289" s="80"/>
      <c r="X289" s="80"/>
      <c r="Y289" s="80"/>
      <c r="Z289" s="75"/>
    </row>
    <row r="290" customFormat="false" ht="15.75" hidden="false" customHeight="false" outlineLevel="0" collapsed="false">
      <c r="C290" s="69" t="n">
        <v>285</v>
      </c>
      <c r="D290" s="78" t="s">
        <v>1673</v>
      </c>
      <c r="E290" s="63" t="s">
        <v>1671</v>
      </c>
      <c r="F290" s="101" t="n">
        <f aca="false">VLOOKUP(D290,'[2]5. Demanda'!$D$4:$F$357,3,FALSE())</f>
        <v>13.8</v>
      </c>
      <c r="G290" s="63" t="str">
        <f aca="false">VLOOKUP(D290,'[2]5. Demanda'!D$4:J$357,4,FALSE())</f>
        <v>residencial</v>
      </c>
      <c r="H290" s="63" t="str">
        <f aca="false">VLOOKUP($D290,'[2]5. Demanda'!$D$4:$J$357,5,FALSE())</f>
        <v>Barbosa 115 kV</v>
      </c>
      <c r="I290" s="63" t="str">
        <f aca="false">VLOOKUP($D290,'[2]5. Demanda'!$D$4:$J$357,6,FALSE())</f>
        <v>Sí</v>
      </c>
      <c r="J290" s="102" t="str">
        <f aca="false">IF(VLOOKUP($D290,'[2]5. Demanda'!$D$4:$J$357,7,FALSE())=0,"",VLOOKUP($D290,'[2]5. Demanda'!$D$4:$J$357,7,FALSE()))</f>
        <v/>
      </c>
      <c r="K290" s="79" t="n">
        <v>0.000874125168158338</v>
      </c>
      <c r="L290" s="79" t="n">
        <v>0.000372375762315212</v>
      </c>
      <c r="M290" s="79" t="n">
        <v>0.00290644746066315</v>
      </c>
      <c r="N290" s="79" t="n">
        <v>0.00123814143353611</v>
      </c>
      <c r="O290" s="79" t="n">
        <v>0.00547053515369618</v>
      </c>
      <c r="P290" s="79" t="n">
        <v>0.00233043821678497</v>
      </c>
      <c r="Q290" s="80"/>
      <c r="R290" s="80"/>
      <c r="S290" s="80"/>
      <c r="T290" s="80"/>
      <c r="U290" s="80"/>
      <c r="V290" s="80"/>
      <c r="W290" s="80"/>
      <c r="X290" s="80"/>
      <c r="Y290" s="80"/>
      <c r="Z290" s="75"/>
    </row>
    <row r="291" customFormat="false" ht="15.75" hidden="false" customHeight="false" outlineLevel="0" collapsed="false">
      <c r="C291" s="69" t="n">
        <v>286</v>
      </c>
      <c r="D291" s="78" t="s">
        <v>1674</v>
      </c>
      <c r="E291" s="63" t="s">
        <v>1671</v>
      </c>
      <c r="F291" s="101" t="n">
        <f aca="false">VLOOKUP(D291,'[2]5. Demanda'!$D$4:$F$357,3,FALSE())</f>
        <v>13.8</v>
      </c>
      <c r="G291" s="63" t="str">
        <f aca="false">VLOOKUP(D291,'[2]5. Demanda'!D$4:J$357,4,FALSE())</f>
        <v>residencial</v>
      </c>
      <c r="H291" s="63" t="str">
        <f aca="false">VLOOKUP($D291,'[2]5. Demanda'!$D$4:$J$357,5,FALSE())</f>
        <v>Barbosa 115 kV</v>
      </c>
      <c r="I291" s="63" t="str">
        <f aca="false">VLOOKUP($D291,'[2]5. Demanda'!$D$4:$J$357,6,FALSE())</f>
        <v>Sí</v>
      </c>
      <c r="J291" s="102" t="str">
        <f aca="false">IF(VLOOKUP($D291,'[2]5. Demanda'!$D$4:$J$357,7,FALSE())=0,"",VLOOKUP($D291,'[2]5. Demanda'!$D$4:$J$357,7,FALSE()))</f>
        <v/>
      </c>
      <c r="K291" s="79" t="n">
        <v>0.027369469556277</v>
      </c>
      <c r="L291" s="79" t="n">
        <v>0.0116593452075681</v>
      </c>
      <c r="M291" s="79" t="n">
        <v>0.0468350107305235</v>
      </c>
      <c r="N291" s="79" t="n">
        <v>0.019951631023923</v>
      </c>
      <c r="O291" s="79" t="n">
        <v>0.0576489412241023</v>
      </c>
      <c r="P291" s="79" t="n">
        <v>0.0245583461236085</v>
      </c>
      <c r="Q291" s="80"/>
      <c r="R291" s="80"/>
      <c r="S291" s="80"/>
      <c r="T291" s="80"/>
      <c r="U291" s="80"/>
      <c r="V291" s="80"/>
      <c r="W291" s="80"/>
      <c r="X291" s="80"/>
      <c r="Y291" s="80"/>
      <c r="Z291" s="75"/>
    </row>
    <row r="292" customFormat="false" ht="15.75" hidden="false" customHeight="false" outlineLevel="0" collapsed="false">
      <c r="C292" s="69" t="n">
        <v>287</v>
      </c>
      <c r="D292" s="78" t="s">
        <v>1675</v>
      </c>
      <c r="E292" s="63" t="s">
        <v>1671</v>
      </c>
      <c r="F292" s="101" t="n">
        <f aca="false">VLOOKUP(D292,'[2]5. Demanda'!$D$4:$F$357,3,FALSE())</f>
        <v>13.8</v>
      </c>
      <c r="G292" s="63" t="str">
        <f aca="false">VLOOKUP(D292,'[2]5. Demanda'!D$4:J$357,4,FALSE())</f>
        <v>residencial</v>
      </c>
      <c r="H292" s="63" t="str">
        <f aca="false">VLOOKUP($D292,'[2]5. Demanda'!$D$4:$J$357,5,FALSE())</f>
        <v>Barbosa 115 kV</v>
      </c>
      <c r="I292" s="63" t="str">
        <f aca="false">VLOOKUP($D292,'[2]5. Demanda'!$D$4:$J$357,6,FALSE())</f>
        <v>Sí</v>
      </c>
      <c r="J292" s="102" t="str">
        <f aca="false">IF(VLOOKUP($D292,'[2]5. Demanda'!$D$4:$J$357,7,FALSE())=0,"",VLOOKUP($D292,'[2]5. Demanda'!$D$4:$J$357,7,FALSE()))</f>
        <v/>
      </c>
      <c r="K292" s="79" t="n">
        <v>0.107463514516545</v>
      </c>
      <c r="L292" s="79" t="n">
        <v>0.0457792654837754</v>
      </c>
      <c r="M292" s="79" t="n">
        <v>0.163507206659555</v>
      </c>
      <c r="N292" s="79" t="n">
        <v>0.0696537783623842</v>
      </c>
      <c r="O292" s="79" t="n">
        <v>0.230367917533968</v>
      </c>
      <c r="P292" s="79" t="n">
        <v>0.0981363219244827</v>
      </c>
      <c r="Q292" s="80"/>
      <c r="R292" s="80"/>
      <c r="S292" s="80"/>
      <c r="T292" s="80"/>
      <c r="U292" s="80"/>
      <c r="V292" s="80"/>
      <c r="W292" s="80"/>
      <c r="X292" s="80"/>
      <c r="Y292" s="80"/>
      <c r="Z292" s="75"/>
    </row>
    <row r="293" customFormat="false" ht="15.75" hidden="false" customHeight="false" outlineLevel="0" collapsed="false">
      <c r="C293" s="69" t="n">
        <v>288</v>
      </c>
      <c r="D293" s="78" t="s">
        <v>1676</v>
      </c>
      <c r="E293" s="63" t="s">
        <v>1671</v>
      </c>
      <c r="F293" s="101" t="n">
        <f aca="false">VLOOKUP(D293,'[2]5. Demanda'!$D$4:$F$357,3,FALSE())</f>
        <v>13.8</v>
      </c>
      <c r="G293" s="63" t="str">
        <f aca="false">VLOOKUP(D293,'[2]5. Demanda'!D$4:J$357,4,FALSE())</f>
        <v>residencial</v>
      </c>
      <c r="H293" s="63" t="str">
        <f aca="false">VLOOKUP($D293,'[2]5. Demanda'!$D$4:$J$357,5,FALSE())</f>
        <v>Barbosa 115 kV</v>
      </c>
      <c r="I293" s="63" t="str">
        <f aca="false">VLOOKUP($D293,'[2]5. Demanda'!$D$4:$J$357,6,FALSE())</f>
        <v>Sí</v>
      </c>
      <c r="J293" s="102" t="str">
        <f aca="false">IF(VLOOKUP($D293,'[2]5. Demanda'!$D$4:$J$357,7,FALSE())=0,"",VLOOKUP($D293,'[2]5. Demanda'!$D$4:$J$357,7,FALSE()))</f>
        <v/>
      </c>
      <c r="K293" s="79" t="n">
        <v>0.0763713353714545</v>
      </c>
      <c r="L293" s="79" t="n">
        <v>0.0325340526321795</v>
      </c>
      <c r="M293" s="79" t="n">
        <v>0.1337071351716</v>
      </c>
      <c r="N293" s="79" t="n">
        <v>0.0569590010677838</v>
      </c>
      <c r="O293" s="79" t="n">
        <v>0.174064709202926</v>
      </c>
      <c r="P293" s="79" t="n">
        <v>0.0741512556127137</v>
      </c>
      <c r="Q293" s="80"/>
      <c r="R293" s="80"/>
      <c r="S293" s="80"/>
      <c r="T293" s="80"/>
      <c r="U293" s="80"/>
      <c r="V293" s="80"/>
      <c r="W293" s="80"/>
      <c r="X293" s="80"/>
      <c r="Y293" s="80"/>
      <c r="Z293" s="75"/>
    </row>
    <row r="294" customFormat="false" ht="15.75" hidden="false" customHeight="false" outlineLevel="0" collapsed="false">
      <c r="C294" s="69" t="n">
        <v>289</v>
      </c>
      <c r="D294" s="78" t="s">
        <v>1677</v>
      </c>
      <c r="E294" s="63" t="s">
        <v>1678</v>
      </c>
      <c r="F294" s="101" t="n">
        <f aca="false">VLOOKUP(D294,'[2]5. Demanda'!$D$4:$F$357,3,FALSE())</f>
        <v>13.8</v>
      </c>
      <c r="G294" s="63" t="str">
        <f aca="false">VLOOKUP(D294,'[2]5. Demanda'!D$4:J$357,4,FALSE())</f>
        <v>residencial</v>
      </c>
      <c r="H294" s="63" t="str">
        <f aca="false">VLOOKUP($D294,'[2]5. Demanda'!$D$4:$J$357,5,FALSE())</f>
        <v>San Gil 115 kV</v>
      </c>
      <c r="I294" s="63" t="str">
        <f aca="false">VLOOKUP($D294,'[2]5. Demanda'!$D$4:$J$357,6,FALSE())</f>
        <v>Sí</v>
      </c>
      <c r="J294" s="102" t="str">
        <f aca="false">IF(VLOOKUP($D294,'[2]5. Demanda'!$D$4:$J$357,7,FALSE())=0,"",VLOOKUP($D294,'[2]5. Demanda'!$D$4:$J$357,7,FALSE()))</f>
        <v/>
      </c>
      <c r="K294" s="79" t="n">
        <v>0.125969372488391</v>
      </c>
      <c r="L294" s="79" t="n">
        <v>0.0536627279678516</v>
      </c>
      <c r="M294" s="79" t="n">
        <v>0.187604139847085</v>
      </c>
      <c r="N294" s="79" t="n">
        <v>0.0799190289146255</v>
      </c>
      <c r="O294" s="79" t="n">
        <v>0.242302818133288</v>
      </c>
      <c r="P294" s="79" t="n">
        <v>0.103220568289556</v>
      </c>
      <c r="Q294" s="80"/>
      <c r="R294" s="80"/>
      <c r="S294" s="80"/>
      <c r="T294" s="80"/>
      <c r="U294" s="80"/>
      <c r="V294" s="80"/>
      <c r="W294" s="80"/>
      <c r="X294" s="80"/>
      <c r="Y294" s="80"/>
      <c r="Z294" s="75"/>
    </row>
    <row r="295" customFormat="false" ht="15.75" hidden="false" customHeight="false" outlineLevel="0" collapsed="false">
      <c r="C295" s="69" t="n">
        <v>290</v>
      </c>
      <c r="D295" s="78" t="s">
        <v>1679</v>
      </c>
      <c r="E295" s="63" t="s">
        <v>1678</v>
      </c>
      <c r="F295" s="101" t="n">
        <f aca="false">VLOOKUP(D295,'[2]5. Demanda'!$D$4:$F$357,3,FALSE())</f>
        <v>13.8</v>
      </c>
      <c r="G295" s="63" t="str">
        <f aca="false">VLOOKUP(D295,'[2]5. Demanda'!D$4:J$357,4,FALSE())</f>
        <v>residencial</v>
      </c>
      <c r="H295" s="63" t="str">
        <f aca="false">VLOOKUP($D295,'[2]5. Demanda'!$D$4:$J$357,5,FALSE())</f>
        <v>San Gil 115 kV</v>
      </c>
      <c r="I295" s="63" t="str">
        <f aca="false">VLOOKUP($D295,'[2]5. Demanda'!$D$4:$J$357,6,FALSE())</f>
        <v>Sí</v>
      </c>
      <c r="J295" s="102" t="str">
        <f aca="false">IF(VLOOKUP($D295,'[2]5. Demanda'!$D$4:$J$357,7,FALSE())=0,"",VLOOKUP($D295,'[2]5. Demanda'!$D$4:$J$357,7,FALSE()))</f>
        <v/>
      </c>
      <c r="K295" s="79" t="n">
        <v>0.0840956843368674</v>
      </c>
      <c r="L295" s="79" t="n">
        <v>0.0358246115122589</v>
      </c>
      <c r="M295" s="79" t="n">
        <v>0.164869251709433</v>
      </c>
      <c r="N295" s="79" t="n">
        <v>0.0702340071239293</v>
      </c>
      <c r="O295" s="79" t="n">
        <v>0.16288994103048</v>
      </c>
      <c r="P295" s="79" t="n">
        <v>0.0693908243055162</v>
      </c>
      <c r="Q295" s="80"/>
      <c r="R295" s="80"/>
      <c r="S295" s="80"/>
      <c r="T295" s="80"/>
      <c r="U295" s="80"/>
      <c r="V295" s="80"/>
      <c r="W295" s="80"/>
      <c r="X295" s="80"/>
      <c r="Y295" s="80"/>
      <c r="Z295" s="75"/>
    </row>
    <row r="296" customFormat="false" ht="15.75" hidden="false" customHeight="false" outlineLevel="0" collapsed="false">
      <c r="C296" s="69" t="n">
        <v>291</v>
      </c>
      <c r="D296" s="78" t="s">
        <v>1680</v>
      </c>
      <c r="E296" s="63" t="s">
        <v>1678</v>
      </c>
      <c r="F296" s="101" t="n">
        <f aca="false">VLOOKUP(D296,'[2]5. Demanda'!$D$4:$F$357,3,FALSE())</f>
        <v>13.8</v>
      </c>
      <c r="G296" s="63" t="str">
        <f aca="false">VLOOKUP(D296,'[2]5. Demanda'!D$4:J$357,4,FALSE())</f>
        <v>residencial</v>
      </c>
      <c r="H296" s="63" t="str">
        <f aca="false">VLOOKUP($D296,'[2]5. Demanda'!$D$4:$J$357,5,FALSE())</f>
        <v>San Gil 115 kV</v>
      </c>
      <c r="I296" s="63" t="str">
        <f aca="false">VLOOKUP($D296,'[2]5. Demanda'!$D$4:$J$357,6,FALSE())</f>
        <v>Sí</v>
      </c>
      <c r="J296" s="102" t="str">
        <f aca="false">IF(VLOOKUP($D296,'[2]5. Demanda'!$D$4:$J$357,7,FALSE())=0,"",VLOOKUP($D296,'[2]5. Demanda'!$D$4:$J$357,7,FALSE()))</f>
        <v/>
      </c>
      <c r="K296" s="79" t="n">
        <v>0.170062163655754</v>
      </c>
      <c r="L296" s="79" t="n">
        <v>0.0724461783496144</v>
      </c>
      <c r="M296" s="79" t="n">
        <v>0.246050803056138</v>
      </c>
      <c r="N296" s="79" t="n">
        <v>0.104817203180796</v>
      </c>
      <c r="O296" s="79" t="n">
        <v>0.363199460060587</v>
      </c>
      <c r="P296" s="79" t="n">
        <v>0.154722322087443</v>
      </c>
      <c r="Q296" s="80"/>
      <c r="R296" s="80"/>
      <c r="S296" s="80"/>
      <c r="T296" s="80"/>
      <c r="U296" s="80"/>
      <c r="V296" s="80"/>
      <c r="W296" s="80"/>
      <c r="X296" s="80"/>
      <c r="Y296" s="80"/>
      <c r="Z296" s="75"/>
    </row>
    <row r="297" customFormat="false" ht="15.75" hidden="false" customHeight="false" outlineLevel="0" collapsed="false">
      <c r="C297" s="69" t="n">
        <v>292</v>
      </c>
      <c r="D297" s="78" t="s">
        <v>1681</v>
      </c>
      <c r="E297" s="63" t="s">
        <v>1678</v>
      </c>
      <c r="F297" s="101" t="n">
        <f aca="false">VLOOKUP(D297,'[2]5. Demanda'!$D$4:$F$357,3,FALSE())</f>
        <v>13.8</v>
      </c>
      <c r="G297" s="63" t="str">
        <f aca="false">VLOOKUP(D297,'[2]5. Demanda'!D$4:J$357,4,FALSE())</f>
        <v>residencial</v>
      </c>
      <c r="H297" s="63" t="str">
        <f aca="false">VLOOKUP($D297,'[2]5. Demanda'!$D$4:$J$357,5,FALSE())</f>
        <v>San Gil 115 kV</v>
      </c>
      <c r="I297" s="63" t="str">
        <f aca="false">VLOOKUP($D297,'[2]5. Demanda'!$D$4:$J$357,6,FALSE())</f>
        <v>Sí</v>
      </c>
      <c r="J297" s="102" t="str">
        <f aca="false">IF(VLOOKUP($D297,'[2]5. Demanda'!$D$4:$J$357,7,FALSE())=0,"",VLOOKUP($D297,'[2]5. Demanda'!$D$4:$J$357,7,FALSE()))</f>
        <v/>
      </c>
      <c r="K297" s="79" t="n">
        <v>0.0169870943628507</v>
      </c>
      <c r="L297" s="79" t="n">
        <v>0.0072364718959118</v>
      </c>
      <c r="M297" s="79" t="n">
        <v>0.0389179403118872</v>
      </c>
      <c r="N297" s="79" t="n">
        <v>0.0165789731485592</v>
      </c>
      <c r="O297" s="79" t="n">
        <v>0.0458607095144745</v>
      </c>
      <c r="P297" s="79" t="n">
        <v>0.0195365804439068</v>
      </c>
      <c r="Q297" s="80"/>
      <c r="R297" s="80"/>
      <c r="S297" s="80"/>
      <c r="T297" s="80"/>
      <c r="U297" s="80"/>
      <c r="V297" s="80"/>
      <c r="W297" s="80"/>
      <c r="X297" s="80"/>
      <c r="Y297" s="80"/>
      <c r="Z297" s="75"/>
    </row>
    <row r="298" customFormat="false" ht="15.75" hidden="false" customHeight="false" outlineLevel="0" collapsed="false">
      <c r="C298" s="69" t="n">
        <v>293</v>
      </c>
      <c r="D298" s="78" t="s">
        <v>1682</v>
      </c>
      <c r="E298" s="63" t="s">
        <v>1683</v>
      </c>
      <c r="F298" s="101" t="n">
        <f aca="false">VLOOKUP(D298,'[2]5. Demanda'!$D$4:$F$357,3,FALSE())</f>
        <v>13.8</v>
      </c>
      <c r="G298" s="63" t="str">
        <f aca="false">VLOOKUP(D298,'[2]5. Demanda'!D$4:J$357,4,FALSE())</f>
        <v>residencial</v>
      </c>
      <c r="H298" s="63" t="str">
        <f aca="false">VLOOKUP($D298,'[2]5. Demanda'!$D$4:$J$357,5,FALSE())</f>
        <v>San Gil 115 kV</v>
      </c>
      <c r="I298" s="63" t="str">
        <f aca="false">VLOOKUP($D298,'[2]5. Demanda'!$D$4:$J$357,6,FALSE())</f>
        <v>Sí</v>
      </c>
      <c r="J298" s="102" t="str">
        <f aca="false">IF(VLOOKUP($D298,'[2]5. Demanda'!$D$4:$J$357,7,FALSE())=0,"",VLOOKUP($D298,'[2]5. Demanda'!$D$4:$J$357,7,FALSE()))</f>
        <v/>
      </c>
      <c r="K298" s="79" t="n">
        <v>0.214702092974067</v>
      </c>
      <c r="L298" s="79" t="n">
        <v>0.0914627086076622</v>
      </c>
      <c r="M298" s="79" t="n">
        <v>0.286824578187228</v>
      </c>
      <c r="N298" s="79" t="n">
        <v>0.122186758651778</v>
      </c>
      <c r="O298" s="79" t="n">
        <v>0.344070912415225</v>
      </c>
      <c r="P298" s="79" t="n">
        <v>0.146573594913242</v>
      </c>
      <c r="Q298" s="80"/>
      <c r="R298" s="80"/>
      <c r="S298" s="80"/>
      <c r="T298" s="80"/>
      <c r="U298" s="80"/>
      <c r="V298" s="80"/>
      <c r="W298" s="80"/>
      <c r="X298" s="80"/>
      <c r="Y298" s="80"/>
      <c r="Z298" s="75"/>
    </row>
    <row r="299" customFormat="false" ht="15.75" hidden="false" customHeight="false" outlineLevel="0" collapsed="false">
      <c r="C299" s="69" t="n">
        <v>294</v>
      </c>
      <c r="D299" s="78" t="s">
        <v>1684</v>
      </c>
      <c r="E299" s="63" t="s">
        <v>1683</v>
      </c>
      <c r="F299" s="101" t="n">
        <f aca="false">VLOOKUP(D299,'[2]5. Demanda'!$D$4:$F$357,3,FALSE())</f>
        <v>13.8</v>
      </c>
      <c r="G299" s="63" t="str">
        <f aca="false">VLOOKUP(D299,'[2]5. Demanda'!D$4:J$357,4,FALSE())</f>
        <v>residencial</v>
      </c>
      <c r="H299" s="63" t="str">
        <f aca="false">VLOOKUP($D299,'[2]5. Demanda'!$D$4:$J$357,5,FALSE())</f>
        <v>San Gil 115 kV</v>
      </c>
      <c r="I299" s="63" t="str">
        <f aca="false">VLOOKUP($D299,'[2]5. Demanda'!$D$4:$J$357,6,FALSE())</f>
        <v>Sí</v>
      </c>
      <c r="J299" s="102" t="str">
        <f aca="false">IF(VLOOKUP($D299,'[2]5. Demanda'!$D$4:$J$357,7,FALSE())=0,"",VLOOKUP($D299,'[2]5. Demanda'!$D$4:$J$357,7,FALSE()))</f>
        <v/>
      </c>
      <c r="K299" s="79" t="n">
        <v>0.094929904252111</v>
      </c>
      <c r="L299" s="79" t="n">
        <v>0.04043996986938</v>
      </c>
      <c r="M299" s="79" t="n">
        <v>0.125913939280663</v>
      </c>
      <c r="N299" s="79" t="n">
        <v>0.053639113520245</v>
      </c>
      <c r="O299" s="79" t="n">
        <v>0.175258035793628</v>
      </c>
      <c r="P299" s="79" t="n">
        <v>0.0746596106116207</v>
      </c>
      <c r="Q299" s="80"/>
      <c r="R299" s="80"/>
      <c r="S299" s="80"/>
      <c r="T299" s="80"/>
      <c r="U299" s="80"/>
      <c r="V299" s="80"/>
      <c r="W299" s="80"/>
      <c r="X299" s="80"/>
      <c r="Y299" s="80"/>
      <c r="Z299" s="75"/>
    </row>
    <row r="300" customFormat="false" ht="15.75" hidden="false" customHeight="false" outlineLevel="0" collapsed="false">
      <c r="C300" s="69" t="n">
        <v>295</v>
      </c>
      <c r="D300" s="78" t="s">
        <v>1685</v>
      </c>
      <c r="E300" s="63" t="s">
        <v>1683</v>
      </c>
      <c r="F300" s="101" t="n">
        <f aca="false">VLOOKUP(D300,'[2]5. Demanda'!$D$4:$F$357,3,FALSE())</f>
        <v>13.8</v>
      </c>
      <c r="G300" s="63" t="str">
        <f aca="false">VLOOKUP(D300,'[2]5. Demanda'!D$4:J$357,4,FALSE())</f>
        <v>residencial</v>
      </c>
      <c r="H300" s="63" t="str">
        <f aca="false">VLOOKUP($D300,'[2]5. Demanda'!$D$4:$J$357,5,FALSE())</f>
        <v>San Gil 115 kV</v>
      </c>
      <c r="I300" s="63" t="str">
        <f aca="false">VLOOKUP($D300,'[2]5. Demanda'!$D$4:$J$357,6,FALSE())</f>
        <v>Sí</v>
      </c>
      <c r="J300" s="102" t="str">
        <f aca="false">IF(VLOOKUP($D300,'[2]5. Demanda'!$D$4:$J$357,7,FALSE())=0,"",VLOOKUP($D300,'[2]5. Demanda'!$D$4:$J$357,7,FALSE()))</f>
        <v/>
      </c>
      <c r="K300" s="79" t="n">
        <v>0.123493658124113</v>
      </c>
      <c r="L300" s="79" t="n">
        <v>0.0526080780650064</v>
      </c>
      <c r="M300" s="79" t="n">
        <v>0.189448543162588</v>
      </c>
      <c r="N300" s="79" t="n">
        <v>0.0807047414368652</v>
      </c>
      <c r="O300" s="79" t="n">
        <v>0.211916677327855</v>
      </c>
      <c r="P300" s="79" t="n">
        <v>0.090276126511178</v>
      </c>
      <c r="Q300" s="80"/>
      <c r="R300" s="80"/>
      <c r="S300" s="80"/>
      <c r="T300" s="80"/>
      <c r="U300" s="80"/>
      <c r="V300" s="80"/>
      <c r="W300" s="80"/>
      <c r="X300" s="80"/>
      <c r="Y300" s="80"/>
      <c r="Z300" s="75"/>
    </row>
    <row r="301" customFormat="false" ht="15.75" hidden="false" customHeight="false" outlineLevel="0" collapsed="false">
      <c r="C301" s="69" t="n">
        <v>296</v>
      </c>
      <c r="D301" s="78" t="s">
        <v>1686</v>
      </c>
      <c r="E301" s="63" t="s">
        <v>1683</v>
      </c>
      <c r="F301" s="101" t="n">
        <f aca="false">VLOOKUP(D301,'[2]5. Demanda'!$D$4:$F$357,3,FALSE())</f>
        <v>13.8</v>
      </c>
      <c r="G301" s="63" t="str">
        <f aca="false">VLOOKUP(D301,'[2]5. Demanda'!D$4:J$357,4,FALSE())</f>
        <v>residencial</v>
      </c>
      <c r="H301" s="63" t="str">
        <f aca="false">VLOOKUP($D301,'[2]5. Demanda'!$D$4:$J$357,5,FALSE())</f>
        <v>San Gil 115 kV</v>
      </c>
      <c r="I301" s="63" t="str">
        <f aca="false">VLOOKUP($D301,'[2]5. Demanda'!$D$4:$J$357,6,FALSE())</f>
        <v>Sí</v>
      </c>
      <c r="J301" s="102" t="str">
        <f aca="false">IF(VLOOKUP($D301,'[2]5. Demanda'!$D$4:$J$357,7,FALSE())=0,"",VLOOKUP($D301,'[2]5. Demanda'!$D$4:$J$357,7,FALSE()))</f>
        <v/>
      </c>
      <c r="K301" s="79" t="n">
        <v>0.0401536191783957</v>
      </c>
      <c r="L301" s="79" t="n">
        <v>0.017105370141409</v>
      </c>
      <c r="M301" s="79" t="n">
        <v>0.0677578442905717</v>
      </c>
      <c r="N301" s="79" t="n">
        <v>0.0288647207970183</v>
      </c>
      <c r="O301" s="79" t="n">
        <v>0.0701758070120742</v>
      </c>
      <c r="P301" s="79" t="n">
        <v>0.0298947686030622</v>
      </c>
      <c r="Q301" s="80"/>
      <c r="R301" s="80"/>
      <c r="S301" s="80"/>
      <c r="T301" s="80"/>
      <c r="U301" s="80"/>
      <c r="V301" s="80"/>
      <c r="W301" s="80"/>
      <c r="X301" s="80"/>
      <c r="Y301" s="80"/>
      <c r="Z301" s="75"/>
    </row>
    <row r="302" customFormat="false" ht="15.75" hidden="false" customHeight="false" outlineLevel="0" collapsed="false">
      <c r="C302" s="69" t="n">
        <v>297</v>
      </c>
      <c r="D302" s="78" t="s">
        <v>1687</v>
      </c>
      <c r="E302" s="63" t="s">
        <v>1688</v>
      </c>
      <c r="F302" s="101" t="n">
        <f aca="false">VLOOKUP(D302,'[2]5. Demanda'!$D$4:$F$357,3,FALSE())</f>
        <v>13.8</v>
      </c>
      <c r="G302" s="63" t="str">
        <f aca="false">VLOOKUP(D302,'[2]5. Demanda'!D$4:J$357,4,FALSE())</f>
        <v>residencial</v>
      </c>
      <c r="H302" s="63" t="str">
        <f aca="false">VLOOKUP($D302,'[2]5. Demanda'!$D$4:$J$357,5,FALSE())</f>
        <v>San Gil 115 kV</v>
      </c>
      <c r="I302" s="63" t="str">
        <f aca="false">VLOOKUP($D302,'[2]5. Demanda'!$D$4:$J$357,6,FALSE())</f>
        <v>Sí</v>
      </c>
      <c r="J302" s="102" t="str">
        <f aca="false">IF(VLOOKUP($D302,'[2]5. Demanda'!$D$4:$J$357,7,FALSE())=0,"",VLOOKUP($D302,'[2]5. Demanda'!$D$4:$J$357,7,FALSE()))</f>
        <v/>
      </c>
      <c r="K302" s="79" t="n">
        <v>0.159049858419566</v>
      </c>
      <c r="L302" s="79" t="n">
        <v>0.0677549559634512</v>
      </c>
      <c r="M302" s="79" t="n">
        <v>0.214024197873113</v>
      </c>
      <c r="N302" s="79" t="n">
        <v>0.0911739265039281</v>
      </c>
      <c r="O302" s="79" t="n">
        <v>0.294719978994987</v>
      </c>
      <c r="P302" s="79" t="n">
        <v>0.125550185311564</v>
      </c>
      <c r="Q302" s="80"/>
      <c r="R302" s="80"/>
      <c r="S302" s="80"/>
      <c r="T302" s="80"/>
      <c r="U302" s="80"/>
      <c r="V302" s="80"/>
      <c r="W302" s="80"/>
      <c r="X302" s="80"/>
      <c r="Y302" s="80"/>
      <c r="Z302" s="75"/>
    </row>
    <row r="303" customFormat="false" ht="15.75" hidden="false" customHeight="false" outlineLevel="0" collapsed="false">
      <c r="C303" s="69" t="n">
        <v>298</v>
      </c>
      <c r="D303" s="78" t="s">
        <v>1689</v>
      </c>
      <c r="E303" s="63" t="s">
        <v>1690</v>
      </c>
      <c r="F303" s="101" t="n">
        <f aca="false">VLOOKUP(D303,'[2]5. Demanda'!$D$4:$F$357,3,FALSE())</f>
        <v>13.8</v>
      </c>
      <c r="G303" s="63" t="str">
        <f aca="false">VLOOKUP(D303,'[2]5. Demanda'!D$4:J$357,4,FALSE())</f>
        <v>residencial</v>
      </c>
      <c r="H303" s="63" t="str">
        <f aca="false">VLOOKUP($D303,'[2]5. Demanda'!$D$4:$J$357,5,FALSE())</f>
        <v>San Gil 115 kV</v>
      </c>
      <c r="I303" s="63" t="str">
        <f aca="false">VLOOKUP($D303,'[2]5. Demanda'!$D$4:$J$357,6,FALSE())</f>
        <v>Sí</v>
      </c>
      <c r="J303" s="102" t="str">
        <f aca="false">IF(VLOOKUP($D303,'[2]5. Demanda'!$D$4:$J$357,7,FALSE())=0,"",VLOOKUP($D303,'[2]5. Demanda'!$D$4:$J$357,7,FALSE()))</f>
        <v/>
      </c>
      <c r="K303" s="79" t="n">
        <v>0.399577619311159</v>
      </c>
      <c r="L303" s="79" t="n">
        <v>0.170219353034505</v>
      </c>
      <c r="M303" s="79" t="n">
        <v>0.652616720822151</v>
      </c>
      <c r="N303" s="79" t="n">
        <v>0.278013558890896</v>
      </c>
      <c r="O303" s="79" t="n">
        <v>0.842820275838478</v>
      </c>
      <c r="P303" s="79" t="n">
        <v>0.359039934030616</v>
      </c>
      <c r="Q303" s="80"/>
      <c r="R303" s="80"/>
      <c r="S303" s="80"/>
      <c r="T303" s="80"/>
      <c r="U303" s="80"/>
      <c r="V303" s="80"/>
      <c r="W303" s="80"/>
      <c r="X303" s="80"/>
      <c r="Y303" s="80"/>
      <c r="Z303" s="75"/>
    </row>
    <row r="304" customFormat="false" ht="15.75" hidden="false" customHeight="false" outlineLevel="0" collapsed="false">
      <c r="C304" s="69" t="n">
        <v>299</v>
      </c>
      <c r="D304" s="78" t="s">
        <v>1691</v>
      </c>
      <c r="E304" s="63" t="s">
        <v>1690</v>
      </c>
      <c r="F304" s="101" t="n">
        <f aca="false">VLOOKUP(D304,'[2]5. Demanda'!$D$4:$F$357,3,FALSE())</f>
        <v>13.8</v>
      </c>
      <c r="G304" s="63" t="str">
        <f aca="false">VLOOKUP(D304,'[2]5. Demanda'!D$4:J$357,4,FALSE())</f>
        <v>residencial</v>
      </c>
      <c r="H304" s="63" t="str">
        <f aca="false">VLOOKUP($D304,'[2]5. Demanda'!$D$4:$J$357,5,FALSE())</f>
        <v>San Gil 115 kV</v>
      </c>
      <c r="I304" s="63" t="str">
        <f aca="false">VLOOKUP($D304,'[2]5. Demanda'!$D$4:$J$357,6,FALSE())</f>
        <v>Sí</v>
      </c>
      <c r="J304" s="102" t="str">
        <f aca="false">IF(VLOOKUP($D304,'[2]5. Demanda'!$D$4:$J$357,7,FALSE())=0,"",VLOOKUP($D304,'[2]5. Demanda'!$D$4:$J$357,7,FALSE()))</f>
        <v/>
      </c>
      <c r="K304" s="79" t="n">
        <v>0.394376049128274</v>
      </c>
      <c r="L304" s="79" t="n">
        <v>0.168003493415489</v>
      </c>
      <c r="M304" s="79" t="n">
        <v>0.688449977181359</v>
      </c>
      <c r="N304" s="79" t="n">
        <v>0.29327846217827</v>
      </c>
      <c r="O304" s="79" t="n">
        <v>0.801492246732257</v>
      </c>
      <c r="P304" s="79" t="n">
        <v>0.34143426735494</v>
      </c>
      <c r="Q304" s="80"/>
      <c r="R304" s="80"/>
      <c r="S304" s="80"/>
      <c r="T304" s="80"/>
      <c r="U304" s="80"/>
      <c r="V304" s="80"/>
      <c r="W304" s="80"/>
      <c r="X304" s="80"/>
      <c r="Y304" s="80"/>
      <c r="Z304" s="75"/>
    </row>
    <row r="305" customFormat="false" ht="15.75" hidden="false" customHeight="false" outlineLevel="0" collapsed="false">
      <c r="C305" s="69" t="n">
        <v>300</v>
      </c>
      <c r="D305" s="78" t="s">
        <v>1692</v>
      </c>
      <c r="E305" s="63" t="s">
        <v>1690</v>
      </c>
      <c r="F305" s="101" t="n">
        <f aca="false">VLOOKUP(D305,'[2]5. Demanda'!$D$4:$F$357,3,FALSE())</f>
        <v>13.8</v>
      </c>
      <c r="G305" s="63" t="str">
        <f aca="false">VLOOKUP(D305,'[2]5. Demanda'!D$4:J$357,4,FALSE())</f>
        <v>residencial</v>
      </c>
      <c r="H305" s="63" t="str">
        <f aca="false">VLOOKUP($D305,'[2]5. Demanda'!$D$4:$J$357,5,FALSE())</f>
        <v>San Gil 115 kV</v>
      </c>
      <c r="I305" s="63" t="str">
        <f aca="false">VLOOKUP($D305,'[2]5. Demanda'!$D$4:$J$357,6,FALSE())</f>
        <v>Sí</v>
      </c>
      <c r="J305" s="102" t="str">
        <f aca="false">IF(VLOOKUP($D305,'[2]5. Demanda'!$D$4:$J$357,7,FALSE())=0,"",VLOOKUP($D305,'[2]5. Demanda'!$D$4:$J$357,7,FALSE()))</f>
        <v/>
      </c>
      <c r="K305" s="79" t="n">
        <v>0.471050196524495</v>
      </c>
      <c r="L305" s="79" t="n">
        <v>0.200666543430044</v>
      </c>
      <c r="M305" s="79" t="n">
        <v>0.933579023993291</v>
      </c>
      <c r="N305" s="79" t="n">
        <v>0.397702998843321</v>
      </c>
      <c r="O305" s="79" t="n">
        <v>1.01967687134687</v>
      </c>
      <c r="P305" s="79" t="n">
        <v>0.434380528229113</v>
      </c>
      <c r="Q305" s="80"/>
      <c r="R305" s="80"/>
      <c r="S305" s="80"/>
      <c r="T305" s="80"/>
      <c r="U305" s="80"/>
      <c r="V305" s="80"/>
      <c r="W305" s="80"/>
      <c r="X305" s="80"/>
      <c r="Y305" s="80"/>
      <c r="Z305" s="75"/>
    </row>
    <row r="306" customFormat="false" ht="15.75" hidden="false" customHeight="false" outlineLevel="0" collapsed="false">
      <c r="C306" s="69" t="n">
        <v>301</v>
      </c>
      <c r="D306" s="78" t="s">
        <v>1693</v>
      </c>
      <c r="E306" s="63" t="s">
        <v>1688</v>
      </c>
      <c r="F306" s="101" t="n">
        <f aca="false">VLOOKUP(D306,'[2]5. Demanda'!$D$4:$F$357,3,FALSE())</f>
        <v>13.8</v>
      </c>
      <c r="G306" s="63" t="str">
        <f aca="false">VLOOKUP(D306,'[2]5. Demanda'!D$4:J$357,4,FALSE())</f>
        <v>residencial</v>
      </c>
      <c r="H306" s="63" t="str">
        <f aca="false">VLOOKUP($D306,'[2]5. Demanda'!$D$4:$J$357,5,FALSE())</f>
        <v>San Gil 115 kV</v>
      </c>
      <c r="I306" s="63" t="str">
        <f aca="false">VLOOKUP($D306,'[2]5. Demanda'!$D$4:$J$357,6,FALSE())</f>
        <v>Sí</v>
      </c>
      <c r="J306" s="102" t="str">
        <f aca="false">IF(VLOOKUP($D306,'[2]5. Demanda'!$D$4:$J$357,7,FALSE())=0,"",VLOOKUP($D306,'[2]5. Demanda'!$D$4:$J$357,7,FALSE()))</f>
        <v/>
      </c>
      <c r="K306" s="79" t="n">
        <v>0.234541138426878</v>
      </c>
      <c r="L306" s="79" t="n">
        <v>0.0999141065804046</v>
      </c>
      <c r="M306" s="79" t="n">
        <v>0.314421086817071</v>
      </c>
      <c r="N306" s="79" t="n">
        <v>0.133942822099679</v>
      </c>
      <c r="O306" s="79" t="n">
        <v>0.44552566407476</v>
      </c>
      <c r="P306" s="79" t="n">
        <v>0.189793138138746</v>
      </c>
      <c r="Q306" s="80"/>
      <c r="R306" s="80"/>
      <c r="S306" s="80"/>
      <c r="T306" s="80"/>
      <c r="U306" s="80"/>
      <c r="V306" s="80"/>
      <c r="W306" s="80"/>
      <c r="X306" s="80"/>
      <c r="Y306" s="80"/>
      <c r="Z306" s="75"/>
    </row>
    <row r="307" customFormat="false" ht="15.75" hidden="false" customHeight="false" outlineLevel="0" collapsed="false">
      <c r="C307" s="69" t="n">
        <v>302</v>
      </c>
      <c r="D307" s="78" t="s">
        <v>1694</v>
      </c>
      <c r="E307" s="63" t="s">
        <v>1688</v>
      </c>
      <c r="F307" s="101" t="n">
        <f aca="false">VLOOKUP(D307,'[2]5. Demanda'!$D$4:$F$357,3,FALSE())</f>
        <v>13.8</v>
      </c>
      <c r="G307" s="63" t="str">
        <f aca="false">VLOOKUP(D307,'[2]5. Demanda'!D$4:J$357,4,FALSE())</f>
        <v>residencial</v>
      </c>
      <c r="H307" s="63" t="str">
        <f aca="false">VLOOKUP($D307,'[2]5. Demanda'!$D$4:$J$357,5,FALSE())</f>
        <v>San Gil 115 kV</v>
      </c>
      <c r="I307" s="63" t="str">
        <f aca="false">VLOOKUP($D307,'[2]5. Demanda'!$D$4:$J$357,6,FALSE())</f>
        <v>Sí</v>
      </c>
      <c r="J307" s="102" t="str">
        <f aca="false">IF(VLOOKUP($D307,'[2]5. Demanda'!$D$4:$J$357,7,FALSE())=0,"",VLOOKUP($D307,'[2]5. Demanda'!$D$4:$J$357,7,FALSE()))</f>
        <v/>
      </c>
      <c r="K307" s="79" t="n">
        <v>0.179862034296237</v>
      </c>
      <c r="L307" s="79" t="n">
        <v>0.0766209057608261</v>
      </c>
      <c r="M307" s="79" t="n">
        <v>0.2497472368863</v>
      </c>
      <c r="N307" s="79" t="n">
        <v>0.10639187739851</v>
      </c>
      <c r="O307" s="79" t="n">
        <v>0.311111658474711</v>
      </c>
      <c r="P307" s="79" t="n">
        <v>0.132533011529403</v>
      </c>
      <c r="Q307" s="80"/>
      <c r="R307" s="80"/>
      <c r="S307" s="80"/>
      <c r="T307" s="80"/>
      <c r="U307" s="80"/>
      <c r="V307" s="80"/>
      <c r="W307" s="80"/>
      <c r="X307" s="80"/>
      <c r="Y307" s="80"/>
      <c r="Z307" s="75"/>
    </row>
    <row r="308" customFormat="false" ht="15.75" hidden="false" customHeight="false" outlineLevel="0" collapsed="false">
      <c r="C308" s="69" t="n">
        <v>303</v>
      </c>
      <c r="D308" s="78" t="s">
        <v>1695</v>
      </c>
      <c r="E308" s="63" t="e">
        <f aca="false">#N/A</f>
        <v>#N/A</v>
      </c>
      <c r="F308" s="101" t="e">
        <f aca="false">VLOOKUP(D308,'[2]5. Demanda'!$D$4:$F$357,3,FALSE())</f>
        <v>#N/A</v>
      </c>
      <c r="G308" s="63" t="e">
        <f aca="false">VLOOKUP(D308,'[2]5. Demanda'!D$4:J$357,4,FALSE())</f>
        <v>#N/A</v>
      </c>
      <c r="H308" s="63" t="e">
        <f aca="false">VLOOKUP($D308,'[2]5. Demanda'!$D$4:$J$357,5,FALSE())</f>
        <v>#N/A</v>
      </c>
      <c r="I308" s="63" t="e">
        <f aca="false">VLOOKUP($D308,'[2]5. Demanda'!$D$4:$J$357,6,FALSE())</f>
        <v>#N/A</v>
      </c>
      <c r="J308" s="102" t="e">
        <f aca="false">IF(VLOOKUP($D308,'[2]5. Demanda'!$D$4:$J$357,7,FALSE())=0,"",VLOOKUP($D308,'[2]5. Demanda'!$D$4:$J$357,7,FALSE()))</f>
        <v>#N/A</v>
      </c>
      <c r="K308" s="79" t="n">
        <v>0</v>
      </c>
      <c r="L308" s="79" t="n">
        <v>0</v>
      </c>
      <c r="M308" s="79" t="n">
        <v>0</v>
      </c>
      <c r="N308" s="79" t="n">
        <v>0</v>
      </c>
      <c r="O308" s="79" t="n">
        <v>0</v>
      </c>
      <c r="P308" s="79" t="n">
        <v>0</v>
      </c>
      <c r="Q308" s="80"/>
      <c r="R308" s="80"/>
      <c r="S308" s="80"/>
      <c r="T308" s="80"/>
      <c r="U308" s="80"/>
      <c r="V308" s="80"/>
      <c r="W308" s="80"/>
      <c r="X308" s="80"/>
      <c r="Y308" s="80"/>
      <c r="Z308" s="75"/>
    </row>
    <row r="309" customFormat="false" ht="15.75" hidden="false" customHeight="false" outlineLevel="0" collapsed="false">
      <c r="C309" s="69" t="n">
        <v>304</v>
      </c>
      <c r="D309" s="78" t="s">
        <v>1696</v>
      </c>
      <c r="E309" s="63" t="e">
        <f aca="false">#N/A</f>
        <v>#N/A</v>
      </c>
      <c r="F309" s="101" t="e">
        <f aca="false">VLOOKUP(D309,'[2]5. Demanda'!$D$4:$F$357,3,FALSE())</f>
        <v>#N/A</v>
      </c>
      <c r="G309" s="63" t="e">
        <f aca="false">VLOOKUP(D309,'[2]5. Demanda'!D$4:J$357,4,FALSE())</f>
        <v>#N/A</v>
      </c>
      <c r="H309" s="63" t="e">
        <f aca="false">VLOOKUP($D309,'[2]5. Demanda'!$D$4:$J$357,5,FALSE())</f>
        <v>#N/A</v>
      </c>
      <c r="I309" s="63" t="e">
        <f aca="false">VLOOKUP($D309,'[2]5. Demanda'!$D$4:$J$357,6,FALSE())</f>
        <v>#N/A</v>
      </c>
      <c r="J309" s="102" t="e">
        <f aca="false">IF(VLOOKUP($D309,'[2]5. Demanda'!$D$4:$J$357,7,FALSE())=0,"",VLOOKUP($D309,'[2]5. Demanda'!$D$4:$J$357,7,FALSE()))</f>
        <v>#N/A</v>
      </c>
      <c r="K309" s="79" t="n">
        <v>0</v>
      </c>
      <c r="L309" s="79" t="n">
        <v>0</v>
      </c>
      <c r="M309" s="79" t="n">
        <v>0</v>
      </c>
      <c r="N309" s="79" t="n">
        <v>0</v>
      </c>
      <c r="O309" s="79" t="n">
        <v>0</v>
      </c>
      <c r="P309" s="79" t="n">
        <v>0</v>
      </c>
      <c r="Q309" s="80"/>
      <c r="R309" s="80"/>
      <c r="S309" s="80"/>
      <c r="T309" s="80"/>
      <c r="U309" s="80"/>
      <c r="V309" s="80"/>
      <c r="W309" s="80"/>
      <c r="X309" s="80"/>
      <c r="Y309" s="80"/>
      <c r="Z309" s="75"/>
    </row>
    <row r="310" customFormat="false" ht="15.75" hidden="false" customHeight="false" outlineLevel="0" collapsed="false">
      <c r="C310" s="69" t="n">
        <v>305</v>
      </c>
      <c r="D310" s="78" t="s">
        <v>1697</v>
      </c>
      <c r="E310" s="63" t="s">
        <v>511</v>
      </c>
      <c r="F310" s="101" t="n">
        <v>34.5</v>
      </c>
      <c r="G310" s="63" t="s">
        <v>1698</v>
      </c>
      <c r="H310" s="63" t="s">
        <v>1083</v>
      </c>
      <c r="I310" s="63" t="s">
        <v>1699</v>
      </c>
      <c r="J310" s="102" t="n">
        <v>46752</v>
      </c>
      <c r="K310" s="79" t="n">
        <v>0</v>
      </c>
      <c r="L310" s="79" t="n">
        <v>0</v>
      </c>
      <c r="M310" s="79" t="n">
        <v>0</v>
      </c>
      <c r="N310" s="79" t="n">
        <v>0</v>
      </c>
      <c r="O310" s="79" t="n">
        <v>0</v>
      </c>
      <c r="P310" s="79" t="n">
        <v>0</v>
      </c>
      <c r="Q310" s="80"/>
      <c r="R310" s="80"/>
      <c r="S310" s="80"/>
      <c r="T310" s="80"/>
      <c r="U310" s="80"/>
      <c r="V310" s="80"/>
      <c r="W310" s="80"/>
      <c r="X310" s="80"/>
      <c r="Y310" s="80"/>
      <c r="Z310" s="75"/>
    </row>
    <row r="311" customFormat="false" ht="15.75" hidden="false" customHeight="false" outlineLevel="0" collapsed="false">
      <c r="C311" s="69" t="n">
        <v>306</v>
      </c>
      <c r="D311" s="78" t="s">
        <v>1700</v>
      </c>
      <c r="E311" s="63" t="e">
        <f aca="false">#N/A</f>
        <v>#N/A</v>
      </c>
      <c r="F311" s="101" t="e">
        <f aca="false">VLOOKUP(D311,'[2]5. Demanda'!$D$4:$F$357,3,FALSE())</f>
        <v>#N/A</v>
      </c>
      <c r="G311" s="63" t="e">
        <f aca="false">VLOOKUP(D311,'[2]5. Demanda'!D$4:J$357,4,FALSE())</f>
        <v>#N/A</v>
      </c>
      <c r="H311" s="63" t="e">
        <f aca="false">VLOOKUP($D311,'[2]5. Demanda'!$D$4:$J$357,5,FALSE())</f>
        <v>#N/A</v>
      </c>
      <c r="I311" s="63" t="e">
        <f aca="false">VLOOKUP($D311,'[2]5. Demanda'!$D$4:$J$357,6,FALSE())</f>
        <v>#N/A</v>
      </c>
      <c r="J311" s="102" t="e">
        <f aca="false">IF(VLOOKUP($D311,'[2]5. Demanda'!$D$4:$J$357,7,FALSE())=0,"",VLOOKUP($D311,'[2]5. Demanda'!$D$4:$J$357,7,FALSE()))</f>
        <v>#N/A</v>
      </c>
      <c r="K311" s="79" t="n">
        <v>0</v>
      </c>
      <c r="L311" s="79" t="n">
        <v>0</v>
      </c>
      <c r="M311" s="79" t="n">
        <v>0</v>
      </c>
      <c r="N311" s="79" t="n">
        <v>0</v>
      </c>
      <c r="O311" s="79" t="n">
        <v>0</v>
      </c>
      <c r="P311" s="79" t="n">
        <v>0</v>
      </c>
      <c r="Q311" s="80"/>
      <c r="R311" s="80"/>
      <c r="S311" s="80"/>
      <c r="T311" s="80"/>
      <c r="U311" s="80"/>
      <c r="V311" s="80"/>
      <c r="W311" s="80"/>
      <c r="X311" s="80"/>
      <c r="Y311" s="80"/>
      <c r="Z311" s="75"/>
    </row>
    <row r="312" customFormat="false" ht="15.75" hidden="false" customHeight="false" outlineLevel="0" collapsed="false">
      <c r="C312" s="69" t="n">
        <v>307</v>
      </c>
      <c r="D312" s="78" t="s">
        <v>1701</v>
      </c>
      <c r="E312" s="63" t="e">
        <f aca="false">#N/A</f>
        <v>#N/A</v>
      </c>
      <c r="F312" s="101" t="e">
        <f aca="false">VLOOKUP(D312,'[2]5. Demanda'!$D$4:$F$357,3,FALSE())</f>
        <v>#N/A</v>
      </c>
      <c r="G312" s="63" t="e">
        <f aca="false">VLOOKUP(D312,'[2]5. Demanda'!D$4:J$357,4,FALSE())</f>
        <v>#N/A</v>
      </c>
      <c r="H312" s="63" t="e">
        <f aca="false">VLOOKUP($D312,'[2]5. Demanda'!$D$4:$J$357,5,FALSE())</f>
        <v>#N/A</v>
      </c>
      <c r="I312" s="63" t="e">
        <f aca="false">VLOOKUP($D312,'[2]5. Demanda'!$D$4:$J$357,6,FALSE())</f>
        <v>#N/A</v>
      </c>
      <c r="J312" s="102" t="e">
        <f aca="false">IF(VLOOKUP($D312,'[2]5. Demanda'!$D$4:$J$357,7,FALSE())=0,"",VLOOKUP($D312,'[2]5. Demanda'!$D$4:$J$357,7,FALSE()))</f>
        <v>#N/A</v>
      </c>
      <c r="K312" s="79" t="n">
        <v>0</v>
      </c>
      <c r="L312" s="79" t="n">
        <v>0</v>
      </c>
      <c r="M312" s="79" t="n">
        <v>0</v>
      </c>
      <c r="N312" s="79" t="n">
        <v>0</v>
      </c>
      <c r="O312" s="79" t="n">
        <v>0</v>
      </c>
      <c r="P312" s="79" t="n">
        <v>0</v>
      </c>
      <c r="Q312" s="80"/>
      <c r="R312" s="80"/>
      <c r="S312" s="80"/>
      <c r="T312" s="80"/>
      <c r="U312" s="80"/>
      <c r="V312" s="80"/>
      <c r="W312" s="80"/>
      <c r="X312" s="80"/>
      <c r="Y312" s="80"/>
      <c r="Z312" s="75"/>
    </row>
    <row r="313" customFormat="false" ht="15.75" hidden="false" customHeight="false" outlineLevel="0" collapsed="false">
      <c r="C313" s="69" t="n">
        <v>308</v>
      </c>
      <c r="D313" s="78" t="s">
        <v>1702</v>
      </c>
      <c r="E313" s="63" t="e">
        <f aca="false">#N/A</f>
        <v>#N/A</v>
      </c>
      <c r="F313" s="101" t="e">
        <f aca="false">VLOOKUP(D313,'[2]5. Demanda'!$D$4:$F$357,3,FALSE())</f>
        <v>#N/A</v>
      </c>
      <c r="G313" s="63" t="e">
        <f aca="false">VLOOKUP(D313,'[2]5. Demanda'!D$4:J$357,4,FALSE())</f>
        <v>#N/A</v>
      </c>
      <c r="H313" s="63" t="e">
        <f aca="false">VLOOKUP($D313,'[2]5. Demanda'!$D$4:$J$357,5,FALSE())</f>
        <v>#N/A</v>
      </c>
      <c r="I313" s="63" t="e">
        <f aca="false">VLOOKUP($D313,'[2]5. Demanda'!$D$4:$J$357,6,FALSE())</f>
        <v>#N/A</v>
      </c>
      <c r="J313" s="102" t="e">
        <f aca="false">IF(VLOOKUP($D313,'[2]5. Demanda'!$D$4:$J$357,7,FALSE())=0,"",VLOOKUP($D313,'[2]5. Demanda'!$D$4:$J$357,7,FALSE()))</f>
        <v>#N/A</v>
      </c>
      <c r="K313" s="79" t="n">
        <v>0</v>
      </c>
      <c r="L313" s="79" t="n">
        <v>0</v>
      </c>
      <c r="M313" s="79" t="n">
        <v>0</v>
      </c>
      <c r="N313" s="79" t="n">
        <v>0</v>
      </c>
      <c r="O313" s="79" t="n">
        <v>0</v>
      </c>
      <c r="P313" s="79" t="n">
        <v>0</v>
      </c>
      <c r="Q313" s="80"/>
      <c r="R313" s="80"/>
      <c r="S313" s="80"/>
      <c r="T313" s="80"/>
      <c r="U313" s="80"/>
      <c r="V313" s="80"/>
      <c r="W313" s="80"/>
      <c r="X313" s="80"/>
      <c r="Y313" s="80"/>
      <c r="Z313" s="75"/>
    </row>
    <row r="314" customFormat="false" ht="15.75" hidden="false" customHeight="false" outlineLevel="0" collapsed="false">
      <c r="C314" s="69" t="n">
        <v>309</v>
      </c>
      <c r="D314" s="78" t="s">
        <v>1703</v>
      </c>
      <c r="E314" s="63" t="e">
        <f aca="false">#N/A</f>
        <v>#N/A</v>
      </c>
      <c r="F314" s="101" t="e">
        <f aca="false">VLOOKUP(D314,'[2]5. Demanda'!$D$4:$F$357,3,FALSE())</f>
        <v>#N/A</v>
      </c>
      <c r="G314" s="63" t="e">
        <f aca="false">VLOOKUP(D314,'[2]5. Demanda'!D$4:J$357,4,FALSE())</f>
        <v>#N/A</v>
      </c>
      <c r="H314" s="63" t="e">
        <f aca="false">VLOOKUP($D314,'[2]5. Demanda'!$D$4:$J$357,5,FALSE())</f>
        <v>#N/A</v>
      </c>
      <c r="I314" s="63" t="e">
        <f aca="false">VLOOKUP($D314,'[2]5. Demanda'!$D$4:$J$357,6,FALSE())</f>
        <v>#N/A</v>
      </c>
      <c r="J314" s="102" t="e">
        <f aca="false">IF(VLOOKUP($D314,'[2]5. Demanda'!$D$4:$J$357,7,FALSE())=0,"",VLOOKUP($D314,'[2]5. Demanda'!$D$4:$J$357,7,FALSE()))</f>
        <v>#N/A</v>
      </c>
      <c r="K314" s="79" t="n">
        <v>0</v>
      </c>
      <c r="L314" s="79" t="n">
        <v>0</v>
      </c>
      <c r="M314" s="79" t="n">
        <v>0</v>
      </c>
      <c r="N314" s="79" t="n">
        <v>0</v>
      </c>
      <c r="O314" s="79" t="n">
        <v>0</v>
      </c>
      <c r="P314" s="79" t="n">
        <v>0</v>
      </c>
      <c r="Q314" s="80"/>
      <c r="R314" s="80"/>
      <c r="S314" s="80"/>
      <c r="T314" s="80"/>
      <c r="U314" s="80"/>
      <c r="V314" s="80"/>
      <c r="W314" s="80"/>
      <c r="X314" s="80"/>
      <c r="Y314" s="80"/>
      <c r="Z314" s="75"/>
    </row>
    <row r="315" customFormat="false" ht="15.75" hidden="false" customHeight="false" outlineLevel="0" collapsed="false">
      <c r="C315" s="69" t="n">
        <v>310</v>
      </c>
      <c r="D315" s="78" t="s">
        <v>1704</v>
      </c>
      <c r="E315" s="63" t="s">
        <v>584</v>
      </c>
      <c r="F315" s="101" t="n">
        <f aca="false">VLOOKUP(D315,'[2]5. Demanda'!$D$4:$F$357,3,FALSE())</f>
        <v>34.5</v>
      </c>
      <c r="G315" s="63" t="str">
        <f aca="false">VLOOKUP(D315,'[2]5. Demanda'!D$4:J$357,4,FALSE())</f>
        <v>Industrial</v>
      </c>
      <c r="H315" s="63" t="str">
        <f aca="false">VLOOKUP($D315,'[2]5. Demanda'!$D$4:$J$357,5,FALSE())</f>
        <v>Florida 115 kV
Bucaramanga 115 kV</v>
      </c>
      <c r="I315" s="63" t="str">
        <f aca="false">VLOOKUP($D315,'[2]5. Demanda'!$D$4:$J$357,6,FALSE())</f>
        <v>Sí</v>
      </c>
      <c r="J315" s="102" t="str">
        <f aca="false">IF(VLOOKUP($D315,'[2]5. Demanda'!$D$4:$J$357,7,FALSE())=0,"",VLOOKUP($D315,'[2]5. Demanda'!$D$4:$J$357,7,FALSE()))</f>
        <v/>
      </c>
      <c r="K315" s="79" t="n">
        <v>0.215816275</v>
      </c>
      <c r="L315" s="79" t="n">
        <v>0.104524593</v>
      </c>
      <c r="M315" s="79" t="n">
        <v>0.735582127</v>
      </c>
      <c r="N315" s="79" t="n">
        <v>0.356258684</v>
      </c>
      <c r="O315" s="79" t="n">
        <v>0.694788985</v>
      </c>
      <c r="P315" s="79" t="n">
        <v>0.336501664</v>
      </c>
      <c r="Q315" s="80"/>
      <c r="R315" s="80"/>
      <c r="S315" s="80"/>
      <c r="T315" s="80"/>
      <c r="U315" s="80"/>
      <c r="V315" s="80"/>
      <c r="W315" s="80"/>
      <c r="X315" s="80"/>
      <c r="Y315" s="80"/>
      <c r="Z315" s="75"/>
    </row>
    <row r="316" customFormat="false" ht="15.75" hidden="false" customHeight="false" outlineLevel="0" collapsed="false">
      <c r="C316" s="69" t="n">
        <v>311</v>
      </c>
      <c r="D316" s="78" t="s">
        <v>1705</v>
      </c>
      <c r="E316" s="63" t="s">
        <v>587</v>
      </c>
      <c r="F316" s="101" t="n">
        <f aca="false">VLOOKUP(D316,'[2]5. Demanda'!$D$4:$F$357,3,FALSE())</f>
        <v>34.5</v>
      </c>
      <c r="G316" s="63" t="str">
        <f aca="false">VLOOKUP(D316,'[2]5. Demanda'!D$4:J$357,4,FALSE())</f>
        <v>Industrial</v>
      </c>
      <c r="H316" s="63" t="str">
        <f aca="false">VLOOKUP($D316,'[2]5. Demanda'!$D$4:$J$357,5,FALSE())</f>
        <v>Florida 115 kV</v>
      </c>
      <c r="I316" s="63" t="str">
        <f aca="false">VLOOKUP($D316,'[2]5. Demanda'!$D$4:$J$357,6,FALSE())</f>
        <v>Sí</v>
      </c>
      <c r="J316" s="102" t="str">
        <f aca="false">IF(VLOOKUP($D316,'[2]5. Demanda'!$D$4:$J$357,7,FALSE())=0,"",VLOOKUP($D316,'[2]5. Demanda'!$D$4:$J$357,7,FALSE()))</f>
        <v/>
      </c>
      <c r="K316" s="79" t="n">
        <v>1.335273853</v>
      </c>
      <c r="L316" s="79" t="n">
        <v>0.503944925</v>
      </c>
      <c r="M316" s="79" t="n">
        <v>4.189683233</v>
      </c>
      <c r="N316" s="79" t="n">
        <v>1.821820093</v>
      </c>
      <c r="O316" s="79" t="n">
        <v>3.58334873</v>
      </c>
      <c r="P316" s="79" t="n">
        <v>1.5399736</v>
      </c>
      <c r="Q316" s="80"/>
      <c r="R316" s="80"/>
      <c r="S316" s="80"/>
      <c r="T316" s="80"/>
      <c r="U316" s="80"/>
      <c r="V316" s="80"/>
      <c r="W316" s="80"/>
      <c r="X316" s="80"/>
      <c r="Y316" s="80"/>
      <c r="Z316" s="75"/>
    </row>
    <row r="317" customFormat="false" ht="15.75" hidden="false" customHeight="false" outlineLevel="0" collapsed="false">
      <c r="C317" s="69" t="n">
        <v>312</v>
      </c>
      <c r="D317" s="78" t="s">
        <v>1706</v>
      </c>
      <c r="E317" s="63" t="s">
        <v>571</v>
      </c>
      <c r="F317" s="101" t="n">
        <f aca="false">VLOOKUP(D317,'[2]5. Demanda'!$D$4:$F$357,3,FALSE())</f>
        <v>34.5</v>
      </c>
      <c r="G317" s="63" t="str">
        <f aca="false">VLOOKUP(D317,'[2]5. Demanda'!D$4:J$357,4,FALSE())</f>
        <v>Industrial</v>
      </c>
      <c r="H317" s="63" t="str">
        <f aca="false">VLOOKUP($D317,'[2]5. Demanda'!$D$4:$J$357,5,FALSE())</f>
        <v>Palos 115 kV</v>
      </c>
      <c r="I317" s="63" t="str">
        <f aca="false">VLOOKUP($D317,'[2]5. Demanda'!$D$4:$J$357,6,FALSE())</f>
        <v>Sí</v>
      </c>
      <c r="J317" s="102" t="str">
        <f aca="false">IF(VLOOKUP($D317,'[2]5. Demanda'!$D$4:$J$357,7,FALSE())=0,"",VLOOKUP($D317,'[2]5. Demanda'!$D$4:$J$357,7,FALSE()))</f>
        <v/>
      </c>
      <c r="K317" s="79" t="n">
        <v>1.208414513</v>
      </c>
      <c r="L317" s="79" t="n">
        <v>0.110421648</v>
      </c>
      <c r="M317" s="79" t="n">
        <v>4.353514703</v>
      </c>
      <c r="N317" s="79" t="n">
        <v>0.996898188</v>
      </c>
      <c r="O317" s="79" t="n">
        <v>3.41169546</v>
      </c>
      <c r="P317" s="79" t="n">
        <v>0.79137678</v>
      </c>
      <c r="Q317" s="80"/>
      <c r="R317" s="80"/>
      <c r="S317" s="80"/>
      <c r="T317" s="80"/>
      <c r="U317" s="80"/>
      <c r="V317" s="80"/>
      <c r="W317" s="80"/>
      <c r="X317" s="80"/>
      <c r="Y317" s="80"/>
      <c r="Z317" s="75"/>
    </row>
    <row r="318" customFormat="false" ht="15.75" hidden="false" customHeight="false" outlineLevel="0" collapsed="false">
      <c r="C318" s="69" t="n">
        <v>313</v>
      </c>
      <c r="D318" s="78" t="s">
        <v>1707</v>
      </c>
      <c r="E318" s="63" t="s">
        <v>1708</v>
      </c>
      <c r="F318" s="101" t="n">
        <f aca="false">VLOOKUP(D318,'[2]5. Demanda'!$D$4:$F$357,3,FALSE())</f>
        <v>34.5</v>
      </c>
      <c r="G318" s="63" t="str">
        <f aca="false">VLOOKUP(D318,'[2]5. Demanda'!D$4:J$357,4,FALSE())</f>
        <v>Industrial</v>
      </c>
      <c r="H318" s="63" t="str">
        <f aca="false">VLOOKUP($D318,'[2]5. Demanda'!$D$4:$J$357,5,FALSE())</f>
        <v>Palos 115 kV</v>
      </c>
      <c r="I318" s="63" t="str">
        <f aca="false">VLOOKUP($D318,'[2]5. Demanda'!$D$4:$J$357,6,FALSE())</f>
        <v>Sí</v>
      </c>
      <c r="J318" s="102" t="str">
        <f aca="false">IF(VLOOKUP($D318,'[2]5. Demanda'!$D$4:$J$357,7,FALSE())=0,"",VLOOKUP($D318,'[2]5. Demanda'!$D$4:$J$357,7,FALSE()))</f>
        <v/>
      </c>
      <c r="K318" s="79" t="n">
        <v>1.771247905</v>
      </c>
      <c r="L318" s="79" t="n">
        <v>0.946852519</v>
      </c>
      <c r="M318" s="79" t="n">
        <v>2.550024813</v>
      </c>
      <c r="N318" s="79" t="n">
        <v>1.792004267</v>
      </c>
      <c r="O318" s="79" t="n">
        <v>2.436276735</v>
      </c>
      <c r="P318" s="79" t="n">
        <v>1.511415075</v>
      </c>
      <c r="Q318" s="80"/>
      <c r="R318" s="80"/>
      <c r="S318" s="80"/>
      <c r="T318" s="80"/>
      <c r="U318" s="80"/>
      <c r="V318" s="80"/>
      <c r="W318" s="80"/>
      <c r="X318" s="80"/>
      <c r="Y318" s="80"/>
      <c r="Z318" s="75"/>
    </row>
    <row r="319" customFormat="false" ht="15.75" hidden="false" customHeight="false" outlineLevel="0" collapsed="false">
      <c r="C319" s="69" t="n">
        <v>314</v>
      </c>
      <c r="D319" s="78" t="s">
        <v>1709</v>
      </c>
      <c r="E319" s="63" t="s">
        <v>1710</v>
      </c>
      <c r="F319" s="101" t="n">
        <f aca="false">VLOOKUP(D319,'[2]5. Demanda'!$D$4:$F$357,3,FALSE())</f>
        <v>34.5</v>
      </c>
      <c r="G319" s="63" t="str">
        <f aca="false">VLOOKUP(D319,'[2]5. Demanda'!D$4:J$357,4,FALSE())</f>
        <v>Industrial</v>
      </c>
      <c r="H319" s="63" t="str">
        <f aca="false">VLOOKUP($D319,'[2]5. Demanda'!$D$4:$J$357,5,FALSE())</f>
        <v>Palenque 115 kV</v>
      </c>
      <c r="I319" s="63" t="str">
        <f aca="false">VLOOKUP($D319,'[2]5. Demanda'!$D$4:$J$357,6,FALSE())</f>
        <v>Sí</v>
      </c>
      <c r="J319" s="102" t="str">
        <f aca="false">IF(VLOOKUP($D319,'[2]5. Demanda'!$D$4:$J$357,7,FALSE())=0,"",VLOOKUP($D319,'[2]5. Demanda'!$D$4:$J$357,7,FALSE()))</f>
        <v/>
      </c>
      <c r="K319" s="79" t="n">
        <v>5.625450618</v>
      </c>
      <c r="L319" s="79" t="n">
        <v>1.64913372</v>
      </c>
      <c r="M319" s="79" t="n">
        <v>6.31836515</v>
      </c>
      <c r="N319" s="79" t="n">
        <v>2.253600905</v>
      </c>
      <c r="O319" s="79" t="n">
        <v>6.177920295</v>
      </c>
      <c r="P319" s="79" t="n">
        <v>2.028725175</v>
      </c>
      <c r="Q319" s="80"/>
      <c r="R319" s="80"/>
      <c r="S319" s="80"/>
      <c r="T319" s="80"/>
      <c r="U319" s="80"/>
      <c r="V319" s="80"/>
      <c r="W319" s="80"/>
      <c r="X319" s="80"/>
      <c r="Y319" s="80"/>
      <c r="Z319" s="75"/>
    </row>
    <row r="320" customFormat="false" ht="15.75" hidden="false" customHeight="false" outlineLevel="0" collapsed="false">
      <c r="C320" s="69" t="n">
        <v>315</v>
      </c>
      <c r="D320" s="78" t="s">
        <v>1711</v>
      </c>
      <c r="E320" s="63" t="s">
        <v>635</v>
      </c>
      <c r="F320" s="101" t="n">
        <f aca="false">VLOOKUP(D320,'[2]5. Demanda'!$D$4:$F$357,3,FALSE())</f>
        <v>34.5</v>
      </c>
      <c r="G320" s="63" t="str">
        <f aca="false">VLOOKUP(D320,'[2]5. Demanda'!D$4:J$357,4,FALSE())</f>
        <v>Industrial</v>
      </c>
      <c r="H320" s="63" t="str">
        <f aca="false">VLOOKUP($D320,'[2]5. Demanda'!$D$4:$J$357,5,FALSE())</f>
        <v>Palenque 115 kV
Real de Minas 115 kV</v>
      </c>
      <c r="I320" s="63" t="str">
        <f aca="false">VLOOKUP($D320,'[2]5. Demanda'!$D$4:$J$357,6,FALSE())</f>
        <v>Sí</v>
      </c>
      <c r="J320" s="102" t="str">
        <f aca="false">IF(VLOOKUP($D320,'[2]5. Demanda'!$D$4:$J$357,7,FALSE())=0,"",VLOOKUP($D320,'[2]5. Demanda'!$D$4:$J$357,7,FALSE()))</f>
        <v/>
      </c>
      <c r="K320" s="79" t="n">
        <v>2.823</v>
      </c>
      <c r="L320" s="79" t="n">
        <v>1.82625177</v>
      </c>
      <c r="M320" s="79" t="n">
        <v>4.318987</v>
      </c>
      <c r="N320" s="79" t="n">
        <v>2.762048882</v>
      </c>
      <c r="O320" s="79" t="n">
        <v>3.912999</v>
      </c>
      <c r="P320" s="79" t="n">
        <v>2.485119026</v>
      </c>
      <c r="Q320" s="80"/>
      <c r="R320" s="80"/>
      <c r="S320" s="80"/>
      <c r="T320" s="80"/>
      <c r="U320" s="80"/>
      <c r="V320" s="80"/>
      <c r="W320" s="80"/>
      <c r="X320" s="80"/>
      <c r="Y320" s="80"/>
      <c r="Z320" s="75"/>
    </row>
    <row r="321" customFormat="false" ht="15.75" hidden="false" customHeight="false" outlineLevel="0" collapsed="false">
      <c r="C321" s="69" t="n">
        <v>316</v>
      </c>
      <c r="D321" s="78" t="s">
        <v>1712</v>
      </c>
      <c r="E321" s="63" t="s">
        <v>558</v>
      </c>
      <c r="F321" s="101" t="n">
        <f aca="false">VLOOKUP(D321,'[2]5. Demanda'!$D$4:$F$357,3,FALSE())</f>
        <v>34.5</v>
      </c>
      <c r="G321" s="63" t="str">
        <f aca="false">VLOOKUP(D321,'[2]5. Demanda'!D$4:J$357,4,FALSE())</f>
        <v>Industrial</v>
      </c>
      <c r="H321" s="63" t="str">
        <f aca="false">VLOOKUP($D321,'[2]5. Demanda'!$D$4:$J$357,5,FALSE())</f>
        <v>Palenque 115 kV
Real de Minas 115 kV</v>
      </c>
      <c r="I321" s="63" t="str">
        <f aca="false">VLOOKUP($D321,'[2]5. Demanda'!$D$4:$J$357,6,FALSE())</f>
        <v>Sí</v>
      </c>
      <c r="J321" s="102" t="str">
        <f aca="false">IF(VLOOKUP($D321,'[2]5. Demanda'!$D$4:$J$357,7,FALSE())=0,"",VLOOKUP($D321,'[2]5. Demanda'!$D$4:$J$357,7,FALSE()))</f>
        <v/>
      </c>
      <c r="K321" s="79" t="n">
        <v>0.81662845</v>
      </c>
      <c r="L321" s="79" t="n">
        <v>0.009760053</v>
      </c>
      <c r="M321" s="79" t="n">
        <v>1.55557666</v>
      </c>
      <c r="N321" s="79" t="n">
        <v>0.157607883</v>
      </c>
      <c r="O321" s="79" t="n">
        <v>0.78884749</v>
      </c>
      <c r="P321" s="79" t="n">
        <v>0.103460255</v>
      </c>
      <c r="Q321" s="80"/>
      <c r="R321" s="80"/>
      <c r="S321" s="80"/>
      <c r="T321" s="80"/>
      <c r="U321" s="80"/>
      <c r="V321" s="80"/>
      <c r="W321" s="80"/>
      <c r="X321" s="80"/>
      <c r="Y321" s="80"/>
      <c r="Z321" s="75"/>
    </row>
    <row r="322" customFormat="false" ht="15.75" hidden="false" customHeight="false" outlineLevel="0" collapsed="false">
      <c r="C322" s="69" t="n">
        <v>317</v>
      </c>
      <c r="D322" s="78" t="s">
        <v>1713</v>
      </c>
      <c r="E322" s="63" t="s">
        <v>277</v>
      </c>
      <c r="F322" s="101" t="n">
        <f aca="false">VLOOKUP(D322,'[2]5. Demanda'!$D$4:$F$357,3,FALSE())</f>
        <v>34.5</v>
      </c>
      <c r="G322" s="63" t="str">
        <f aca="false">VLOOKUP(D322,'[2]5. Demanda'!D$4:J$357,4,FALSE())</f>
        <v>Industrial</v>
      </c>
      <c r="H322" s="63" t="str">
        <f aca="false">VLOOKUP($D322,'[2]5. Demanda'!$D$4:$J$357,5,FALSE())</f>
        <v>Rio Frio 115 kV</v>
      </c>
      <c r="I322" s="63" t="str">
        <f aca="false">VLOOKUP($D322,'[2]5. Demanda'!$D$4:$J$357,6,FALSE())</f>
        <v>Sí</v>
      </c>
      <c r="J322" s="102" t="str">
        <f aca="false">IF(VLOOKUP($D322,'[2]5. Demanda'!$D$4:$J$357,7,FALSE())=0,"",VLOOKUP($D322,'[2]5. Demanda'!$D$4:$J$357,7,FALSE()))</f>
        <v/>
      </c>
      <c r="K322" s="79" t="n">
        <v>4.170278278</v>
      </c>
      <c r="L322" s="79" t="n">
        <v>0.974359195</v>
      </c>
      <c r="M322" s="79" t="n">
        <v>5.769963493</v>
      </c>
      <c r="N322" s="79" t="n">
        <v>1.786867915</v>
      </c>
      <c r="O322" s="79" t="n">
        <v>5.202812085</v>
      </c>
      <c r="P322" s="79" t="n">
        <v>1.339013155</v>
      </c>
      <c r="Q322" s="80"/>
      <c r="R322" s="80"/>
      <c r="S322" s="80"/>
      <c r="T322" s="80"/>
      <c r="U322" s="80"/>
      <c r="V322" s="80"/>
      <c r="W322" s="80"/>
      <c r="X322" s="80"/>
      <c r="Y322" s="80"/>
      <c r="Z322" s="75"/>
    </row>
    <row r="323" customFormat="false" ht="15.75" hidden="false" customHeight="false" outlineLevel="0" collapsed="false">
      <c r="C323" s="69" t="n">
        <v>318</v>
      </c>
      <c r="D323" s="78" t="s">
        <v>1714</v>
      </c>
      <c r="E323" s="63" t="s">
        <v>616</v>
      </c>
      <c r="F323" s="101" t="n">
        <f aca="false">VLOOKUP(D323,'[2]5. Demanda'!$D$4:$F$357,3,FALSE())</f>
        <v>34.5</v>
      </c>
      <c r="G323" s="63" t="str">
        <f aca="false">VLOOKUP(D323,'[2]5. Demanda'!D$4:J$357,4,FALSE())</f>
        <v>Industrial</v>
      </c>
      <c r="H323" s="63" t="str">
        <f aca="false">VLOOKUP($D323,'[2]5. Demanda'!$D$4:$J$357,5,FALSE())</f>
        <v>Palos 115 kV</v>
      </c>
      <c r="I323" s="63" t="str">
        <f aca="false">VLOOKUP($D323,'[2]5. Demanda'!$D$4:$J$357,6,FALSE())</f>
        <v>Sí</v>
      </c>
      <c r="J323" s="102" t="str">
        <f aca="false">IF(VLOOKUP($D323,'[2]5. Demanda'!$D$4:$J$357,7,FALSE())=0,"",VLOOKUP($D323,'[2]5. Demanda'!$D$4:$J$357,7,FALSE()))</f>
        <v/>
      </c>
      <c r="K323" s="79" t="n">
        <v>2.654702</v>
      </c>
      <c r="L323" s="79" t="n">
        <v>1.588765629</v>
      </c>
      <c r="M323" s="79" t="n">
        <v>2.801814</v>
      </c>
      <c r="N323" s="79" t="n">
        <v>1.476366728</v>
      </c>
      <c r="O323" s="79" t="n">
        <v>2.807256</v>
      </c>
      <c r="P323" s="79" t="n">
        <v>1.519852405</v>
      </c>
      <c r="Q323" s="80"/>
      <c r="R323" s="80"/>
      <c r="S323" s="80"/>
      <c r="T323" s="80"/>
      <c r="U323" s="80"/>
      <c r="V323" s="80"/>
      <c r="W323" s="80"/>
      <c r="X323" s="80"/>
      <c r="Y323" s="80"/>
      <c r="Z323" s="75"/>
    </row>
    <row r="324" customFormat="false" ht="15.75" hidden="false" customHeight="false" outlineLevel="0" collapsed="false">
      <c r="C324" s="69" t="n">
        <v>319</v>
      </c>
      <c r="D324" s="78" t="s">
        <v>1715</v>
      </c>
      <c r="E324" s="63" t="s">
        <v>627</v>
      </c>
      <c r="F324" s="101" t="n">
        <f aca="false">VLOOKUP(D324,'[2]5. Demanda'!$D$4:$F$357,3,FALSE())</f>
        <v>34.5</v>
      </c>
      <c r="G324" s="63" t="str">
        <f aca="false">VLOOKUP(D324,'[2]5. Demanda'!D$4:J$357,4,FALSE())</f>
        <v>Industrial</v>
      </c>
      <c r="H324" s="63" t="str">
        <f aca="false">VLOOKUP($D324,'[2]5. Demanda'!$D$4:$J$357,5,FALSE())</f>
        <v>Palos 115 kV</v>
      </c>
      <c r="I324" s="63" t="str">
        <f aca="false">VLOOKUP($D324,'[2]5. Demanda'!$D$4:$J$357,6,FALSE())</f>
        <v>Sí</v>
      </c>
      <c r="J324" s="102" t="str">
        <f aca="false">IF(VLOOKUP($D324,'[2]5. Demanda'!$D$4:$J$357,7,FALSE())=0,"",VLOOKUP($D324,'[2]5. Demanda'!$D$4:$J$357,7,FALSE()))</f>
        <v/>
      </c>
      <c r="K324" s="79" t="n">
        <v>0.708668</v>
      </c>
      <c r="L324" s="79" t="n">
        <v>0.419917529</v>
      </c>
      <c r="M324" s="79" t="n">
        <v>0.845026</v>
      </c>
      <c r="N324" s="79" t="n">
        <v>0.444605014</v>
      </c>
      <c r="O324" s="79" t="n">
        <v>0.506415</v>
      </c>
      <c r="P324" s="79" t="n">
        <v>0.273730381</v>
      </c>
      <c r="Q324" s="80"/>
      <c r="R324" s="80"/>
      <c r="S324" s="80"/>
      <c r="T324" s="80"/>
      <c r="U324" s="80"/>
      <c r="V324" s="80"/>
      <c r="W324" s="80"/>
      <c r="X324" s="80"/>
      <c r="Y324" s="80"/>
      <c r="Z324" s="75"/>
    </row>
    <row r="325" customFormat="false" ht="15.75" hidden="false" customHeight="false" outlineLevel="0" collapsed="false">
      <c r="C325" s="69" t="n">
        <v>320</v>
      </c>
      <c r="D325" s="78" t="s">
        <v>1716</v>
      </c>
      <c r="E325" s="63" t="s">
        <v>582</v>
      </c>
      <c r="F325" s="101" t="n">
        <f aca="false">VLOOKUP(D325,'[2]5. Demanda'!$D$4:$F$357,3,FALSE())</f>
        <v>34.5</v>
      </c>
      <c r="G325" s="63" t="str">
        <f aca="false">VLOOKUP(D325,'[2]5. Demanda'!D$4:J$357,4,FALSE())</f>
        <v>Industrial</v>
      </c>
      <c r="H325" s="63" t="str">
        <f aca="false">VLOOKUP($D325,'[2]5. Demanda'!$D$4:$J$357,5,FALSE())</f>
        <v>Florida 115 kV</v>
      </c>
      <c r="I325" s="63" t="str">
        <f aca="false">VLOOKUP($D325,'[2]5. Demanda'!$D$4:$J$357,6,FALSE())</f>
        <v>Sí</v>
      </c>
      <c r="J325" s="102" t="str">
        <f aca="false">IF(VLOOKUP($D325,'[2]5. Demanda'!$D$4:$J$357,7,FALSE())=0,"",VLOOKUP($D325,'[2]5. Demanda'!$D$4:$J$357,7,FALSE()))</f>
        <v/>
      </c>
      <c r="K325" s="79" t="n">
        <v>3.67051571</v>
      </c>
      <c r="L325" s="79" t="n">
        <v>1.0514286</v>
      </c>
      <c r="M325" s="79" t="n">
        <v>4.576341113</v>
      </c>
      <c r="N325" s="79" t="n">
        <v>1.405776913</v>
      </c>
      <c r="O325" s="79" t="n">
        <v>4.218856085</v>
      </c>
      <c r="P325" s="79" t="n">
        <v>1.2493455</v>
      </c>
      <c r="Q325" s="80"/>
      <c r="R325" s="80"/>
      <c r="S325" s="80"/>
      <c r="T325" s="80"/>
      <c r="U325" s="80"/>
      <c r="V325" s="80"/>
      <c r="W325" s="80"/>
      <c r="X325" s="80"/>
      <c r="Y325" s="80"/>
      <c r="Z325" s="75"/>
    </row>
    <row r="326" customFormat="false" ht="15.75" hidden="false" customHeight="false" outlineLevel="0" collapsed="false">
      <c r="C326" s="69" t="n">
        <v>321</v>
      </c>
      <c r="D326" s="78" t="s">
        <v>1717</v>
      </c>
      <c r="E326" s="63" t="s">
        <v>1718</v>
      </c>
      <c r="F326" s="101" t="n">
        <f aca="false">VLOOKUP(D326,'[2]5. Demanda'!$D$4:$F$357,3,FALSE())</f>
        <v>34.5</v>
      </c>
      <c r="G326" s="63" t="str">
        <f aca="false">VLOOKUP(D326,'[2]5. Demanda'!D$4:J$357,4,FALSE())</f>
        <v>Industrial</v>
      </c>
      <c r="H326" s="63" t="str">
        <f aca="false">VLOOKUP($D326,'[2]5. Demanda'!$D$4:$J$357,5,FALSE())</f>
        <v>Florida 115 kV</v>
      </c>
      <c r="I326" s="63" t="str">
        <f aca="false">VLOOKUP($D326,'[2]5. Demanda'!$D$4:$J$357,6,FALSE())</f>
        <v>Sí</v>
      </c>
      <c r="J326" s="102" t="str">
        <f aca="false">IF(VLOOKUP($D326,'[2]5. Demanda'!$D$4:$J$357,7,FALSE())=0,"",VLOOKUP($D326,'[2]5. Demanda'!$D$4:$J$357,7,FALSE()))</f>
        <v/>
      </c>
      <c r="K326" s="79" t="n">
        <v>2.903251878</v>
      </c>
      <c r="L326" s="79" t="n">
        <v>0.614372683</v>
      </c>
      <c r="M326" s="79" t="n">
        <v>5.878965408</v>
      </c>
      <c r="N326" s="79" t="n">
        <v>1.929734008</v>
      </c>
      <c r="O326" s="79" t="n">
        <v>4.931797405</v>
      </c>
      <c r="P326" s="79" t="n">
        <v>2.235537815</v>
      </c>
      <c r="Q326" s="80"/>
      <c r="R326" s="80"/>
      <c r="S326" s="80"/>
      <c r="T326" s="80"/>
      <c r="U326" s="80"/>
      <c r="V326" s="80"/>
      <c r="W326" s="80"/>
      <c r="X326" s="80"/>
      <c r="Y326" s="80"/>
      <c r="Z326" s="75"/>
    </row>
    <row r="327" customFormat="false" ht="15.75" hidden="false" customHeight="false" outlineLevel="0" collapsed="false">
      <c r="C327" s="69" t="n">
        <v>322</v>
      </c>
      <c r="D327" s="78" t="s">
        <v>1719</v>
      </c>
      <c r="E327" s="63" t="s">
        <v>1720</v>
      </c>
      <c r="F327" s="101" t="n">
        <f aca="false">VLOOKUP(D327,'[2]5. Demanda'!$D$4:$F$357,3,FALSE())</f>
        <v>34.5</v>
      </c>
      <c r="G327" s="63" t="str">
        <f aca="false">VLOOKUP(D327,'[2]5. Demanda'!D$4:J$357,4,FALSE())</f>
        <v>Industrial</v>
      </c>
      <c r="H327" s="63" t="str">
        <f aca="false">VLOOKUP($D327,'[2]5. Demanda'!$D$4:$J$357,5,FALSE())</f>
        <v>Bucaramanga 115 kV</v>
      </c>
      <c r="I327" s="63" t="str">
        <f aca="false">VLOOKUP($D327,'[2]5. Demanda'!$D$4:$J$357,6,FALSE())</f>
        <v>Sí</v>
      </c>
      <c r="J327" s="102" t="str">
        <f aca="false">IF(VLOOKUP($D327,'[2]5. Demanda'!$D$4:$J$357,7,FALSE())=0,"",VLOOKUP($D327,'[2]5. Demanda'!$D$4:$J$357,7,FALSE()))</f>
        <v/>
      </c>
      <c r="K327" s="79" t="n">
        <v>0.085795298</v>
      </c>
      <c r="L327" s="79" t="n">
        <v>0.041552559</v>
      </c>
      <c r="M327" s="79" t="n">
        <v>0.04153589</v>
      </c>
      <c r="N327" s="79" t="n">
        <v>0.02011675</v>
      </c>
      <c r="O327" s="79" t="n">
        <v>0.095597017</v>
      </c>
      <c r="P327" s="79" t="n">
        <v>0.046299748</v>
      </c>
      <c r="Q327" s="80"/>
      <c r="R327" s="80"/>
      <c r="S327" s="80"/>
      <c r="T327" s="80"/>
      <c r="U327" s="80"/>
      <c r="V327" s="80"/>
      <c r="W327" s="80"/>
      <c r="X327" s="80"/>
      <c r="Y327" s="80"/>
      <c r="Z327" s="75"/>
    </row>
    <row r="328" customFormat="false" ht="15.75" hidden="false" customHeight="false" outlineLevel="0" collapsed="false">
      <c r="C328" s="69" t="n">
        <v>323</v>
      </c>
      <c r="D328" s="78" t="s">
        <v>1721</v>
      </c>
      <c r="E328" s="63" t="s">
        <v>374</v>
      </c>
      <c r="F328" s="101" t="n">
        <f aca="false">VLOOKUP(D328,'[2]5. Demanda'!$D$4:$F$357,3,FALSE())</f>
        <v>34.5</v>
      </c>
      <c r="G328" s="63" t="str">
        <f aca="false">VLOOKUP(D328,'[2]5. Demanda'!D$4:J$357,4,FALSE())</f>
        <v>Industrial</v>
      </c>
      <c r="H328" s="63" t="str">
        <f aca="false">VLOOKUP($D328,'[2]5. Demanda'!$D$4:$J$357,5,FALSE())</f>
        <v>Palos 115 kV</v>
      </c>
      <c r="I328" s="63" t="str">
        <f aca="false">VLOOKUP($D328,'[2]5. Demanda'!$D$4:$J$357,6,FALSE())</f>
        <v>Sí</v>
      </c>
      <c r="J328" s="102" t="str">
        <f aca="false">IF(VLOOKUP($D328,'[2]5. Demanda'!$D$4:$J$357,7,FALSE())=0,"",VLOOKUP($D328,'[2]5. Demanda'!$D$4:$J$357,7,FALSE()))</f>
        <v/>
      </c>
      <c r="K328" s="79" t="n">
        <v>0.00425</v>
      </c>
      <c r="L328" s="79" t="n">
        <v>0.002533375</v>
      </c>
      <c r="M328" s="79" t="n">
        <v>0.018676</v>
      </c>
      <c r="N328" s="79" t="n">
        <v>0.010104383</v>
      </c>
      <c r="O328" s="79" t="n">
        <v>0.160638</v>
      </c>
      <c r="P328" s="79" t="n">
        <v>0.090492978</v>
      </c>
      <c r="Q328" s="80"/>
      <c r="R328" s="80"/>
      <c r="S328" s="80"/>
      <c r="T328" s="80"/>
      <c r="U328" s="80"/>
      <c r="V328" s="80"/>
      <c r="W328" s="80"/>
      <c r="X328" s="80"/>
      <c r="Y328" s="80"/>
      <c r="Z328" s="75"/>
    </row>
    <row r="329" customFormat="false" ht="15.75" hidden="false" customHeight="false" outlineLevel="0" collapsed="false">
      <c r="C329" s="69" t="n">
        <v>324</v>
      </c>
      <c r="D329" s="78" t="s">
        <v>1722</v>
      </c>
      <c r="E329" s="63" t="s">
        <v>390</v>
      </c>
      <c r="F329" s="101" t="n">
        <f aca="false">VLOOKUP(D329,'[2]5. Demanda'!$D$4:$F$357,3,FALSE())</f>
        <v>34.5</v>
      </c>
      <c r="G329" s="63" t="str">
        <f aca="false">VLOOKUP(D329,'[2]5. Demanda'!D$4:J$357,4,FALSE())</f>
        <v>Industrial</v>
      </c>
      <c r="H329" s="63" t="str">
        <f aca="false">VLOOKUP($D329,'[2]5. Demanda'!$D$4:$J$357,5,FALSE())</f>
        <v>Real de Minas 115 kV</v>
      </c>
      <c r="I329" s="63" t="str">
        <f aca="false">VLOOKUP($D329,'[2]5. Demanda'!$D$4:$J$357,6,FALSE())</f>
        <v>Sí</v>
      </c>
      <c r="J329" s="102" t="str">
        <f aca="false">IF(VLOOKUP($D329,'[2]5. Demanda'!$D$4:$J$357,7,FALSE())=0,"",VLOOKUP($D329,'[2]5. Demanda'!$D$4:$J$357,7,FALSE()))</f>
        <v/>
      </c>
      <c r="K329" s="79" t="n">
        <v>1.693128</v>
      </c>
      <c r="L329" s="79" t="n">
        <v>1.067284709</v>
      </c>
      <c r="M329" s="79" t="n">
        <v>3.436976</v>
      </c>
      <c r="N329" s="79" t="n">
        <v>2.134348749</v>
      </c>
      <c r="O329" s="79" t="n">
        <v>3.5928</v>
      </c>
      <c r="P329" s="79" t="n">
        <v>2.217118947</v>
      </c>
      <c r="Q329" s="80"/>
      <c r="R329" s="80"/>
      <c r="S329" s="80"/>
      <c r="T329" s="80"/>
      <c r="U329" s="80"/>
      <c r="V329" s="80"/>
      <c r="W329" s="80"/>
      <c r="X329" s="80"/>
      <c r="Y329" s="80"/>
      <c r="Z329" s="75"/>
    </row>
    <row r="330" customFormat="false" ht="15.75" hidden="false" customHeight="false" outlineLevel="0" collapsed="false">
      <c r="C330" s="69" t="n">
        <v>325</v>
      </c>
      <c r="D330" s="78" t="s">
        <v>1723</v>
      </c>
      <c r="E330" s="63" t="s">
        <v>1724</v>
      </c>
      <c r="F330" s="101" t="n">
        <f aca="false">VLOOKUP(D330,'[2]5. Demanda'!$D$4:$F$357,3,FALSE())</f>
        <v>34.5</v>
      </c>
      <c r="G330" s="63" t="str">
        <f aca="false">VLOOKUP(D330,'[2]5. Demanda'!D$4:J$357,4,FALSE())</f>
        <v>Industrial</v>
      </c>
      <c r="H330" s="63" t="str">
        <f aca="false">VLOOKUP($D330,'[2]5. Demanda'!$D$4:$J$357,5,FALSE())</f>
        <v>Real de Minas 115 kV</v>
      </c>
      <c r="I330" s="63" t="str">
        <f aca="false">VLOOKUP($D330,'[2]5. Demanda'!$D$4:$J$357,6,FALSE())</f>
        <v>Sí</v>
      </c>
      <c r="J330" s="102" t="str">
        <f aca="false">IF(VLOOKUP($D330,'[2]5. Demanda'!$D$4:$J$357,7,FALSE())=0,"",VLOOKUP($D330,'[2]5. Demanda'!$D$4:$J$357,7,FALSE()))</f>
        <v/>
      </c>
      <c r="K330" s="79" t="n">
        <v>0.297378443</v>
      </c>
      <c r="L330" s="79" t="n">
        <v>0.00440143</v>
      </c>
      <c r="M330" s="79" t="n">
        <v>0.867048845</v>
      </c>
      <c r="N330" s="79" t="n">
        <v>0.273835855</v>
      </c>
      <c r="O330" s="79" t="n">
        <v>0.523947855</v>
      </c>
      <c r="P330" s="79" t="n">
        <v>0.087465275</v>
      </c>
      <c r="Q330" s="80"/>
      <c r="R330" s="80"/>
      <c r="S330" s="80"/>
      <c r="T330" s="80"/>
      <c r="U330" s="80"/>
      <c r="V330" s="80"/>
      <c r="W330" s="80"/>
      <c r="X330" s="80"/>
      <c r="Y330" s="80"/>
      <c r="Z330" s="75"/>
    </row>
    <row r="331" customFormat="false" ht="15.75" hidden="false" customHeight="false" outlineLevel="0" collapsed="false">
      <c r="C331" s="69" t="n">
        <v>326</v>
      </c>
      <c r="D331" s="78" t="s">
        <v>1725</v>
      </c>
      <c r="E331" s="63" t="s">
        <v>1724</v>
      </c>
      <c r="F331" s="101" t="n">
        <f aca="false">VLOOKUP(D331,'[2]5. Demanda'!$D$4:$F$357,3,FALSE())</f>
        <v>34.5</v>
      </c>
      <c r="G331" s="63" t="str">
        <f aca="false">VLOOKUP(D331,'[2]5. Demanda'!D$4:J$357,4,FALSE())</f>
        <v>Industrial</v>
      </c>
      <c r="H331" s="63" t="str">
        <f aca="false">VLOOKUP($D331,'[2]5. Demanda'!$D$4:$J$357,5,FALSE())</f>
        <v>Real de Minas 115 kV</v>
      </c>
      <c r="I331" s="63" t="str">
        <f aca="false">VLOOKUP($D331,'[2]5. Demanda'!$D$4:$J$357,6,FALSE())</f>
        <v>Sí</v>
      </c>
      <c r="J331" s="102" t="str">
        <f aca="false">IF(VLOOKUP($D331,'[2]5. Demanda'!$D$4:$J$357,7,FALSE())=0,"",VLOOKUP($D331,'[2]5. Demanda'!$D$4:$J$357,7,FALSE()))</f>
        <v/>
      </c>
      <c r="K331" s="79" t="n">
        <v>0.097370318</v>
      </c>
      <c r="L331" s="79" t="n">
        <v>0.149065015</v>
      </c>
      <c r="M331" s="79" t="n">
        <v>0.45054221</v>
      </c>
      <c r="N331" s="79" t="n">
        <v>0.2386023</v>
      </c>
      <c r="O331" s="79" t="n">
        <v>0.45259252</v>
      </c>
      <c r="P331" s="79" t="n">
        <v>0.227522025</v>
      </c>
      <c r="Q331" s="80"/>
      <c r="R331" s="80"/>
      <c r="S331" s="80"/>
      <c r="T331" s="80"/>
      <c r="U331" s="80"/>
      <c r="V331" s="80"/>
      <c r="W331" s="80"/>
      <c r="X331" s="80"/>
      <c r="Y331" s="80"/>
      <c r="Z331" s="75"/>
    </row>
    <row r="332" customFormat="false" ht="15.75" hidden="false" customHeight="false" outlineLevel="0" collapsed="false">
      <c r="C332" s="69" t="n">
        <v>327</v>
      </c>
      <c r="D332" s="78" t="s">
        <v>1726</v>
      </c>
      <c r="E332" s="63" t="s">
        <v>328</v>
      </c>
      <c r="F332" s="101" t="n">
        <f aca="false">VLOOKUP(D332,'[2]5. Demanda'!$D$4:$F$357,3,FALSE())</f>
        <v>34.5</v>
      </c>
      <c r="G332" s="63" t="str">
        <f aca="false">VLOOKUP(D332,'[2]5. Demanda'!D$4:J$357,4,FALSE())</f>
        <v>Industrial</v>
      </c>
      <c r="H332" s="63" t="str">
        <f aca="false">VLOOKUP($D332,'[2]5. Demanda'!$D$4:$J$357,5,FALSE())</f>
        <v>San Alberto 115 kV</v>
      </c>
      <c r="I332" s="63" t="str">
        <f aca="false">VLOOKUP($D332,'[2]5. Demanda'!$D$4:$J$357,6,FALSE())</f>
        <v>Sí</v>
      </c>
      <c r="J332" s="102" t="str">
        <f aca="false">IF(VLOOKUP($D332,'[2]5. Demanda'!$D$4:$J$357,7,FALSE())=0,"",VLOOKUP($D332,'[2]5. Demanda'!$D$4:$J$357,7,FALSE()))</f>
        <v/>
      </c>
      <c r="K332" s="79" t="n">
        <v>1.335357</v>
      </c>
      <c r="L332" s="79" t="n">
        <v>0.981328612</v>
      </c>
      <c r="M332" s="79" t="n">
        <v>1.609438</v>
      </c>
      <c r="N332" s="79" t="n">
        <v>1.011643464</v>
      </c>
      <c r="O332" s="79" t="n">
        <v>1.939829</v>
      </c>
      <c r="P332" s="79" t="n">
        <v>1.283246528</v>
      </c>
      <c r="Q332" s="80"/>
      <c r="R332" s="80"/>
      <c r="S332" s="80"/>
      <c r="T332" s="80"/>
      <c r="U332" s="80"/>
      <c r="V332" s="80"/>
      <c r="W332" s="80"/>
      <c r="X332" s="80"/>
      <c r="Y332" s="80"/>
      <c r="Z332" s="75"/>
    </row>
    <row r="333" customFormat="false" ht="15.75" hidden="false" customHeight="false" outlineLevel="0" collapsed="false">
      <c r="C333" s="69" t="n">
        <v>328</v>
      </c>
      <c r="D333" s="78" t="s">
        <v>1727</v>
      </c>
      <c r="E333" s="63" t="s">
        <v>287</v>
      </c>
      <c r="F333" s="101" t="n">
        <f aca="false">VLOOKUP(D333,'[2]5. Demanda'!$D$4:$F$357,3,FALSE())</f>
        <v>34.5</v>
      </c>
      <c r="G333" s="63" t="str">
        <f aca="false">VLOOKUP(D333,'[2]5. Demanda'!D$4:J$357,4,FALSE())</f>
        <v>Industrial</v>
      </c>
      <c r="H333" s="63" t="str">
        <f aca="false">VLOOKUP($D333,'[2]5. Demanda'!$D$4:$J$357,5,FALSE())</f>
        <v>San Alberto 115 kV</v>
      </c>
      <c r="I333" s="63" t="str">
        <f aca="false">VLOOKUP($D333,'[2]5. Demanda'!$D$4:$J$357,6,FALSE())</f>
        <v>Sí</v>
      </c>
      <c r="J333" s="102" t="str">
        <f aca="false">IF(VLOOKUP($D333,'[2]5. Demanda'!$D$4:$J$357,7,FALSE())=0,"",VLOOKUP($D333,'[2]5. Demanda'!$D$4:$J$357,7,FALSE()))</f>
        <v/>
      </c>
      <c r="K333" s="79" t="n">
        <v>0.86937924</v>
      </c>
      <c r="L333" s="79" t="n">
        <v>0.05244464</v>
      </c>
      <c r="M333" s="79" t="n">
        <v>1.68504831</v>
      </c>
      <c r="N333" s="79" t="n">
        <v>0.426677253</v>
      </c>
      <c r="O333" s="79" t="n">
        <v>1.604420455</v>
      </c>
      <c r="P333" s="79" t="n">
        <v>0.53714736</v>
      </c>
      <c r="Q333" s="80"/>
      <c r="R333" s="80"/>
      <c r="S333" s="80"/>
      <c r="T333" s="80"/>
      <c r="U333" s="80"/>
      <c r="V333" s="80"/>
      <c r="W333" s="80"/>
      <c r="X333" s="80"/>
      <c r="Y333" s="80"/>
      <c r="Z333" s="75"/>
    </row>
    <row r="334" customFormat="false" ht="15.75" hidden="false" customHeight="false" outlineLevel="0" collapsed="false">
      <c r="C334" s="69" t="n">
        <v>329</v>
      </c>
      <c r="D334" s="78" t="s">
        <v>1728</v>
      </c>
      <c r="E334" s="63" t="s">
        <v>1729</v>
      </c>
      <c r="F334" s="101" t="n">
        <f aca="false">VLOOKUP(D334,'[2]5. Demanda'!$D$4:$F$357,3,FALSE())</f>
        <v>34.5</v>
      </c>
      <c r="G334" s="63" t="str">
        <f aca="false">VLOOKUP(D334,'[2]5. Demanda'!D$4:J$357,4,FALSE())</f>
        <v>Industrial</v>
      </c>
      <c r="H334" s="63" t="str">
        <f aca="false">VLOOKUP($D334,'[2]5. Demanda'!$D$4:$J$357,5,FALSE())</f>
        <v>San Alberto 115 kV</v>
      </c>
      <c r="I334" s="63" t="str">
        <f aca="false">VLOOKUP($D334,'[2]5. Demanda'!$D$4:$J$357,6,FALSE())</f>
        <v>Sí</v>
      </c>
      <c r="J334" s="102" t="str">
        <f aca="false">IF(VLOOKUP($D334,'[2]5. Demanda'!$D$4:$J$357,7,FALSE())=0,"",VLOOKUP($D334,'[2]5. Demanda'!$D$4:$J$357,7,FALSE()))</f>
        <v/>
      </c>
      <c r="K334" s="79" t="n">
        <v>0.814791165</v>
      </c>
      <c r="L334" s="79" t="n">
        <v>0.147234755</v>
      </c>
      <c r="M334" s="79" t="n">
        <v>1.159204295</v>
      </c>
      <c r="N334" s="79" t="n">
        <v>0.101540673</v>
      </c>
      <c r="O334" s="79" t="n">
        <v>0.76665902</v>
      </c>
      <c r="P334" s="79" t="n">
        <v>0.107792465</v>
      </c>
      <c r="Q334" s="80"/>
      <c r="R334" s="80"/>
      <c r="S334" s="80"/>
      <c r="T334" s="80"/>
      <c r="U334" s="80"/>
      <c r="V334" s="80"/>
      <c r="W334" s="80"/>
      <c r="X334" s="80"/>
      <c r="Y334" s="80"/>
      <c r="Z334" s="75"/>
    </row>
    <row r="335" customFormat="false" ht="15.75" hidden="false" customHeight="false" outlineLevel="0" collapsed="false">
      <c r="C335" s="69" t="n">
        <v>330</v>
      </c>
      <c r="D335" s="78" t="s">
        <v>1730</v>
      </c>
      <c r="E335" s="63" t="s">
        <v>1101</v>
      </c>
      <c r="F335" s="101" t="n">
        <f aca="false">VLOOKUP(D335,'[2]5. Demanda'!$D$4:$F$357,3,FALSE())</f>
        <v>34.5</v>
      </c>
      <c r="G335" s="63" t="str">
        <f aca="false">VLOOKUP(D335,'[2]5. Demanda'!D$4:J$357,4,FALSE())</f>
        <v>Industrial</v>
      </c>
      <c r="H335" s="63" t="str">
        <f aca="false">VLOOKUP($D335,'[2]5. Demanda'!$D$4:$J$357,5,FALSE())</f>
        <v>Sabana de Torres 115 kV</v>
      </c>
      <c r="I335" s="63" t="str">
        <f aca="false">VLOOKUP($D335,'[2]5. Demanda'!$D$4:$J$357,6,FALSE())</f>
        <v>Sí</v>
      </c>
      <c r="J335" s="102" t="str">
        <f aca="false">IF(VLOOKUP($D335,'[2]5. Demanda'!$D$4:$J$357,7,FALSE())=0,"",VLOOKUP($D335,'[2]5. Demanda'!$D$4:$J$357,7,FALSE()))</f>
        <v/>
      </c>
      <c r="K335" s="79" t="n">
        <v>0.8</v>
      </c>
      <c r="L335" s="79" t="n">
        <v>0.4</v>
      </c>
      <c r="M335" s="79" t="n">
        <v>0.8</v>
      </c>
      <c r="N335" s="79" t="n">
        <v>0.4</v>
      </c>
      <c r="O335" s="79" t="n">
        <v>0.8</v>
      </c>
      <c r="P335" s="79" t="n">
        <v>0.4</v>
      </c>
      <c r="Q335" s="80"/>
      <c r="R335" s="80"/>
      <c r="S335" s="80"/>
      <c r="T335" s="80"/>
      <c r="U335" s="80"/>
      <c r="V335" s="80"/>
      <c r="W335" s="80"/>
      <c r="X335" s="80"/>
      <c r="Y335" s="80"/>
      <c r="Z335" s="75"/>
    </row>
    <row r="336" customFormat="false" ht="15.75" hidden="false" customHeight="false" outlineLevel="0" collapsed="false">
      <c r="C336" s="69" t="n">
        <v>331</v>
      </c>
      <c r="D336" s="78" t="s">
        <v>1731</v>
      </c>
      <c r="E336" s="63" t="s">
        <v>612</v>
      </c>
      <c r="F336" s="101" t="n">
        <f aca="false">VLOOKUP(D336,'[2]5. Demanda'!$D$4:$F$357,3,FALSE())</f>
        <v>34.5</v>
      </c>
      <c r="G336" s="63" t="str">
        <f aca="false">VLOOKUP(D336,'[2]5. Demanda'!D$4:J$357,4,FALSE())</f>
        <v>Industrial</v>
      </c>
      <c r="H336" s="63" t="str">
        <f aca="false">VLOOKUP($D336,'[2]5. Demanda'!$D$4:$J$357,5,FALSE())</f>
        <v>Palenque 115 kV</v>
      </c>
      <c r="I336" s="63" t="str">
        <f aca="false">VLOOKUP($D336,'[2]5. Demanda'!$D$4:$J$357,6,FALSE())</f>
        <v>Sí</v>
      </c>
      <c r="J336" s="102" t="str">
        <f aca="false">IF(VLOOKUP($D336,'[2]5. Demanda'!$D$4:$J$357,7,FALSE())=0,"",VLOOKUP($D336,'[2]5. Demanda'!$D$4:$J$357,7,FALSE()))</f>
        <v/>
      </c>
      <c r="K336" s="79" t="n">
        <v>0.57019159</v>
      </c>
      <c r="L336" s="79" t="n">
        <v>0.180896703</v>
      </c>
      <c r="M336" s="79" t="n">
        <v>1.087693178</v>
      </c>
      <c r="N336" s="79" t="n">
        <v>0.40089144</v>
      </c>
      <c r="O336" s="79" t="n">
        <v>0.81412261</v>
      </c>
      <c r="P336" s="79" t="n">
        <v>0.26729919</v>
      </c>
      <c r="Q336" s="80"/>
      <c r="R336" s="80"/>
      <c r="S336" s="80"/>
      <c r="T336" s="80"/>
      <c r="U336" s="80"/>
      <c r="V336" s="80"/>
      <c r="W336" s="80"/>
      <c r="X336" s="80"/>
      <c r="Y336" s="80"/>
      <c r="Z336" s="75"/>
    </row>
    <row r="337" customFormat="false" ht="15.75" hidden="false" customHeight="false" outlineLevel="0" collapsed="false">
      <c r="C337" s="69" t="n">
        <v>332</v>
      </c>
      <c r="D337" s="78" t="s">
        <v>794</v>
      </c>
      <c r="E337" s="63" t="s">
        <v>794</v>
      </c>
      <c r="F337" s="101" t="n">
        <f aca="false">VLOOKUP(D337,'[2]5. Demanda'!$D$4:$F$357,3,FALSE())</f>
        <v>34.5</v>
      </c>
      <c r="G337" s="63" t="str">
        <f aca="false">VLOOKUP(D337,'[2]5. Demanda'!D$4:J$357,4,FALSE())</f>
        <v>Industrial</v>
      </c>
      <c r="H337" s="63" t="str">
        <f aca="false">VLOOKUP($D337,'[2]5. Demanda'!$D$4:$J$357,5,FALSE())</f>
        <v>Rio Frio 115 kV</v>
      </c>
      <c r="I337" s="63" t="str">
        <f aca="false">VLOOKUP($D337,'[2]5. Demanda'!$D$4:$J$357,6,FALSE())</f>
        <v>Sí</v>
      </c>
      <c r="J337" s="102" t="str">
        <f aca="false">IF(VLOOKUP($D337,'[2]5. Demanda'!$D$4:$J$357,7,FALSE())=0,"",VLOOKUP($D337,'[2]5. Demanda'!$D$4:$J$357,7,FALSE()))</f>
        <v/>
      </c>
      <c r="K337" s="79" t="n">
        <v>0.824852505</v>
      </c>
      <c r="L337" s="79" t="n">
        <v>0.399494301</v>
      </c>
      <c r="M337" s="79" t="n">
        <v>1.365913995</v>
      </c>
      <c r="N337" s="79" t="n">
        <v>0.661542341</v>
      </c>
      <c r="O337" s="79" t="n">
        <v>1.034545535</v>
      </c>
      <c r="P337" s="79" t="n">
        <v>0.501053271</v>
      </c>
      <c r="Q337" s="80"/>
      <c r="R337" s="80"/>
      <c r="S337" s="80"/>
      <c r="T337" s="80"/>
      <c r="U337" s="80"/>
      <c r="V337" s="80"/>
      <c r="W337" s="80"/>
      <c r="X337" s="80"/>
      <c r="Y337" s="80"/>
      <c r="Z337" s="75"/>
    </row>
    <row r="338" customFormat="false" ht="15.75" hidden="false" customHeight="false" outlineLevel="0" collapsed="false">
      <c r="C338" s="69" t="n">
        <v>333</v>
      </c>
      <c r="D338" s="78" t="s">
        <v>1732</v>
      </c>
      <c r="E338" s="63" t="s">
        <v>749</v>
      </c>
      <c r="F338" s="101" t="n">
        <f aca="false">VLOOKUP(D338,'[2]5. Demanda'!$D$4:$F$357,3,FALSE())</f>
        <v>34.5</v>
      </c>
      <c r="G338" s="63" t="str">
        <f aca="false">VLOOKUP(D338,'[2]5. Demanda'!D$4:J$357,4,FALSE())</f>
        <v>Industrial</v>
      </c>
      <c r="H338" s="63" t="str">
        <f aca="false">VLOOKUP($D338,'[2]5. Demanda'!$D$4:$J$357,5,FALSE())</f>
        <v>Palenque 115 kV
Real de Minas 115 kV</v>
      </c>
      <c r="I338" s="63" t="str">
        <f aca="false">VLOOKUP($D338,'[2]5. Demanda'!$D$4:$J$357,6,FALSE())</f>
        <v>Sí</v>
      </c>
      <c r="J338" s="102" t="str">
        <f aca="false">IF(VLOOKUP($D338,'[2]5. Demanda'!$D$4:$J$357,7,FALSE())=0,"",VLOOKUP($D338,'[2]5. Demanda'!$D$4:$J$357,7,FALSE()))</f>
        <v/>
      </c>
      <c r="K338" s="79" t="n">
        <v>0.001693</v>
      </c>
      <c r="L338" s="79" t="n">
        <v>0.001176366</v>
      </c>
      <c r="M338" s="79" t="n">
        <v>0.040255</v>
      </c>
      <c r="N338" s="79" t="n">
        <v>0.026832644</v>
      </c>
      <c r="O338" s="79" t="n">
        <v>0.386602</v>
      </c>
      <c r="P338" s="79" t="n">
        <v>0.263585318</v>
      </c>
      <c r="Q338" s="80"/>
      <c r="R338" s="80"/>
      <c r="S338" s="80"/>
      <c r="T338" s="80"/>
      <c r="U338" s="80"/>
      <c r="V338" s="80"/>
      <c r="W338" s="80"/>
      <c r="X338" s="80"/>
      <c r="Y338" s="80"/>
      <c r="Z338" s="75"/>
    </row>
    <row r="339" customFormat="false" ht="15.75" hidden="false" customHeight="false" outlineLevel="0" collapsed="false">
      <c r="C339" s="69" t="n">
        <v>334</v>
      </c>
      <c r="D339" s="78" t="s">
        <v>1733</v>
      </c>
      <c r="E339" s="63" t="s">
        <v>532</v>
      </c>
      <c r="F339" s="101" t="n">
        <f aca="false">VLOOKUP(D339,'[2]5. Demanda'!$D$4:$F$357,3,FALSE())</f>
        <v>34.5</v>
      </c>
      <c r="G339" s="63" t="str">
        <f aca="false">VLOOKUP(D339,'[2]5. Demanda'!D$4:J$357,4,FALSE())</f>
        <v>Industrial</v>
      </c>
      <c r="H339" s="63" t="str">
        <f aca="false">VLOOKUP($D339,'[2]5. Demanda'!$D$4:$J$357,5,FALSE())</f>
        <v>Rio Frio 115 kV</v>
      </c>
      <c r="I339" s="63" t="str">
        <f aca="false">VLOOKUP($D339,'[2]5. Demanda'!$D$4:$J$357,6,FALSE())</f>
        <v>Sí</v>
      </c>
      <c r="J339" s="102" t="str">
        <f aca="false">IF(VLOOKUP($D339,'[2]5. Demanda'!$D$4:$J$357,7,FALSE())=0,"",VLOOKUP($D339,'[2]5. Demanda'!$D$4:$J$357,7,FALSE()))</f>
        <v/>
      </c>
      <c r="K339" s="79" t="n">
        <v>0.207478729</v>
      </c>
      <c r="L339" s="79" t="n">
        <v>0.140308411</v>
      </c>
      <c r="M339" s="79" t="n">
        <v>0.596778426</v>
      </c>
      <c r="N339" s="79" t="n">
        <v>0.391224188</v>
      </c>
      <c r="O339" s="79" t="n">
        <v>0.349282621</v>
      </c>
      <c r="P339" s="79" t="n">
        <v>0.258365824</v>
      </c>
      <c r="Q339" s="80"/>
      <c r="R339" s="80"/>
      <c r="S339" s="80"/>
      <c r="T339" s="80"/>
      <c r="U339" s="80"/>
      <c r="V339" s="80"/>
      <c r="W339" s="80"/>
      <c r="X339" s="80"/>
      <c r="Y339" s="80"/>
      <c r="Z339" s="75"/>
    </row>
    <row r="340" customFormat="false" ht="15.75" hidden="false" customHeight="false" outlineLevel="0" collapsed="false">
      <c r="C340" s="69" t="n">
        <v>335</v>
      </c>
      <c r="D340" s="78" t="s">
        <v>1734</v>
      </c>
      <c r="E340" s="63" t="s">
        <v>1735</v>
      </c>
      <c r="F340" s="101" t="n">
        <f aca="false">VLOOKUP(D340,'[2]5. Demanda'!$D$4:$F$357,3,FALSE())</f>
        <v>34.5</v>
      </c>
      <c r="G340" s="63" t="str">
        <f aca="false">VLOOKUP(D340,'[2]5. Demanda'!D$4:J$357,4,FALSE())</f>
        <v>Industrial</v>
      </c>
      <c r="H340" s="63" t="str">
        <f aca="false">VLOOKUP($D340,'[2]5. Demanda'!$D$4:$J$357,5,FALSE())</f>
        <v>Florida 115 kV
Rio Frio 115 kV</v>
      </c>
      <c r="I340" s="63" t="str">
        <f aca="false">VLOOKUP($D340,'[2]5. Demanda'!$D$4:$J$357,6,FALSE())</f>
        <v>Sí</v>
      </c>
      <c r="J340" s="102" t="str">
        <f aca="false">IF(VLOOKUP($D340,'[2]5. Demanda'!$D$4:$J$357,7,FALSE())=0,"",VLOOKUP($D340,'[2]5. Demanda'!$D$4:$J$357,7,FALSE()))</f>
        <v/>
      </c>
      <c r="K340" s="79" t="n">
        <v>0.25303357</v>
      </c>
      <c r="L340" s="79" t="n">
        <v>0.05621595</v>
      </c>
      <c r="M340" s="79" t="n">
        <v>0.400447758</v>
      </c>
      <c r="N340" s="79" t="n">
        <v>0.100624823</v>
      </c>
      <c r="O340" s="79" t="n">
        <v>0.32346734</v>
      </c>
      <c r="P340" s="79" t="n">
        <v>0.0801161</v>
      </c>
      <c r="Q340" s="80"/>
      <c r="R340" s="80"/>
      <c r="S340" s="80"/>
      <c r="T340" s="80"/>
      <c r="U340" s="80"/>
      <c r="V340" s="80"/>
      <c r="W340" s="80"/>
      <c r="X340" s="80"/>
      <c r="Y340" s="80"/>
      <c r="Z340" s="75"/>
    </row>
    <row r="341" customFormat="false" ht="15.75" hidden="false" customHeight="false" outlineLevel="0" collapsed="false">
      <c r="C341" s="69" t="n">
        <v>336</v>
      </c>
      <c r="D341" s="78" t="s">
        <v>1736</v>
      </c>
      <c r="E341" s="63" t="s">
        <v>274</v>
      </c>
      <c r="F341" s="101" t="n">
        <f aca="false">VLOOKUP(D341,'[2]5. Demanda'!$D$4:$F$357,3,FALSE())</f>
        <v>34.5</v>
      </c>
      <c r="G341" s="63" t="str">
        <f aca="false">VLOOKUP(D341,'[2]5. Demanda'!D$4:J$357,4,FALSE())</f>
        <v>Industrial</v>
      </c>
      <c r="H341" s="63" t="str">
        <f aca="false">VLOOKUP($D341,'[2]5. Demanda'!$D$4:$J$357,5,FALSE())</f>
        <v>Real de Minas 115 kV
Principal 115 kV</v>
      </c>
      <c r="I341" s="63" t="str">
        <f aca="false">VLOOKUP($D341,'[2]5. Demanda'!$D$4:$J$357,6,FALSE())</f>
        <v>Sí</v>
      </c>
      <c r="J341" s="102" t="str">
        <f aca="false">IF(VLOOKUP($D341,'[2]5. Demanda'!$D$4:$J$357,7,FALSE())=0,"",VLOOKUP($D341,'[2]5. Demanda'!$D$4:$J$357,7,FALSE()))</f>
        <v/>
      </c>
      <c r="K341" s="79" t="n">
        <v>0.814920793</v>
      </c>
      <c r="L341" s="79" t="n">
        <v>0.00053529</v>
      </c>
      <c r="M341" s="79" t="n">
        <v>3.58351645</v>
      </c>
      <c r="N341" s="79" t="n">
        <v>0.798503483</v>
      </c>
      <c r="O341" s="79" t="n">
        <v>3.267068235</v>
      </c>
      <c r="P341" s="79" t="n">
        <v>0.6370775</v>
      </c>
      <c r="Q341" s="80"/>
      <c r="R341" s="80"/>
      <c r="S341" s="80"/>
      <c r="T341" s="80"/>
      <c r="U341" s="80"/>
      <c r="V341" s="80"/>
      <c r="W341" s="80"/>
      <c r="X341" s="80"/>
      <c r="Y341" s="80"/>
      <c r="Z341" s="75"/>
    </row>
    <row r="342" customFormat="false" ht="15.75" hidden="false" customHeight="false" outlineLevel="0" collapsed="false">
      <c r="C342" s="69" t="n">
        <v>337</v>
      </c>
      <c r="D342" s="78" t="s">
        <v>1737</v>
      </c>
      <c r="E342" s="63" t="s">
        <v>803</v>
      </c>
      <c r="F342" s="101" t="n">
        <f aca="false">VLOOKUP(D342,'[2]5. Demanda'!$D$4:$F$357,3,FALSE())</f>
        <v>34.5</v>
      </c>
      <c r="G342" s="63" t="str">
        <f aca="false">VLOOKUP(D342,'[2]5. Demanda'!D$4:J$357,4,FALSE())</f>
        <v>Industrial</v>
      </c>
      <c r="H342" s="63" t="str">
        <f aca="false">VLOOKUP($D342,'[2]5. Demanda'!$D$4:$J$357,5,FALSE())</f>
        <v>Piedecuesta 115 kV</v>
      </c>
      <c r="I342" s="63" t="str">
        <f aca="false">VLOOKUP($D342,'[2]5. Demanda'!$D$4:$J$357,6,FALSE())</f>
        <v>Sí</v>
      </c>
      <c r="J342" s="102" t="str">
        <f aca="false">IF(VLOOKUP($D342,'[2]5. Demanda'!$D$4:$J$357,7,FALSE())=0,"",VLOOKUP($D342,'[2]5. Demanda'!$D$4:$J$357,7,FALSE()))</f>
        <v/>
      </c>
      <c r="K342" s="79" t="n">
        <v>1.976</v>
      </c>
      <c r="L342" s="79" t="n">
        <v>1.108</v>
      </c>
      <c r="M342" s="79" t="n">
        <v>2.656</v>
      </c>
      <c r="N342" s="79" t="n">
        <v>2.064</v>
      </c>
      <c r="O342" s="79" t="n">
        <v>2.496</v>
      </c>
      <c r="P342" s="79" t="n">
        <v>1.524</v>
      </c>
      <c r="Q342" s="80"/>
      <c r="R342" s="80"/>
      <c r="S342" s="80"/>
      <c r="T342" s="80"/>
      <c r="U342" s="80"/>
      <c r="V342" s="80"/>
      <c r="W342" s="80"/>
      <c r="X342" s="80"/>
      <c r="Y342" s="80"/>
      <c r="Z342" s="75"/>
    </row>
    <row r="343" customFormat="false" ht="15.75" hidden="false" customHeight="false" outlineLevel="0" collapsed="false">
      <c r="C343" s="69" t="n">
        <v>338</v>
      </c>
      <c r="D343" s="78" t="s">
        <v>1738</v>
      </c>
      <c r="E343" s="63" t="s">
        <v>764</v>
      </c>
      <c r="F343" s="101" t="n">
        <f aca="false">VLOOKUP(D343,'[2]5. Demanda'!$D$4:$F$357,3,FALSE())</f>
        <v>34.5</v>
      </c>
      <c r="G343" s="63" t="str">
        <f aca="false">VLOOKUP(D343,'[2]5. Demanda'!D$4:J$357,4,FALSE())</f>
        <v>Industrial</v>
      </c>
      <c r="H343" s="63" t="str">
        <f aca="false">VLOOKUP($D343,'[2]5. Demanda'!$D$4:$J$357,5,FALSE())</f>
        <v>Puerto Wilches 115 kV</v>
      </c>
      <c r="I343" s="63" t="str">
        <f aca="false">VLOOKUP($D343,'[2]5. Demanda'!$D$4:$J$357,6,FALSE())</f>
        <v>Sí</v>
      </c>
      <c r="J343" s="102" t="str">
        <f aca="false">IF(VLOOKUP($D343,'[2]5. Demanda'!$D$4:$J$357,7,FALSE())=0,"",VLOOKUP($D343,'[2]5. Demanda'!$D$4:$J$357,7,FALSE()))</f>
        <v/>
      </c>
      <c r="K343" s="79" t="n">
        <v>0.65637763</v>
      </c>
      <c r="L343" s="79" t="n">
        <v>0.159598581</v>
      </c>
      <c r="M343" s="79" t="n">
        <v>1.53077278</v>
      </c>
      <c r="N343" s="79" t="n">
        <v>0.491771909</v>
      </c>
      <c r="O343" s="79" t="n">
        <v>1.535943165</v>
      </c>
      <c r="P343" s="79" t="n">
        <v>0.464950778</v>
      </c>
      <c r="Q343" s="80"/>
      <c r="R343" s="80"/>
      <c r="S343" s="80"/>
      <c r="T343" s="80"/>
      <c r="U343" s="80"/>
      <c r="V343" s="80"/>
      <c r="W343" s="80"/>
      <c r="X343" s="80"/>
      <c r="Y343" s="80"/>
      <c r="Z343" s="75"/>
    </row>
    <row r="344" customFormat="false" ht="15.75" hidden="false" customHeight="false" outlineLevel="0" collapsed="false">
      <c r="C344" s="69" t="n">
        <v>339</v>
      </c>
      <c r="D344" s="78" t="s">
        <v>1739</v>
      </c>
      <c r="E344" s="63" t="s">
        <v>681</v>
      </c>
      <c r="F344" s="101" t="n">
        <f aca="false">VLOOKUP(D344,'[2]5. Demanda'!$D$4:$F$357,3,FALSE())</f>
        <v>34.5</v>
      </c>
      <c r="G344" s="63" t="str">
        <f aca="false">VLOOKUP(D344,'[2]5. Demanda'!D$4:J$357,4,FALSE())</f>
        <v>Industrial</v>
      </c>
      <c r="H344" s="63" t="str">
        <f aca="false">VLOOKUP($D344,'[2]5. Demanda'!$D$4:$J$357,5,FALSE())</f>
        <v>Puerto Wilches 115 kV</v>
      </c>
      <c r="I344" s="63" t="str">
        <f aca="false">VLOOKUP($D344,'[2]5. Demanda'!$D$4:$J$357,6,FALSE())</f>
        <v>Sí</v>
      </c>
      <c r="J344" s="102" t="str">
        <f aca="false">IF(VLOOKUP($D344,'[2]5. Demanda'!$D$4:$J$357,7,FALSE())=0,"",VLOOKUP($D344,'[2]5. Demanda'!$D$4:$J$357,7,FALSE()))</f>
        <v/>
      </c>
      <c r="K344" s="79" t="n">
        <v>0.65637763</v>
      </c>
      <c r="L344" s="79" t="n">
        <v>0.159598581</v>
      </c>
      <c r="M344" s="79" t="n">
        <v>1.53077278</v>
      </c>
      <c r="N344" s="79" t="n">
        <v>0.491771909</v>
      </c>
      <c r="O344" s="79" t="n">
        <v>1.535943165</v>
      </c>
      <c r="P344" s="79" t="n">
        <v>0.464950778</v>
      </c>
      <c r="Q344" s="80"/>
      <c r="R344" s="80"/>
      <c r="S344" s="80"/>
      <c r="T344" s="80"/>
      <c r="U344" s="80"/>
      <c r="V344" s="80"/>
      <c r="W344" s="80"/>
      <c r="X344" s="80"/>
      <c r="Y344" s="80"/>
      <c r="Z344" s="75"/>
    </row>
    <row r="345" customFormat="false" ht="15.75" hidden="false" customHeight="false" outlineLevel="0" collapsed="false">
      <c r="C345" s="69" t="n">
        <v>340</v>
      </c>
      <c r="D345" s="78" t="s">
        <v>1740</v>
      </c>
      <c r="E345" s="63" t="s">
        <v>732</v>
      </c>
      <c r="F345" s="101" t="n">
        <f aca="false">VLOOKUP(D345,'[2]5. Demanda'!$D$4:$F$357,3,FALSE())</f>
        <v>34.5</v>
      </c>
      <c r="G345" s="63" t="str">
        <f aca="false">VLOOKUP(D345,'[2]5. Demanda'!D$4:J$357,4,FALSE())</f>
        <v>Industrial</v>
      </c>
      <c r="H345" s="63" t="str">
        <f aca="false">VLOOKUP($D345,'[2]5. Demanda'!$D$4:$J$357,5,FALSE())</f>
        <v>Barranca 115 kV</v>
      </c>
      <c r="I345" s="63" t="str">
        <f aca="false">VLOOKUP($D345,'[2]5. Demanda'!$D$4:$J$357,6,FALSE())</f>
        <v>Sí</v>
      </c>
      <c r="J345" s="102" t="str">
        <f aca="false">IF(VLOOKUP($D345,'[2]5. Demanda'!$D$4:$J$357,7,FALSE())=0,"",VLOOKUP($D345,'[2]5. Demanda'!$D$4:$J$357,7,FALSE()))</f>
        <v/>
      </c>
      <c r="K345" s="79" t="n">
        <v>0.861950918</v>
      </c>
      <c r="L345" s="79" t="n">
        <v>0.417461883</v>
      </c>
      <c r="M345" s="79" t="n">
        <v>1.035655712</v>
      </c>
      <c r="N345" s="79" t="n">
        <v>0.501590954</v>
      </c>
      <c r="O345" s="79" t="n">
        <v>1.053797152</v>
      </c>
      <c r="P345" s="79" t="n">
        <v>0.510377255</v>
      </c>
      <c r="Q345" s="80"/>
      <c r="R345" s="80"/>
      <c r="S345" s="80"/>
      <c r="T345" s="80"/>
      <c r="U345" s="80"/>
      <c r="V345" s="80"/>
      <c r="W345" s="80"/>
      <c r="X345" s="80"/>
      <c r="Y345" s="80"/>
      <c r="Z345" s="75"/>
    </row>
    <row r="346" customFormat="false" ht="15.75" hidden="false" customHeight="false" outlineLevel="0" collapsed="false">
      <c r="C346" s="69" t="n">
        <v>341</v>
      </c>
      <c r="D346" s="78" t="s">
        <v>1741</v>
      </c>
      <c r="E346" s="63" t="s">
        <v>724</v>
      </c>
      <c r="F346" s="101" t="n">
        <f aca="false">VLOOKUP(D346,'[2]5. Demanda'!$D$4:$F$357,3,FALSE())</f>
        <v>34.5</v>
      </c>
      <c r="G346" s="63" t="str">
        <f aca="false">VLOOKUP(D346,'[2]5. Demanda'!D$4:J$357,4,FALSE())</f>
        <v>Industrial</v>
      </c>
      <c r="H346" s="63" t="str">
        <f aca="false">VLOOKUP($D346,'[2]5. Demanda'!$D$4:$J$357,5,FALSE())</f>
        <v>Barranca 115 kV</v>
      </c>
      <c r="I346" s="63" t="str">
        <f aca="false">VLOOKUP($D346,'[2]5. Demanda'!$D$4:$J$357,6,FALSE())</f>
        <v>Sí</v>
      </c>
      <c r="J346" s="102" t="str">
        <f aca="false">IF(VLOOKUP($D346,'[2]5. Demanda'!$D$4:$J$357,7,FALSE())=0,"",VLOOKUP($D346,'[2]5. Demanda'!$D$4:$J$357,7,FALSE()))</f>
        <v/>
      </c>
      <c r="K346" s="79" t="n">
        <v>1.763943403</v>
      </c>
      <c r="L346" s="79" t="n">
        <v>0.854316782</v>
      </c>
      <c r="M346" s="79" t="n">
        <v>2.039923995</v>
      </c>
      <c r="N346" s="79" t="n">
        <v>0.987980283</v>
      </c>
      <c r="O346" s="79" t="n">
        <v>1.76390861</v>
      </c>
      <c r="P346" s="79" t="n">
        <v>0.854299931</v>
      </c>
      <c r="Q346" s="80"/>
      <c r="R346" s="80"/>
      <c r="S346" s="80"/>
      <c r="T346" s="80"/>
      <c r="U346" s="80"/>
      <c r="V346" s="80"/>
      <c r="W346" s="80"/>
      <c r="X346" s="80"/>
      <c r="Y346" s="80"/>
      <c r="Z346" s="75"/>
    </row>
    <row r="347" customFormat="false" ht="15.75" hidden="false" customHeight="false" outlineLevel="0" collapsed="false">
      <c r="C347" s="69" t="n">
        <v>342</v>
      </c>
      <c r="D347" s="78" t="s">
        <v>1742</v>
      </c>
      <c r="E347" s="63" t="s">
        <v>243</v>
      </c>
      <c r="F347" s="101" t="n">
        <f aca="false">VLOOKUP(D347,'[2]5. Demanda'!$D$4:$F$357,3,FALSE())</f>
        <v>34.5</v>
      </c>
      <c r="G347" s="63" t="str">
        <f aca="false">VLOOKUP(D347,'[2]5. Demanda'!D$4:J$357,4,FALSE())</f>
        <v>Industrial</v>
      </c>
      <c r="H347" s="63" t="str">
        <f aca="false">VLOOKUP($D347,'[2]5. Demanda'!$D$4:$J$357,5,FALSE())</f>
        <v>San Silvestre 115 kV
Barranca 115 kV</v>
      </c>
      <c r="I347" s="63" t="str">
        <f aca="false">VLOOKUP($D347,'[2]5. Demanda'!$D$4:$J$357,6,FALSE())</f>
        <v>Sí</v>
      </c>
      <c r="J347" s="102" t="str">
        <f aca="false">IF(VLOOKUP($D347,'[2]5. Demanda'!$D$4:$J$357,7,FALSE())=0,"",VLOOKUP($D347,'[2]5. Demanda'!$D$4:$J$357,7,FALSE()))</f>
        <v/>
      </c>
      <c r="K347" s="79" t="n">
        <v>1.09538309</v>
      </c>
      <c r="L347" s="79" t="n">
        <v>0.13019103</v>
      </c>
      <c r="M347" s="79" t="n">
        <v>1.397855388</v>
      </c>
      <c r="N347" s="79" t="n">
        <v>0.246296235</v>
      </c>
      <c r="O347" s="79" t="n">
        <v>1.41623808</v>
      </c>
      <c r="P347" s="79" t="n">
        <v>0.209708143</v>
      </c>
      <c r="Q347" s="80"/>
      <c r="R347" s="80"/>
      <c r="S347" s="80"/>
      <c r="T347" s="80"/>
      <c r="U347" s="80"/>
      <c r="V347" s="80"/>
      <c r="W347" s="80"/>
      <c r="X347" s="80"/>
      <c r="Y347" s="80"/>
      <c r="Z347" s="75"/>
    </row>
    <row r="348" customFormat="false" ht="15.75" hidden="false" customHeight="false" outlineLevel="0" collapsed="false">
      <c r="C348" s="69" t="n">
        <v>343</v>
      </c>
      <c r="D348" s="78" t="s">
        <v>1743</v>
      </c>
      <c r="E348" s="63" t="s">
        <v>1744</v>
      </c>
      <c r="F348" s="101" t="n">
        <f aca="false">VLOOKUP(D348,'[2]5. Demanda'!$D$4:$F$357,3,FALSE())</f>
        <v>34.5</v>
      </c>
      <c r="G348" s="63" t="str">
        <f aca="false">VLOOKUP(D348,'[2]5. Demanda'!D$4:J$357,4,FALSE())</f>
        <v>Industrial</v>
      </c>
      <c r="H348" s="63" t="str">
        <f aca="false">VLOOKUP($D348,'[2]5. Demanda'!$D$4:$J$357,5,FALSE())</f>
        <v>San Silvestre 115 kV
Barranca 115 kV</v>
      </c>
      <c r="I348" s="63" t="str">
        <f aca="false">VLOOKUP($D348,'[2]5. Demanda'!$D$4:$J$357,6,FALSE())</f>
        <v>Sí</v>
      </c>
      <c r="J348" s="102" t="str">
        <f aca="false">IF(VLOOKUP($D348,'[2]5. Demanda'!$D$4:$J$357,7,FALSE())=0,"",VLOOKUP($D348,'[2]5. Demanda'!$D$4:$J$357,7,FALSE()))</f>
        <v/>
      </c>
      <c r="K348" s="79" t="n">
        <v>0.35169226</v>
      </c>
      <c r="L348" s="79" t="n">
        <v>0.170332336</v>
      </c>
      <c r="M348" s="79" t="n">
        <v>0.346507188</v>
      </c>
      <c r="N348" s="79" t="n">
        <v>0.167821091</v>
      </c>
      <c r="O348" s="79" t="n">
        <v>0.342269522</v>
      </c>
      <c r="P348" s="79" t="n">
        <v>0.165768695</v>
      </c>
      <c r="Q348" s="80"/>
      <c r="R348" s="80"/>
      <c r="S348" s="80"/>
      <c r="T348" s="80"/>
      <c r="U348" s="80"/>
      <c r="V348" s="80"/>
      <c r="W348" s="80"/>
      <c r="X348" s="80"/>
      <c r="Y348" s="80"/>
      <c r="Z348" s="75"/>
    </row>
    <row r="349" customFormat="false" ht="15.75" hidden="false" customHeight="false" outlineLevel="0" collapsed="false">
      <c r="C349" s="69" t="n">
        <v>344</v>
      </c>
      <c r="D349" s="78" t="s">
        <v>1745</v>
      </c>
      <c r="E349" s="63" t="e">
        <f aca="false">#N/A</f>
        <v>#N/A</v>
      </c>
      <c r="F349" s="101" t="e">
        <f aca="false">VLOOKUP(D349,'[2]5. Demanda'!$D$4:$F$357,3,FALSE())</f>
        <v>#N/A</v>
      </c>
      <c r="G349" s="63" t="e">
        <f aca="false">VLOOKUP(D349,'[2]5. Demanda'!D$4:J$357,4,FALSE())</f>
        <v>#N/A</v>
      </c>
      <c r="H349" s="63" t="e">
        <f aca="false">VLOOKUP($D349,'[2]5. Demanda'!$D$4:$J$357,5,FALSE())</f>
        <v>#N/A</v>
      </c>
      <c r="I349" s="63" t="e">
        <f aca="false">VLOOKUP($D349,'[2]5. Demanda'!$D$4:$J$357,6,FALSE())</f>
        <v>#N/A</v>
      </c>
      <c r="J349" s="102" t="e">
        <f aca="false">IF(VLOOKUP($D349,'[2]5. Demanda'!$D$4:$J$357,7,FALSE())=0,"",VLOOKUP($D349,'[2]5. Demanda'!$D$4:$J$357,7,FALSE()))</f>
        <v>#N/A</v>
      </c>
      <c r="K349" s="79" t="n">
        <v>0.296896025</v>
      </c>
      <c r="L349" s="79" t="n">
        <v>0.031417118</v>
      </c>
      <c r="M349" s="79" t="n">
        <v>0.31579484</v>
      </c>
      <c r="N349" s="79" t="n">
        <v>0.114013301</v>
      </c>
      <c r="O349" s="79" t="n">
        <v>0.52515562</v>
      </c>
      <c r="P349" s="79" t="n">
        <v>0.171405841</v>
      </c>
      <c r="Q349" s="80"/>
      <c r="R349" s="80"/>
      <c r="S349" s="80"/>
      <c r="T349" s="80"/>
      <c r="U349" s="80"/>
      <c r="V349" s="80"/>
      <c r="W349" s="80"/>
      <c r="X349" s="80"/>
      <c r="Y349" s="80"/>
      <c r="Z349" s="75"/>
    </row>
    <row r="350" customFormat="false" ht="15.75" hidden="false" customHeight="false" outlineLevel="0" collapsed="false">
      <c r="C350" s="69" t="n">
        <v>345</v>
      </c>
      <c r="D350" s="78" t="s">
        <v>1746</v>
      </c>
      <c r="E350" s="63" t="s">
        <v>796</v>
      </c>
      <c r="F350" s="101" t="n">
        <f aca="false">VLOOKUP(D350,'[2]5. Demanda'!$D$4:$F$357,3,FALSE())</f>
        <v>34.5</v>
      </c>
      <c r="G350" s="63" t="str">
        <f aca="false">VLOOKUP(D350,'[2]5. Demanda'!D$4:J$357,4,FALSE())</f>
        <v>Industrial</v>
      </c>
      <c r="H350" s="63" t="str">
        <f aca="false">VLOOKUP($D350,'[2]5. Demanda'!$D$4:$J$357,5,FALSE())</f>
        <v>San Silvestre 115 kV</v>
      </c>
      <c r="I350" s="63" t="str">
        <f aca="false">VLOOKUP($D350,'[2]5. Demanda'!$D$4:$J$357,6,FALSE())</f>
        <v>Sí</v>
      </c>
      <c r="J350" s="102" t="str">
        <f aca="false">IF(VLOOKUP($D350,'[2]5. Demanda'!$D$4:$J$357,7,FALSE())=0,"",VLOOKUP($D350,'[2]5. Demanda'!$D$4:$J$357,7,FALSE()))</f>
        <v/>
      </c>
      <c r="K350" s="79" t="n">
        <v>1.102573735</v>
      </c>
      <c r="L350" s="79" t="n">
        <v>0.20000004</v>
      </c>
      <c r="M350" s="79" t="n">
        <v>1.89356663</v>
      </c>
      <c r="N350" s="79" t="n">
        <v>0.39999996</v>
      </c>
      <c r="O350" s="79" t="n">
        <v>1.734695535</v>
      </c>
      <c r="P350" s="79" t="n">
        <v>0.381625115</v>
      </c>
      <c r="Q350" s="80"/>
      <c r="R350" s="80"/>
      <c r="S350" s="80"/>
      <c r="T350" s="80"/>
      <c r="U350" s="80"/>
      <c r="V350" s="80"/>
      <c r="W350" s="80"/>
      <c r="X350" s="80"/>
      <c r="Y350" s="80"/>
      <c r="Z350" s="75"/>
    </row>
    <row r="351" customFormat="false" ht="15.75" hidden="false" customHeight="false" outlineLevel="0" collapsed="false">
      <c r="C351" s="69" t="n">
        <v>346</v>
      </c>
      <c r="D351" s="78" t="s">
        <v>1747</v>
      </c>
      <c r="E351" s="63" t="s">
        <v>232</v>
      </c>
      <c r="F351" s="101" t="n">
        <f aca="false">VLOOKUP(D351,'[2]5. Demanda'!$D$4:$F$357,3,FALSE())</f>
        <v>34.5</v>
      </c>
      <c r="G351" s="63" t="str">
        <f aca="false">VLOOKUP(D351,'[2]5. Demanda'!D$4:J$357,4,FALSE())</f>
        <v>Industrial</v>
      </c>
      <c r="H351" s="63" t="str">
        <f aca="false">VLOOKUP($D351,'[2]5. Demanda'!$D$4:$J$357,5,FALSE())</f>
        <v>San Silvestre 115 kV
Barranca 115 kV</v>
      </c>
      <c r="I351" s="63" t="str">
        <f aca="false">VLOOKUP($D351,'[2]5. Demanda'!$D$4:$J$357,6,FALSE())</f>
        <v>Sí</v>
      </c>
      <c r="J351" s="102" t="str">
        <f aca="false">IF(VLOOKUP($D351,'[2]5. Demanda'!$D$4:$J$357,7,FALSE())=0,"",VLOOKUP($D351,'[2]5. Demanda'!$D$4:$J$357,7,FALSE()))</f>
        <v/>
      </c>
      <c r="K351" s="79" t="n">
        <v>1.032502148</v>
      </c>
      <c r="L351" s="79" t="n">
        <v>0.355839935</v>
      </c>
      <c r="M351" s="79" t="n">
        <v>2.799291053</v>
      </c>
      <c r="N351" s="79" t="n">
        <v>1.040366128</v>
      </c>
      <c r="O351" s="79" t="n">
        <v>2.826486265</v>
      </c>
      <c r="P351" s="79" t="n">
        <v>0.908011575</v>
      </c>
      <c r="Q351" s="80"/>
      <c r="R351" s="80"/>
      <c r="S351" s="80"/>
      <c r="T351" s="80"/>
      <c r="U351" s="80"/>
      <c r="V351" s="80"/>
      <c r="W351" s="80"/>
      <c r="X351" s="80"/>
      <c r="Y351" s="80"/>
      <c r="Z351" s="75"/>
    </row>
    <row r="352" customFormat="false" ht="15.75" hidden="false" customHeight="false" outlineLevel="0" collapsed="false">
      <c r="C352" s="69" t="n">
        <v>347</v>
      </c>
      <c r="D352" s="78" t="s">
        <v>1748</v>
      </c>
      <c r="E352" s="63" t="s">
        <v>669</v>
      </c>
      <c r="F352" s="101" t="n">
        <f aca="false">VLOOKUP(D352,'[2]5. Demanda'!$D$4:$F$357,3,FALSE())</f>
        <v>34.5</v>
      </c>
      <c r="G352" s="63" t="str">
        <f aca="false">VLOOKUP(D352,'[2]5. Demanda'!D$4:J$357,4,FALSE())</f>
        <v>Industrial</v>
      </c>
      <c r="H352" s="63" t="str">
        <f aca="false">VLOOKUP($D352,'[2]5. Demanda'!$D$4:$J$357,5,FALSE())</f>
        <v>Lizama 115 kV</v>
      </c>
      <c r="I352" s="63" t="str">
        <f aca="false">VLOOKUP($D352,'[2]5. Demanda'!$D$4:$J$357,6,FALSE())</f>
        <v>Sí</v>
      </c>
      <c r="J352" s="102" t="str">
        <f aca="false">IF(VLOOKUP($D352,'[2]5. Demanda'!$D$4:$J$357,7,FALSE())=0,"",VLOOKUP($D352,'[2]5. Demanda'!$D$4:$J$357,7,FALSE()))</f>
        <v/>
      </c>
      <c r="K352" s="79" t="n">
        <v>0.06703</v>
      </c>
      <c r="L352" s="79" t="n">
        <v>0.48487</v>
      </c>
      <c r="M352" s="79" t="n">
        <v>0.08893</v>
      </c>
      <c r="N352" s="79" t="n">
        <v>0.94856</v>
      </c>
      <c r="O352" s="79" t="n">
        <v>0.15043</v>
      </c>
      <c r="P352" s="79" t="n">
        <v>0.64968</v>
      </c>
      <c r="Q352" s="80"/>
      <c r="R352" s="80"/>
      <c r="S352" s="80"/>
      <c r="T352" s="80"/>
      <c r="U352" s="80"/>
      <c r="V352" s="80"/>
      <c r="W352" s="80"/>
      <c r="X352" s="80"/>
      <c r="Y352" s="80"/>
      <c r="Z352" s="75"/>
    </row>
    <row r="353" customFormat="false" ht="15.75" hidden="false" customHeight="false" outlineLevel="0" collapsed="false">
      <c r="C353" s="69" t="n">
        <v>348</v>
      </c>
      <c r="D353" s="78" t="s">
        <v>1749</v>
      </c>
      <c r="E353" s="63" t="s">
        <v>1750</v>
      </c>
      <c r="F353" s="101" t="n">
        <f aca="false">VLOOKUP(D353,'[2]5. Demanda'!$D$4:$F$357,3,FALSE())</f>
        <v>34.5</v>
      </c>
      <c r="G353" s="63" t="str">
        <f aca="false">VLOOKUP(D353,'[2]5. Demanda'!D$4:J$357,4,FALSE())</f>
        <v>Industrial</v>
      </c>
      <c r="H353" s="63" t="str">
        <f aca="false">VLOOKUP($D353,'[2]5. Demanda'!$D$4:$J$357,5,FALSE())</f>
        <v>Lizama 115 kV</v>
      </c>
      <c r="I353" s="63" t="str">
        <f aca="false">VLOOKUP($D353,'[2]5. Demanda'!$D$4:$J$357,6,FALSE())</f>
        <v>Sí</v>
      </c>
      <c r="J353" s="102" t="str">
        <f aca="false">IF(VLOOKUP($D353,'[2]5. Demanda'!$D$4:$J$357,7,FALSE())=0,"",VLOOKUP($D353,'[2]5. Demanda'!$D$4:$J$357,7,FALSE()))</f>
        <v/>
      </c>
      <c r="K353" s="79" t="n">
        <v>0.02</v>
      </c>
      <c r="L353" s="79" t="n">
        <v>0</v>
      </c>
      <c r="M353" s="79" t="n">
        <v>0.75</v>
      </c>
      <c r="N353" s="79" t="n">
        <v>0</v>
      </c>
      <c r="O353" s="79" t="n">
        <v>0.3</v>
      </c>
      <c r="P353" s="79" t="n">
        <v>0</v>
      </c>
      <c r="Q353" s="80"/>
      <c r="R353" s="80"/>
      <c r="S353" s="80"/>
      <c r="T353" s="80"/>
      <c r="U353" s="80"/>
      <c r="V353" s="80"/>
      <c r="W353" s="80"/>
      <c r="X353" s="80"/>
      <c r="Y353" s="80"/>
      <c r="Z353" s="75"/>
    </row>
    <row r="354" customFormat="false" ht="15.75" hidden="false" customHeight="false" outlineLevel="0" collapsed="false">
      <c r="C354" s="69" t="n">
        <v>349</v>
      </c>
      <c r="D354" s="78" t="s">
        <v>1751</v>
      </c>
      <c r="E354" s="63" t="s">
        <v>708</v>
      </c>
      <c r="F354" s="101" t="n">
        <f aca="false">VLOOKUP(D354,'[2]5. Demanda'!$D$4:$F$357,3,FALSE())</f>
        <v>34.5</v>
      </c>
      <c r="G354" s="63" t="str">
        <f aca="false">VLOOKUP(D354,'[2]5. Demanda'!D$4:J$357,4,FALSE())</f>
        <v>Industrial</v>
      </c>
      <c r="H354" s="63" t="str">
        <f aca="false">VLOOKUP($D354,'[2]5. Demanda'!$D$4:$J$357,5,FALSE())</f>
        <v>Barbosa 115 kV</v>
      </c>
      <c r="I354" s="63" t="str">
        <f aca="false">VLOOKUP($D354,'[2]5. Demanda'!$D$4:$J$357,6,FALSE())</f>
        <v>Sí</v>
      </c>
      <c r="J354" s="102" t="str">
        <f aca="false">IF(VLOOKUP($D354,'[2]5. Demanda'!$D$4:$J$357,7,FALSE())=0,"",VLOOKUP($D354,'[2]5. Demanda'!$D$4:$J$357,7,FALSE()))</f>
        <v/>
      </c>
      <c r="K354" s="79" t="n">
        <v>1.109694613</v>
      </c>
      <c r="L354" s="79" t="n">
        <v>0.773890595</v>
      </c>
      <c r="M354" s="79" t="n">
        <v>1.45924074</v>
      </c>
      <c r="N354" s="79" t="n">
        <v>1.072436013</v>
      </c>
      <c r="O354" s="79" t="n">
        <v>1.845596598</v>
      </c>
      <c r="P354" s="79" t="n">
        <v>0.895643418</v>
      </c>
      <c r="Q354" s="80"/>
      <c r="R354" s="80"/>
      <c r="S354" s="80"/>
      <c r="T354" s="80"/>
      <c r="U354" s="80"/>
      <c r="V354" s="80"/>
      <c r="W354" s="80"/>
      <c r="X354" s="80"/>
      <c r="Y354" s="80"/>
      <c r="Z354" s="75"/>
    </row>
    <row r="355" customFormat="false" ht="15.75" hidden="false" customHeight="false" outlineLevel="0" collapsed="false">
      <c r="C355" s="69" t="n">
        <v>350</v>
      </c>
      <c r="D355" s="78" t="s">
        <v>1752</v>
      </c>
      <c r="E355" s="63" t="s">
        <v>671</v>
      </c>
      <c r="F355" s="101" t="n">
        <f aca="false">VLOOKUP(D355,'[2]5. Demanda'!$D$4:$F$357,3,FALSE())</f>
        <v>34.5</v>
      </c>
      <c r="G355" s="63" t="str">
        <f aca="false">VLOOKUP(D355,'[2]5. Demanda'!D$4:J$357,4,FALSE())</f>
        <v>Industrial</v>
      </c>
      <c r="H355" s="63" t="str">
        <f aca="false">VLOOKUP($D355,'[2]5. Demanda'!$D$4:$J$357,5,FALSE())</f>
        <v>Oiba 115 kV</v>
      </c>
      <c r="I355" s="63" t="str">
        <f aca="false">VLOOKUP($D355,'[2]5. Demanda'!$D$4:$J$357,6,FALSE())</f>
        <v>Sí</v>
      </c>
      <c r="J355" s="102" t="str">
        <f aca="false">IF(VLOOKUP($D355,'[2]5. Demanda'!$D$4:$J$357,7,FALSE())=0,"",VLOOKUP($D355,'[2]5. Demanda'!$D$4:$J$357,7,FALSE()))</f>
        <v/>
      </c>
      <c r="K355" s="79" t="n">
        <v>0.11</v>
      </c>
      <c r="L355" s="79" t="n">
        <v>0.24</v>
      </c>
      <c r="M355" s="79" t="n">
        <v>0.13</v>
      </c>
      <c r="N355" s="79" t="n">
        <v>0.56</v>
      </c>
      <c r="O355" s="79" t="n">
        <v>0.18</v>
      </c>
      <c r="P355" s="79" t="n">
        <v>0.33</v>
      </c>
      <c r="Q355" s="80"/>
      <c r="R355" s="80"/>
      <c r="S355" s="80"/>
      <c r="T355" s="80"/>
      <c r="U355" s="80"/>
      <c r="V355" s="80"/>
      <c r="W355" s="80"/>
      <c r="X355" s="80"/>
      <c r="Y355" s="80"/>
      <c r="Z355" s="75"/>
    </row>
    <row r="356" customFormat="false" ht="15.75" hidden="false" customHeight="false" outlineLevel="0" collapsed="false">
      <c r="C356" s="69" t="n">
        <v>351</v>
      </c>
      <c r="D356" s="78" t="s">
        <v>1753</v>
      </c>
      <c r="E356" s="63" t="s">
        <v>508</v>
      </c>
      <c r="F356" s="101" t="n">
        <f aca="false">VLOOKUP(D356,'[2]5. Demanda'!$D$4:$F$357,3,FALSE())</f>
        <v>34.5</v>
      </c>
      <c r="G356" s="63" t="str">
        <f aca="false">VLOOKUP(D356,'[2]5. Demanda'!D$4:J$357,4,FALSE())</f>
        <v>Industrial</v>
      </c>
      <c r="H356" s="63" t="str">
        <f aca="false">VLOOKUP($D356,'[2]5. Demanda'!$D$4:$J$357,5,FALSE())</f>
        <v>Barbosa 115 kV</v>
      </c>
      <c r="I356" s="63" t="str">
        <f aca="false">VLOOKUP($D356,'[2]5. Demanda'!$D$4:$J$357,6,FALSE())</f>
        <v>Sí</v>
      </c>
      <c r="J356" s="102" t="str">
        <f aca="false">IF(VLOOKUP($D356,'[2]5. Demanda'!$D$4:$J$357,7,FALSE())=0,"",VLOOKUP($D356,'[2]5. Demanda'!$D$4:$J$357,7,FALSE()))</f>
        <v/>
      </c>
      <c r="K356" s="79" t="n">
        <v>1.60000008</v>
      </c>
      <c r="L356" s="79" t="n">
        <v>0.87082718</v>
      </c>
      <c r="M356" s="79" t="n">
        <v>2.64397828</v>
      </c>
      <c r="N356" s="79" t="n">
        <v>1.41666981</v>
      </c>
      <c r="O356" s="79" t="n">
        <v>2.983501838</v>
      </c>
      <c r="P356" s="79" t="n">
        <v>1.09565525</v>
      </c>
      <c r="Q356" s="80"/>
      <c r="R356" s="80"/>
      <c r="S356" s="80"/>
      <c r="T356" s="80"/>
      <c r="U356" s="80"/>
      <c r="V356" s="80"/>
      <c r="W356" s="80"/>
      <c r="X356" s="80"/>
      <c r="Y356" s="80"/>
      <c r="Z356" s="75"/>
    </row>
    <row r="357" customFormat="false" ht="15.75" hidden="false" customHeight="false" outlineLevel="0" collapsed="false">
      <c r="C357" s="69" t="n">
        <v>352</v>
      </c>
      <c r="D357" s="78" t="s">
        <v>1754</v>
      </c>
      <c r="E357" s="63" t="s">
        <v>691</v>
      </c>
      <c r="F357" s="101" t="n">
        <f aca="false">VLOOKUP(D357,'[2]5. Demanda'!$D$4:$F$357,3,FALSE())</f>
        <v>34.5</v>
      </c>
      <c r="G357" s="63" t="str">
        <f aca="false">VLOOKUP(D357,'[2]5. Demanda'!D$4:J$357,4,FALSE())</f>
        <v>Industrial</v>
      </c>
      <c r="H357" s="63" t="str">
        <f aca="false">VLOOKUP($D357,'[2]5. Demanda'!$D$4:$J$357,5,FALSE())</f>
        <v>Cimitarra 115 kV</v>
      </c>
      <c r="I357" s="63" t="str">
        <f aca="false">VLOOKUP($D357,'[2]5. Demanda'!$D$4:$J$357,6,FALSE())</f>
        <v>Sí</v>
      </c>
      <c r="J357" s="102" t="str">
        <f aca="false">IF(VLOOKUP($D357,'[2]5. Demanda'!$D$4:$J$357,7,FALSE())=0,"",VLOOKUP($D357,'[2]5. Demanda'!$D$4:$J$357,7,FALSE()))</f>
        <v/>
      </c>
      <c r="K357" s="79" t="n">
        <v>0.1</v>
      </c>
      <c r="L357" s="79" t="n">
        <v>0.01</v>
      </c>
      <c r="M357" s="79" t="n">
        <v>0.09</v>
      </c>
      <c r="N357" s="79" t="n">
        <v>0.01</v>
      </c>
      <c r="O357" s="79" t="n">
        <v>0.15</v>
      </c>
      <c r="P357" s="79" t="n">
        <v>0.08</v>
      </c>
      <c r="Q357" s="80"/>
      <c r="R357" s="80"/>
      <c r="S357" s="80"/>
      <c r="T357" s="80"/>
      <c r="U357" s="80"/>
      <c r="V357" s="80"/>
      <c r="W357" s="80"/>
      <c r="X357" s="80"/>
      <c r="Y357" s="80"/>
      <c r="Z357" s="75"/>
    </row>
    <row r="358" customFormat="false" ht="15.75" hidden="false" customHeight="false" outlineLevel="0" collapsed="false">
      <c r="C358" s="69" t="n">
        <v>353</v>
      </c>
      <c r="D358" s="78" t="s">
        <v>1755</v>
      </c>
      <c r="E358" s="63" t="s">
        <v>960</v>
      </c>
      <c r="F358" s="101" t="n">
        <f aca="false">VLOOKUP(D358,'[2]5. Demanda'!$D$4:$F$357,3,FALSE())</f>
        <v>34.5</v>
      </c>
      <c r="G358" s="63" t="str">
        <f aca="false">VLOOKUP(D358,'[2]5. Demanda'!D$4:J$357,4,FALSE())</f>
        <v>Industrial</v>
      </c>
      <c r="H358" s="63" t="str">
        <f aca="false">VLOOKUP($D358,'[2]5. Demanda'!$D$4:$J$357,5,FALSE())</f>
        <v>San Gil 115 kV</v>
      </c>
      <c r="I358" s="63" t="str">
        <f aca="false">VLOOKUP($D358,'[2]5. Demanda'!$D$4:$J$357,6,FALSE())</f>
        <v>Sí</v>
      </c>
      <c r="J358" s="102" t="str">
        <f aca="false">IF(VLOOKUP($D358,'[2]5. Demanda'!$D$4:$J$357,7,FALSE())=0,"",VLOOKUP($D358,'[2]5. Demanda'!$D$4:$J$357,7,FALSE()))</f>
        <v/>
      </c>
      <c r="K358" s="79" t="n">
        <v>0.16</v>
      </c>
      <c r="L358" s="79" t="n">
        <v>0</v>
      </c>
      <c r="M358" s="79" t="n">
        <v>0.41</v>
      </c>
      <c r="N358" s="79" t="n">
        <v>0</v>
      </c>
      <c r="O358" s="79" t="n">
        <v>0.5</v>
      </c>
      <c r="P358" s="79" t="n">
        <v>0</v>
      </c>
      <c r="Q358" s="80"/>
      <c r="R358" s="80"/>
      <c r="S358" s="80"/>
      <c r="T358" s="80"/>
      <c r="U358" s="80"/>
      <c r="V358" s="80"/>
      <c r="W358" s="80"/>
      <c r="X358" s="80"/>
      <c r="Y358" s="80"/>
      <c r="Z358" s="75"/>
    </row>
    <row r="359" customFormat="false" ht="15.75" hidden="false" customHeight="false" outlineLevel="0" collapsed="false">
      <c r="C359" s="69" t="n">
        <v>354</v>
      </c>
      <c r="D359" s="78" t="s">
        <v>1756</v>
      </c>
      <c r="E359" s="63" t="s">
        <v>960</v>
      </c>
      <c r="F359" s="101" t="n">
        <f aca="false">VLOOKUP(D359,'[2]5. Demanda'!$D$4:$F$357,3,FALSE())</f>
        <v>34.5</v>
      </c>
      <c r="G359" s="63" t="str">
        <f aca="false">VLOOKUP(D359,'[2]5. Demanda'!D$4:J$357,4,FALSE())</f>
        <v>Industrial</v>
      </c>
      <c r="H359" s="63" t="str">
        <f aca="false">VLOOKUP($D359,'[2]5. Demanda'!$D$4:$J$357,5,FALSE())</f>
        <v>San Gil 115 kV</v>
      </c>
      <c r="I359" s="63" t="str">
        <f aca="false">VLOOKUP($D359,'[2]5. Demanda'!$D$4:$J$357,6,FALSE())</f>
        <v>Sí</v>
      </c>
      <c r="J359" s="102" t="str">
        <f aca="false">IF(VLOOKUP($D359,'[2]5. Demanda'!$D$4:$J$357,7,FALSE())=0,"",VLOOKUP($D359,'[2]5. Demanda'!$D$4:$J$357,7,FALSE()))</f>
        <v/>
      </c>
      <c r="K359" s="79" t="n">
        <v>0.16</v>
      </c>
      <c r="L359" s="79" t="n">
        <v>0</v>
      </c>
      <c r="M359" s="79" t="n">
        <v>0.41</v>
      </c>
      <c r="N359" s="79" t="n">
        <v>0</v>
      </c>
      <c r="O359" s="79" t="n">
        <v>0.5</v>
      </c>
      <c r="P359" s="79" t="n">
        <v>0.1</v>
      </c>
      <c r="Q359" s="80"/>
      <c r="R359" s="80"/>
      <c r="S359" s="80"/>
      <c r="T359" s="80"/>
      <c r="U359" s="80"/>
      <c r="V359" s="80"/>
      <c r="W359" s="80"/>
      <c r="X359" s="80"/>
      <c r="Y359" s="80"/>
      <c r="Z359" s="75"/>
    </row>
    <row r="360" customFormat="false" ht="15.75" hidden="false" customHeight="false" outlineLevel="0" collapsed="false">
      <c r="C360" s="69" t="n">
        <v>355</v>
      </c>
      <c r="D360" s="78" t="s">
        <v>1757</v>
      </c>
      <c r="E360" s="63" t="s">
        <v>732</v>
      </c>
      <c r="F360" s="101" t="n">
        <f aca="false">VLOOKUP(D360,'[2]5. Demanda'!$D$4:$F$357,3,FALSE())</f>
        <v>34.5</v>
      </c>
      <c r="G360" s="63" t="str">
        <f aca="false">VLOOKUP(D360,'[2]5. Demanda'!D$4:J$357,4,FALSE())</f>
        <v>Industrial</v>
      </c>
      <c r="H360" s="63" t="str">
        <f aca="false">VLOOKUP($D360,'[2]5. Demanda'!$D$4:$J$357,5,FALSE())</f>
        <v>Barranca 115 kV</v>
      </c>
      <c r="I360" s="63" t="str">
        <f aca="false">VLOOKUP($D360,'[2]5. Demanda'!$D$4:$J$357,6,FALSE())</f>
        <v>Sí</v>
      </c>
      <c r="J360" s="102" t="str">
        <f aca="false">IF(VLOOKUP($D360,'[2]5. Demanda'!$D$4:$J$357,7,FALSE())=0,"",VLOOKUP($D360,'[2]5. Demanda'!$D$4:$J$357,7,FALSE()))</f>
        <v/>
      </c>
      <c r="K360" s="79" t="n">
        <v>3.16032492</v>
      </c>
      <c r="L360" s="79" t="n">
        <v>0.99</v>
      </c>
      <c r="M360" s="79" t="n">
        <v>2.895841535</v>
      </c>
      <c r="N360" s="79" t="n">
        <v>0.82</v>
      </c>
      <c r="O360" s="79" t="n">
        <v>3.52203075</v>
      </c>
      <c r="P360" s="79" t="n">
        <v>0.99</v>
      </c>
      <c r="Q360" s="80"/>
      <c r="R360" s="80"/>
      <c r="S360" s="80"/>
      <c r="T360" s="80"/>
      <c r="U360" s="80"/>
      <c r="V360" s="80"/>
      <c r="W360" s="80"/>
      <c r="X360" s="80"/>
      <c r="Y360" s="80"/>
      <c r="Z360" s="75"/>
    </row>
    <row r="361" customFormat="false" ht="15.75" hidden="false" customHeight="false" outlineLevel="0" collapsed="false">
      <c r="C361" s="69" t="n">
        <v>356</v>
      </c>
      <c r="D361" s="78" t="s">
        <v>1758</v>
      </c>
      <c r="E361" s="63" t="s">
        <v>344</v>
      </c>
      <c r="F361" s="101" t="n">
        <f aca="false">VLOOKUP(D361,'[2]5. Demanda'!$D$4:$F$357,3,FALSE())</f>
        <v>34.5</v>
      </c>
      <c r="G361" s="63" t="str">
        <f aca="false">VLOOKUP(D361,'[2]5. Demanda'!D$4:J$357,4,FALSE())</f>
        <v>Industrial</v>
      </c>
      <c r="H361" s="63" t="str">
        <f aca="false">VLOOKUP($D361,'[2]5. Demanda'!$D$4:$J$357,5,FALSE())</f>
        <v>Palos 115 kV</v>
      </c>
      <c r="I361" s="63" t="str">
        <f aca="false">VLOOKUP($D361,'[2]5. Demanda'!$D$4:$J$357,6,FALSE())</f>
        <v>Sí</v>
      </c>
      <c r="J361" s="102" t="str">
        <f aca="false">IF(VLOOKUP($D361,'[2]5. Demanda'!$D$4:$J$357,7,FALSE())=0,"",VLOOKUP($D361,'[2]5. Demanda'!$D$4:$J$357,7,FALSE()))</f>
        <v/>
      </c>
      <c r="K361" s="79" t="n">
        <v>0.4556</v>
      </c>
      <c r="L361" s="79" t="n">
        <v>0.220650806</v>
      </c>
      <c r="M361" s="79" t="n">
        <v>0.6604</v>
      </c>
      <c r="N361" s="79" t="n">
        <v>0.319860008</v>
      </c>
      <c r="O361" s="79" t="n">
        <v>0.7464</v>
      </c>
      <c r="P361" s="79" t="n">
        <v>0.361499359</v>
      </c>
      <c r="Q361" s="80"/>
      <c r="R361" s="80"/>
      <c r="S361" s="80"/>
      <c r="T361" s="80"/>
      <c r="U361" s="80"/>
      <c r="V361" s="80"/>
      <c r="W361" s="80"/>
      <c r="X361" s="80"/>
      <c r="Y361" s="80"/>
      <c r="Z361" s="75"/>
    </row>
    <row r="362" customFormat="false" ht="15.75" hidden="false" customHeight="false" outlineLevel="0" collapsed="false">
      <c r="C362" s="69" t="n">
        <v>357</v>
      </c>
      <c r="D362" s="78" t="s">
        <v>1759</v>
      </c>
      <c r="E362" s="63" t="s">
        <v>313</v>
      </c>
      <c r="F362" s="101" t="n">
        <f aca="false">VLOOKUP(D362,'[2]5. Demanda'!$D$4:$F$357,3,FALSE())</f>
        <v>34.5</v>
      </c>
      <c r="G362" s="63" t="str">
        <f aca="false">VLOOKUP(D362,'[2]5. Demanda'!D$4:J$357,4,FALSE())</f>
        <v>Industrial</v>
      </c>
      <c r="H362" s="63" t="str">
        <f aca="false">VLOOKUP($D362,'[2]5. Demanda'!$D$4:$J$357,5,FALSE())</f>
        <v>Condor 115 kV</v>
      </c>
      <c r="I362" s="63" t="str">
        <f aca="false">VLOOKUP($D362,'[2]5. Demanda'!$D$4:$J$357,6,FALSE())</f>
        <v>Sí</v>
      </c>
      <c r="J362" s="102" t="str">
        <f aca="false">IF(VLOOKUP($D362,'[2]5. Demanda'!$D$4:$J$357,7,FALSE())=0,"",VLOOKUP($D362,'[2]5. Demanda'!$D$4:$J$357,7,FALSE()))</f>
        <v/>
      </c>
      <c r="K362" s="79" t="n">
        <v>0.979110955</v>
      </c>
      <c r="L362" s="79" t="n">
        <v>0.753384123</v>
      </c>
      <c r="M362" s="79" t="n">
        <v>1.18804272</v>
      </c>
      <c r="N362" s="79" t="n">
        <v>0.87798615</v>
      </c>
      <c r="O362" s="79" t="n">
        <v>1.09172537</v>
      </c>
      <c r="P362" s="79" t="n">
        <v>0.761930825</v>
      </c>
      <c r="Q362" s="80"/>
      <c r="R362" s="80"/>
      <c r="S362" s="80"/>
      <c r="T362" s="80"/>
      <c r="U362" s="80"/>
      <c r="V362" s="80"/>
      <c r="W362" s="80"/>
      <c r="X362" s="80"/>
      <c r="Y362" s="80"/>
      <c r="Z362" s="75"/>
    </row>
    <row r="363" customFormat="false" ht="15.75" hidden="false" customHeight="false" outlineLevel="0" collapsed="false">
      <c r="C363" s="69" t="n">
        <v>358</v>
      </c>
      <c r="D363" s="78" t="s">
        <v>1760</v>
      </c>
      <c r="E363" s="63" t="s">
        <v>753</v>
      </c>
      <c r="F363" s="101" t="n">
        <f aca="false">VLOOKUP(D363,'[2]5. Demanda'!$D$4:$F$357,3,FALSE())</f>
        <v>34.5</v>
      </c>
      <c r="G363" s="63" t="str">
        <f aca="false">VLOOKUP(D363,'[2]5. Demanda'!D$4:J$357,4,FALSE())</f>
        <v>Industrial</v>
      </c>
      <c r="H363" s="63" t="str">
        <f aca="false">VLOOKUP($D363,'[2]5. Demanda'!$D$4:$J$357,5,FALSE())</f>
        <v>Isla VI 115 kV</v>
      </c>
      <c r="I363" s="63" t="str">
        <f aca="false">VLOOKUP($D363,'[2]5. Demanda'!$D$4:$J$357,6,FALSE())</f>
        <v>Sí</v>
      </c>
      <c r="J363" s="102" t="str">
        <f aca="false">IF(VLOOKUP($D363,'[2]5. Demanda'!$D$4:$J$357,7,FALSE())=0,"",VLOOKUP($D363,'[2]5. Demanda'!$D$4:$J$357,7,FALSE()))</f>
        <v/>
      </c>
      <c r="K363" s="79" t="n">
        <v>3.631074453</v>
      </c>
      <c r="L363" s="79" t="n">
        <v>1.655877088</v>
      </c>
      <c r="M363" s="79" t="n">
        <v>4.02391414</v>
      </c>
      <c r="N363" s="79" t="n">
        <v>1.78891418</v>
      </c>
      <c r="O363" s="79" t="n">
        <v>4.58591042</v>
      </c>
      <c r="P363" s="79" t="n">
        <v>1.845197398</v>
      </c>
      <c r="Q363" s="80"/>
      <c r="R363" s="80"/>
      <c r="S363" s="80"/>
      <c r="T363" s="80"/>
      <c r="U363" s="80"/>
      <c r="V363" s="80"/>
      <c r="W363" s="80"/>
      <c r="X363" s="80"/>
      <c r="Y363" s="80"/>
      <c r="Z363" s="75"/>
    </row>
    <row r="364" customFormat="false" ht="15.75" hidden="false" customHeight="false" outlineLevel="0" collapsed="false">
      <c r="C364" s="69" t="n">
        <v>359</v>
      </c>
      <c r="D364" s="78" t="s">
        <v>1761</v>
      </c>
      <c r="E364" s="63" t="s">
        <v>648</v>
      </c>
      <c r="F364" s="101" t="n">
        <f aca="false">VLOOKUP(D364,'[2]5. Demanda'!$D$4:$F$357,3,FALSE())</f>
        <v>34.5</v>
      </c>
      <c r="G364" s="63" t="str">
        <f aca="false">VLOOKUP(D364,'[2]5. Demanda'!D$4:J$357,4,FALSE())</f>
        <v>Industrial</v>
      </c>
      <c r="H364" s="63" t="str">
        <f aca="false">VLOOKUP($D364,'[2]5. Demanda'!$D$4:$J$357,5,FALSE())</f>
        <v>Piedecuesta 115 kV</v>
      </c>
      <c r="I364" s="63" t="str">
        <f aca="false">VLOOKUP($D364,'[2]5. Demanda'!$D$4:$J$357,6,FALSE())</f>
        <v>Sí</v>
      </c>
      <c r="J364" s="102" t="str">
        <f aca="false">IF(VLOOKUP($D364,'[2]5. Demanda'!$D$4:$J$357,7,FALSE())=0,"",VLOOKUP($D364,'[2]5. Demanda'!$D$4:$J$357,7,FALSE()))</f>
        <v/>
      </c>
      <c r="K364" s="79" t="n">
        <v>0.23</v>
      </c>
      <c r="L364" s="79" t="n">
        <v>0.09</v>
      </c>
      <c r="M364" s="79" t="n">
        <v>0.55</v>
      </c>
      <c r="N364" s="79" t="n">
        <v>0.21</v>
      </c>
      <c r="O364" s="79" t="n">
        <v>0.27</v>
      </c>
      <c r="P364" s="79" t="n">
        <v>0.01</v>
      </c>
      <c r="Q364" s="80"/>
      <c r="R364" s="80"/>
      <c r="S364" s="80"/>
      <c r="T364" s="80"/>
      <c r="U364" s="80"/>
      <c r="V364" s="80"/>
      <c r="W364" s="80"/>
      <c r="X364" s="80"/>
      <c r="Y364" s="80"/>
      <c r="Z364" s="75"/>
    </row>
    <row r="365" customFormat="false" ht="15.75" hidden="false" customHeight="false" outlineLevel="0" collapsed="false">
      <c r="C365" s="69" t="n">
        <v>360</v>
      </c>
      <c r="D365" s="78" t="s">
        <v>1762</v>
      </c>
      <c r="E365" s="63" t="s">
        <v>700</v>
      </c>
      <c r="F365" s="101" t="n">
        <f aca="false">VLOOKUP(D365,'[2]5. Demanda'!$D$4:$F$357,3,FALSE())</f>
        <v>34.5</v>
      </c>
      <c r="G365" s="63" t="str">
        <f aca="false">VLOOKUP(D365,'[2]5. Demanda'!D$4:J$357,4,FALSE())</f>
        <v>Industrial</v>
      </c>
      <c r="H365" s="63" t="str">
        <f aca="false">VLOOKUP($D365,'[2]5. Demanda'!$D$4:$J$357,5,FALSE())</f>
        <v>Puerto Wilches 115 kV</v>
      </c>
      <c r="I365" s="63" t="str">
        <f aca="false">VLOOKUP($D365,'[2]5. Demanda'!$D$4:$J$357,6,FALSE())</f>
        <v>Sí</v>
      </c>
      <c r="J365" s="102" t="str">
        <f aca="false">IF(VLOOKUP($D365,'[2]5. Demanda'!$D$4:$J$357,7,FALSE())=0,"",VLOOKUP($D365,'[2]5. Demanda'!$D$4:$J$357,7,FALSE()))</f>
        <v/>
      </c>
      <c r="K365" s="79" t="n">
        <v>5.71</v>
      </c>
      <c r="L365" s="79" t="n">
        <v>2.59</v>
      </c>
      <c r="M365" s="79" t="n">
        <v>6.45</v>
      </c>
      <c r="N365" s="79" t="n">
        <v>3.27</v>
      </c>
      <c r="O365" s="79" t="n">
        <v>7.16</v>
      </c>
      <c r="P365" s="79" t="n">
        <v>3.05</v>
      </c>
      <c r="Q365" s="80"/>
      <c r="R365" s="80"/>
      <c r="S365" s="80"/>
      <c r="T365" s="80"/>
      <c r="U365" s="80"/>
      <c r="V365" s="80"/>
      <c r="W365" s="80"/>
      <c r="X365" s="80"/>
      <c r="Y365" s="80"/>
      <c r="Z365" s="75"/>
    </row>
    <row r="366" customFormat="false" ht="15.75" hidden="false" customHeight="false" outlineLevel="0" collapsed="false">
      <c r="C366" s="69" t="n">
        <v>361</v>
      </c>
      <c r="D366" s="78" t="s">
        <v>1763</v>
      </c>
      <c r="E366" s="63" t="s">
        <v>1764</v>
      </c>
      <c r="F366" s="101" t="n">
        <f aca="false">VLOOKUP(D366,'[2]5. Demanda'!$D$4:$F$357,3,FALSE())</f>
        <v>34.5</v>
      </c>
      <c r="G366" s="63" t="str">
        <f aca="false">VLOOKUP(D366,'[2]5. Demanda'!D$4:J$357,4,FALSE())</f>
        <v>Industrial</v>
      </c>
      <c r="H366" s="63" t="str">
        <f aca="false">VLOOKUP($D366,'[2]5. Demanda'!$D$4:$J$357,5,FALSE())</f>
        <v>Barranca 115 kV</v>
      </c>
      <c r="I366" s="63" t="str">
        <f aca="false">VLOOKUP($D366,'[2]5. Demanda'!$D$4:$J$357,6,FALSE())</f>
        <v>Sí</v>
      </c>
      <c r="J366" s="102" t="str">
        <f aca="false">IF(VLOOKUP($D366,'[2]5. Demanda'!$D$4:$J$357,7,FALSE())=0,"",VLOOKUP($D366,'[2]5. Demanda'!$D$4:$J$357,7,FALSE()))</f>
        <v/>
      </c>
      <c r="K366" s="79" t="n">
        <v>4.955660163</v>
      </c>
      <c r="L366" s="79" t="n">
        <v>0.41789454</v>
      </c>
      <c r="M366" s="79" t="n">
        <v>4.93355245</v>
      </c>
      <c r="N366" s="79" t="n">
        <v>0.44790561</v>
      </c>
      <c r="O366" s="79" t="n">
        <v>4.924631925</v>
      </c>
      <c r="P366" s="79" t="n">
        <v>0.433444428</v>
      </c>
      <c r="Q366" s="80"/>
      <c r="R366" s="80"/>
      <c r="S366" s="80"/>
      <c r="T366" s="80"/>
      <c r="U366" s="80"/>
      <c r="V366" s="80"/>
      <c r="W366" s="80"/>
      <c r="X366" s="80"/>
      <c r="Y366" s="80"/>
      <c r="Z366" s="75"/>
    </row>
    <row r="367" customFormat="false" ht="15.75" hidden="false" customHeight="false" outlineLevel="0" collapsed="false">
      <c r="C367" s="69" t="n">
        <v>362</v>
      </c>
      <c r="D367" s="78" t="s">
        <v>1765</v>
      </c>
      <c r="E367" s="63" t="e">
        <f aca="false">#N/A</f>
        <v>#N/A</v>
      </c>
      <c r="F367" s="101" t="e">
        <f aca="false">VLOOKUP(D367,'[2]5. Demanda'!$D$4:$F$357,3,FALSE())</f>
        <v>#N/A</v>
      </c>
      <c r="G367" s="63" t="e">
        <f aca="false">VLOOKUP(D367,'[2]5. Demanda'!D$4:J$357,4,FALSE())</f>
        <v>#N/A</v>
      </c>
      <c r="H367" s="63" t="e">
        <f aca="false">VLOOKUP($D367,'[2]5. Demanda'!$D$4:$J$357,5,FALSE())</f>
        <v>#N/A</v>
      </c>
      <c r="I367" s="63" t="e">
        <f aca="false">VLOOKUP($D367,'[2]5. Demanda'!$D$4:$J$357,6,FALSE())</f>
        <v>#N/A</v>
      </c>
      <c r="J367" s="102" t="e">
        <f aca="false">IF(VLOOKUP($D367,'[2]5. Demanda'!$D$4:$J$357,7,FALSE())=0,"",VLOOKUP($D367,'[2]5. Demanda'!$D$4:$J$357,7,FALSE()))</f>
        <v>#N/A</v>
      </c>
      <c r="K367" s="79" t="n">
        <v>0</v>
      </c>
      <c r="L367" s="79" t="n">
        <v>0</v>
      </c>
      <c r="M367" s="79" t="n">
        <v>0</v>
      </c>
      <c r="N367" s="79" t="n">
        <v>0</v>
      </c>
      <c r="O367" s="79" t="n">
        <v>0</v>
      </c>
      <c r="P367" s="79" t="n">
        <v>0</v>
      </c>
      <c r="Q367" s="80"/>
      <c r="R367" s="80"/>
      <c r="S367" s="80"/>
      <c r="T367" s="80"/>
      <c r="U367" s="80"/>
      <c r="V367" s="80"/>
      <c r="W367" s="80"/>
      <c r="X367" s="80"/>
      <c r="Y367" s="80"/>
      <c r="Z367" s="75"/>
    </row>
    <row r="368" customFormat="false" ht="15.75" hidden="false" customHeight="false" outlineLevel="0" collapsed="false">
      <c r="C368" s="69" t="n">
        <v>363</v>
      </c>
      <c r="D368" s="78" t="s">
        <v>1766</v>
      </c>
      <c r="E368" s="63" t="e">
        <f aca="false">#N/A</f>
        <v>#N/A</v>
      </c>
      <c r="F368" s="101" t="e">
        <f aca="false">VLOOKUP(D368,'[2]5. Demanda'!$D$4:$F$357,3,FALSE())</f>
        <v>#N/A</v>
      </c>
      <c r="G368" s="63" t="e">
        <f aca="false">VLOOKUP(D368,'[2]5. Demanda'!D$4:J$357,4,FALSE())</f>
        <v>#N/A</v>
      </c>
      <c r="H368" s="63" t="e">
        <f aca="false">VLOOKUP($D368,'[2]5. Demanda'!$D$4:$J$357,5,FALSE())</f>
        <v>#N/A</v>
      </c>
      <c r="I368" s="63" t="e">
        <f aca="false">VLOOKUP($D368,'[2]5. Demanda'!$D$4:$J$357,6,FALSE())</f>
        <v>#N/A</v>
      </c>
      <c r="J368" s="102" t="e">
        <f aca="false">IF(VLOOKUP($D368,'[2]5. Demanda'!$D$4:$J$357,7,FALSE())=0,"",VLOOKUP($D368,'[2]5. Demanda'!$D$4:$J$357,7,FALSE()))</f>
        <v>#N/A</v>
      </c>
      <c r="K368" s="79" t="n">
        <v>0</v>
      </c>
      <c r="L368" s="79" t="n">
        <v>0</v>
      </c>
      <c r="M368" s="79" t="n">
        <v>0</v>
      </c>
      <c r="N368" s="79" t="n">
        <v>0</v>
      </c>
      <c r="O368" s="79" t="n">
        <v>0</v>
      </c>
      <c r="P368" s="79" t="n">
        <v>0</v>
      </c>
      <c r="Q368" s="80"/>
      <c r="R368" s="80"/>
      <c r="S368" s="80"/>
      <c r="T368" s="80"/>
      <c r="U368" s="80"/>
      <c r="V368" s="80"/>
      <c r="W368" s="80"/>
      <c r="X368" s="80"/>
      <c r="Y368" s="80"/>
      <c r="Z368" s="75"/>
    </row>
    <row r="369" customFormat="false" ht="15.75" hidden="false" customHeight="false" outlineLevel="0" collapsed="false">
      <c r="C369" s="69" t="n">
        <v>364</v>
      </c>
      <c r="D369" s="78" t="s">
        <v>1767</v>
      </c>
      <c r="E369" s="63" t="e">
        <f aca="false">#N/A</f>
        <v>#N/A</v>
      </c>
      <c r="F369" s="101" t="e">
        <f aca="false">VLOOKUP(D369,'[2]5. Demanda'!$D$4:$F$357,3,FALSE())</f>
        <v>#N/A</v>
      </c>
      <c r="G369" s="63" t="e">
        <f aca="false">VLOOKUP(D369,'[2]5. Demanda'!D$4:J$357,4,FALSE())</f>
        <v>#N/A</v>
      </c>
      <c r="H369" s="63" t="e">
        <f aca="false">VLOOKUP($D369,'[2]5. Demanda'!$D$4:$J$357,5,FALSE())</f>
        <v>#N/A</v>
      </c>
      <c r="I369" s="63" t="e">
        <f aca="false">VLOOKUP($D369,'[2]5. Demanda'!$D$4:$J$357,6,FALSE())</f>
        <v>#N/A</v>
      </c>
      <c r="J369" s="102" t="e">
        <f aca="false">IF(VLOOKUP($D369,'[2]5. Demanda'!$D$4:$J$357,7,FALSE())=0,"",VLOOKUP($D369,'[2]5. Demanda'!$D$4:$J$357,7,FALSE()))</f>
        <v>#N/A</v>
      </c>
      <c r="K369" s="79" t="n">
        <v>0</v>
      </c>
      <c r="L369" s="79" t="n">
        <v>0</v>
      </c>
      <c r="M369" s="79" t="n">
        <v>0</v>
      </c>
      <c r="N369" s="79" t="n">
        <v>0</v>
      </c>
      <c r="O369" s="79" t="n">
        <v>0</v>
      </c>
      <c r="P369" s="79" t="n">
        <v>0</v>
      </c>
      <c r="Q369" s="80"/>
      <c r="R369" s="80"/>
      <c r="S369" s="80"/>
      <c r="T369" s="80"/>
      <c r="U369" s="80"/>
      <c r="V369" s="80"/>
      <c r="W369" s="80"/>
      <c r="X369" s="80"/>
      <c r="Y369" s="80"/>
      <c r="Z369" s="75"/>
    </row>
    <row r="370" customFormat="false" ht="15.75" hidden="false" customHeight="false" outlineLevel="0" collapsed="false">
      <c r="C370" s="69" t="n">
        <v>365</v>
      </c>
      <c r="D370" s="78" t="s">
        <v>1768</v>
      </c>
      <c r="E370" s="63" t="s">
        <v>1769</v>
      </c>
      <c r="F370" s="101" t="n">
        <f aca="false">VLOOKUP(D370,'[2]5. Demanda'!$D$4:$F$357,3,FALSE())</f>
        <v>115</v>
      </c>
      <c r="G370" s="63" t="str">
        <f aca="false">VLOOKUP(D370,'[2]5. Demanda'!D$4:J$357,4,FALSE())</f>
        <v>Industrial</v>
      </c>
      <c r="H370" s="63" t="str">
        <f aca="false">VLOOKUP($D370,'[2]5. Demanda'!$D$4:$J$357,5,FALSE())</f>
        <v>Principal 115 kV</v>
      </c>
      <c r="I370" s="63" t="str">
        <f aca="false">VLOOKUP($D370,'[2]5. Demanda'!$D$4:$J$357,6,FALSE())</f>
        <v>Sí</v>
      </c>
      <c r="J370" s="102" t="str">
        <f aca="false">IF(VLOOKUP($D370,'[2]5. Demanda'!$D$4:$J$357,7,FALSE())=0,"",VLOOKUP($D370,'[2]5. Demanda'!$D$4:$J$357,7,FALSE()))</f>
        <v/>
      </c>
      <c r="K370" s="79" t="n">
        <v>3.438</v>
      </c>
      <c r="L370" s="79" t="n">
        <v>2.054</v>
      </c>
      <c r="M370" s="79" t="n">
        <v>3.419</v>
      </c>
      <c r="N370" s="79" t="n">
        <v>1.848</v>
      </c>
      <c r="O370" s="79" t="n">
        <v>6.439</v>
      </c>
      <c r="P370" s="79" t="n">
        <v>3.45</v>
      </c>
      <c r="Q370" s="80"/>
      <c r="R370" s="80"/>
      <c r="S370" s="80"/>
      <c r="T370" s="80"/>
      <c r="U370" s="80"/>
      <c r="V370" s="80"/>
      <c r="W370" s="80"/>
      <c r="X370" s="80"/>
      <c r="Y370" s="80"/>
      <c r="Z370" s="75"/>
    </row>
    <row r="371" customFormat="false" ht="15.75" hidden="false" customHeight="false" outlineLevel="0" collapsed="false">
      <c r="C371" s="69" t="n">
        <v>366</v>
      </c>
      <c r="D371" s="78" t="s">
        <v>1770</v>
      </c>
      <c r="E371" s="63" t="s">
        <v>1771</v>
      </c>
      <c r="F371" s="101" t="n">
        <f aca="false">VLOOKUP(D371,'[2]5. Demanda'!$D$4:$F$357,3,FALSE())</f>
        <v>115</v>
      </c>
      <c r="G371" s="63" t="str">
        <f aca="false">VLOOKUP(D371,'[2]5. Demanda'!D$4:J$357,4,FALSE())</f>
        <v>Industrial</v>
      </c>
      <c r="H371" s="63" t="str">
        <f aca="false">VLOOKUP($D371,'[2]5. Demanda'!$D$4:$J$357,5,FALSE())</f>
        <v>Cimitarra 115 kV</v>
      </c>
      <c r="I371" s="63" t="str">
        <f aca="false">VLOOKUP($D371,'[2]5. Demanda'!$D$4:$J$357,6,FALSE())</f>
        <v>Sí</v>
      </c>
      <c r="J371" s="102" t="str">
        <f aca="false">IF(VLOOKUP($D371,'[2]5. Demanda'!$D$4:$J$357,7,FALSE())=0,"",VLOOKUP($D371,'[2]5. Demanda'!$D$4:$J$357,7,FALSE()))</f>
        <v/>
      </c>
      <c r="K371" s="79" t="n">
        <v>2.036803</v>
      </c>
      <c r="L371" s="79" t="n">
        <v>-3.161848</v>
      </c>
      <c r="M371" s="79" t="n">
        <v>1.872854</v>
      </c>
      <c r="N371" s="79" t="n">
        <v>-2.85211</v>
      </c>
      <c r="O371" s="79" t="n">
        <v>1.662616</v>
      </c>
      <c r="P371" s="79" t="n">
        <v>-2.918181</v>
      </c>
      <c r="Q371" s="80"/>
      <c r="R371" s="80"/>
      <c r="S371" s="80"/>
      <c r="T371" s="80"/>
      <c r="U371" s="80"/>
      <c r="V371" s="80"/>
      <c r="W371" s="80"/>
      <c r="X371" s="80"/>
      <c r="Y371" s="80"/>
      <c r="Z371" s="75"/>
    </row>
    <row r="372" customFormat="false" ht="15.75" hidden="false" customHeight="false" outlineLevel="0" collapsed="false">
      <c r="C372" s="69" t="n">
        <v>367</v>
      </c>
      <c r="D372" s="78"/>
      <c r="E372" s="63" t="e">
        <f aca="false">#N/A</f>
        <v>#N/A</v>
      </c>
      <c r="F372" s="101" t="e">
        <f aca="false">VLOOKUP(D372,'[2]5. Demanda'!$D$4:$F$357,3,FALSE())</f>
        <v>#N/A</v>
      </c>
      <c r="G372" s="63" t="e">
        <f aca="false">VLOOKUP(D372,'[2]5. Demanda'!D$4:J$357,4,FALSE())</f>
        <v>#N/A</v>
      </c>
      <c r="H372" s="63" t="e">
        <f aca="false">VLOOKUP($D372,'[2]5. Demanda'!$D$4:$J$357,5,FALSE())</f>
        <v>#N/A</v>
      </c>
      <c r="I372" s="63" t="e">
        <f aca="false">VLOOKUP($D372,'[2]5. Demanda'!$D$4:$J$357,6,FALSE())</f>
        <v>#N/A</v>
      </c>
      <c r="J372" s="102" t="e">
        <f aca="false">IF(VLOOKUP($D372,'[2]5. Demanda'!$D$4:$J$357,7,FALSE())=0,"",VLOOKUP($D372,'[2]5. Demanda'!$D$4:$J$357,7,FALSE()))</f>
        <v>#N/A</v>
      </c>
      <c r="K372" s="79"/>
      <c r="L372" s="79"/>
      <c r="M372" s="79"/>
      <c r="N372" s="79"/>
      <c r="O372" s="79"/>
      <c r="P372" s="79"/>
      <c r="Q372" s="80"/>
      <c r="R372" s="80"/>
      <c r="S372" s="80"/>
      <c r="T372" s="80"/>
      <c r="U372" s="80"/>
      <c r="V372" s="80"/>
      <c r="W372" s="80"/>
      <c r="X372" s="80"/>
      <c r="Y372" s="80"/>
      <c r="Z372" s="75"/>
    </row>
    <row r="373" customFormat="false" ht="15.75" hidden="false" customHeight="false" outlineLevel="0" collapsed="false">
      <c r="C373" s="69" t="n">
        <v>368</v>
      </c>
      <c r="D373" s="78"/>
      <c r="E373" s="63" t="e">
        <f aca="false">#N/A</f>
        <v>#N/A</v>
      </c>
      <c r="F373" s="101" t="e">
        <f aca="false">VLOOKUP(D373,'[2]5. Demanda'!$D$4:$F$357,3,FALSE())</f>
        <v>#N/A</v>
      </c>
      <c r="G373" s="63" t="e">
        <f aca="false">VLOOKUP(D373,'[2]5. Demanda'!D$4:J$357,4,FALSE())</f>
        <v>#N/A</v>
      </c>
      <c r="H373" s="63" t="e">
        <f aca="false">VLOOKUP($D373,'[2]5. Demanda'!$D$4:$J$357,5,FALSE())</f>
        <v>#N/A</v>
      </c>
      <c r="I373" s="63" t="e">
        <f aca="false">VLOOKUP($D373,'[2]5. Demanda'!$D$4:$J$357,6,FALSE())</f>
        <v>#N/A</v>
      </c>
      <c r="J373" s="102" t="e">
        <f aca="false">IF(VLOOKUP($D373,'[2]5. Demanda'!$D$4:$J$357,7,FALSE())=0,"",VLOOKUP($D373,'[2]5. Demanda'!$D$4:$J$357,7,FALSE()))</f>
        <v>#N/A</v>
      </c>
      <c r="K373" s="79"/>
      <c r="L373" s="79"/>
      <c r="M373" s="79"/>
      <c r="N373" s="79"/>
      <c r="O373" s="79"/>
      <c r="P373" s="79"/>
      <c r="Q373" s="80"/>
      <c r="R373" s="80"/>
      <c r="S373" s="80"/>
      <c r="T373" s="80"/>
      <c r="U373" s="80"/>
      <c r="V373" s="80"/>
      <c r="W373" s="80"/>
      <c r="X373" s="80"/>
      <c r="Y373" s="80"/>
      <c r="Z373" s="75"/>
    </row>
    <row r="374" customFormat="false" ht="15.75" hidden="false" customHeight="false" outlineLevel="0" collapsed="false">
      <c r="C374" s="69" t="n">
        <v>369</v>
      </c>
      <c r="D374" s="78"/>
      <c r="E374" s="63" t="e">
        <f aca="false">#N/A</f>
        <v>#N/A</v>
      </c>
      <c r="F374" s="101" t="e">
        <f aca="false">VLOOKUP(D374,'[2]5. Demanda'!$D$4:$F$357,3,FALSE())</f>
        <v>#N/A</v>
      </c>
      <c r="G374" s="63" t="e">
        <f aca="false">VLOOKUP(D374,'[2]5. Demanda'!D$4:J$357,4,FALSE())</f>
        <v>#N/A</v>
      </c>
      <c r="H374" s="63" t="e">
        <f aca="false">VLOOKUP($D374,'[2]5. Demanda'!$D$4:$J$357,5,FALSE())</f>
        <v>#N/A</v>
      </c>
      <c r="I374" s="63" t="e">
        <f aca="false">VLOOKUP($D374,'[2]5. Demanda'!$D$4:$J$357,6,FALSE())</f>
        <v>#N/A</v>
      </c>
      <c r="J374" s="102" t="e">
        <f aca="false">IF(VLOOKUP($D374,'[2]5. Demanda'!$D$4:$J$357,7,FALSE())=0,"",VLOOKUP($D374,'[2]5. Demanda'!$D$4:$J$357,7,FALSE()))</f>
        <v>#N/A</v>
      </c>
      <c r="K374" s="79"/>
      <c r="L374" s="79"/>
      <c r="M374" s="79"/>
      <c r="N374" s="79"/>
      <c r="O374" s="79"/>
      <c r="P374" s="79"/>
      <c r="Q374" s="80"/>
      <c r="R374" s="80"/>
      <c r="S374" s="80"/>
      <c r="T374" s="80"/>
      <c r="U374" s="80"/>
      <c r="V374" s="80"/>
      <c r="W374" s="80"/>
      <c r="X374" s="80"/>
      <c r="Y374" s="80"/>
      <c r="Z374" s="75"/>
    </row>
    <row r="375" customFormat="false" ht="15.75" hidden="false" customHeight="false" outlineLevel="0" collapsed="false">
      <c r="C375" s="69" t="n">
        <v>370</v>
      </c>
      <c r="D375" s="78"/>
      <c r="E375" s="63" t="e">
        <f aca="false">#N/A</f>
        <v>#N/A</v>
      </c>
      <c r="F375" s="101" t="e">
        <f aca="false">VLOOKUP(D375,'[2]5. Demanda'!$D$4:$F$357,3,FALSE())</f>
        <v>#N/A</v>
      </c>
      <c r="G375" s="63" t="e">
        <f aca="false">VLOOKUP(D375,'[2]5. Demanda'!D$4:J$357,4,FALSE())</f>
        <v>#N/A</v>
      </c>
      <c r="H375" s="63" t="e">
        <f aca="false">VLOOKUP($D375,'[2]5. Demanda'!$D$4:$J$357,5,FALSE())</f>
        <v>#N/A</v>
      </c>
      <c r="I375" s="63" t="e">
        <f aca="false">VLOOKUP($D375,'[2]5. Demanda'!$D$4:$J$357,6,FALSE())</f>
        <v>#N/A</v>
      </c>
      <c r="J375" s="102" t="e">
        <f aca="false">IF(VLOOKUP($D375,'[2]5. Demanda'!$D$4:$J$357,7,FALSE())=0,"",VLOOKUP($D375,'[2]5. Demanda'!$D$4:$J$357,7,FALSE()))</f>
        <v>#N/A</v>
      </c>
      <c r="K375" s="79"/>
      <c r="L375" s="79"/>
      <c r="M375" s="79"/>
      <c r="N375" s="79"/>
      <c r="O375" s="79"/>
      <c r="P375" s="79"/>
      <c r="Q375" s="80"/>
      <c r="R375" s="80"/>
      <c r="S375" s="80"/>
      <c r="T375" s="80"/>
      <c r="U375" s="80"/>
      <c r="V375" s="80"/>
      <c r="W375" s="80"/>
      <c r="X375" s="80"/>
      <c r="Y375" s="80"/>
      <c r="Z375" s="75"/>
    </row>
    <row r="376" customFormat="false" ht="15.75" hidden="false" customHeight="false" outlineLevel="0" collapsed="false">
      <c r="C376" s="69" t="n">
        <v>371</v>
      </c>
      <c r="D376" s="78"/>
      <c r="E376" s="63" t="e">
        <f aca="false">#N/A</f>
        <v>#N/A</v>
      </c>
      <c r="F376" s="101" t="e">
        <f aca="false">VLOOKUP(D376,'[2]5. Demanda'!$D$4:$F$357,3,FALSE())</f>
        <v>#N/A</v>
      </c>
      <c r="G376" s="63" t="e">
        <f aca="false">VLOOKUP(D376,'[2]5. Demanda'!D$4:J$357,4,FALSE())</f>
        <v>#N/A</v>
      </c>
      <c r="H376" s="63" t="e">
        <f aca="false">VLOOKUP($D376,'[2]5. Demanda'!$D$4:$J$357,5,FALSE())</f>
        <v>#N/A</v>
      </c>
      <c r="I376" s="63" t="e">
        <f aca="false">VLOOKUP($D376,'[2]5. Demanda'!$D$4:$J$357,6,FALSE())</f>
        <v>#N/A</v>
      </c>
      <c r="J376" s="102" t="e">
        <f aca="false">IF(VLOOKUP($D376,'[2]5. Demanda'!$D$4:$J$357,7,FALSE())=0,"",VLOOKUP($D376,'[2]5. Demanda'!$D$4:$J$357,7,FALSE()))</f>
        <v>#N/A</v>
      </c>
      <c r="K376" s="79"/>
      <c r="L376" s="79"/>
      <c r="M376" s="79"/>
      <c r="N376" s="79"/>
      <c r="O376" s="79"/>
      <c r="P376" s="79"/>
      <c r="Q376" s="80"/>
      <c r="R376" s="80"/>
      <c r="S376" s="80"/>
      <c r="T376" s="80"/>
      <c r="U376" s="80"/>
      <c r="V376" s="80"/>
      <c r="W376" s="80"/>
      <c r="X376" s="80"/>
      <c r="Y376" s="80"/>
      <c r="Z376" s="75"/>
    </row>
    <row r="377" customFormat="false" ht="15.75" hidden="false" customHeight="false" outlineLevel="0" collapsed="false">
      <c r="A377" s="52" t="e">
        <f aca="false">VLOOKUP(#REF!,'[1]Listas Desplegables'!$H$3:$J$7,2,FALSE())</f>
        <v>#VALUE!</v>
      </c>
      <c r="B377" s="52" t="e">
        <f aca="false">VLOOKUP(#REF!,'[1]Listas Desplegables'!$H$3:$J$7,3,FALSE())</f>
        <v>#VALUE!</v>
      </c>
      <c r="C377" s="69" t="n">
        <v>372</v>
      </c>
      <c r="D377" s="78"/>
      <c r="E377" s="63" t="e">
        <f aca="false">#N/A</f>
        <v>#N/A</v>
      </c>
      <c r="F377" s="101" t="e">
        <f aca="false">VLOOKUP(D377,'[2]5. Demanda'!$D$4:$F$357,3,FALSE())</f>
        <v>#N/A</v>
      </c>
      <c r="G377" s="63" t="e">
        <f aca="false">VLOOKUP(D377,'[2]5. Demanda'!D$4:J$357,4,FALSE())</f>
        <v>#N/A</v>
      </c>
      <c r="H377" s="63" t="e">
        <f aca="false">VLOOKUP($D377,'[2]5. Demanda'!$D$4:$J$357,5,FALSE())</f>
        <v>#N/A</v>
      </c>
      <c r="I377" s="63" t="e">
        <f aca="false">VLOOKUP($D377,'[2]5. Demanda'!$D$4:$J$357,6,FALSE())</f>
        <v>#N/A</v>
      </c>
      <c r="J377" s="102" t="e">
        <f aca="false">IF(VLOOKUP($D377,'[2]5. Demanda'!$D$4:$J$357,7,FALSE())=0,"",VLOOKUP($D377,'[2]5. Demanda'!$D$4:$J$357,7,FALSE()))</f>
        <v>#N/A</v>
      </c>
      <c r="K377" s="79"/>
      <c r="L377" s="79"/>
      <c r="M377" s="79"/>
      <c r="N377" s="79"/>
      <c r="O377" s="79"/>
      <c r="P377" s="79"/>
      <c r="Q377" s="80"/>
      <c r="R377" s="80"/>
      <c r="S377" s="80"/>
      <c r="T377" s="80"/>
      <c r="U377" s="80"/>
      <c r="V377" s="80"/>
      <c r="W377" s="80"/>
      <c r="X377" s="80"/>
      <c r="Y377" s="80"/>
      <c r="Z377" s="75"/>
    </row>
    <row r="378" customFormat="false" ht="15.75" hidden="false" customHeight="false" outlineLevel="0" collapsed="false">
      <c r="A378" s="52" t="e">
        <f aca="false">VLOOKUP(#REF!,'[1]Listas Desplegables'!$H$3:$J$7,2,FALSE())</f>
        <v>#VALUE!</v>
      </c>
      <c r="B378" s="52" t="e">
        <f aca="false">VLOOKUP(#REF!,'[1]Listas Desplegables'!$H$3:$J$7,3,FALSE())</f>
        <v>#VALUE!</v>
      </c>
      <c r="C378" s="84" t="s">
        <v>842</v>
      </c>
      <c r="D378" s="85"/>
      <c r="E378" s="63" t="e">
        <f aca="false">#N/A</f>
        <v>#N/A</v>
      </c>
      <c r="F378" s="101" t="e">
        <f aca="false">VLOOKUP(D378,'[2]5. Demanda'!$D$4:$F$357,3,FALSE())</f>
        <v>#N/A</v>
      </c>
      <c r="G378" s="63" t="e">
        <f aca="false">VLOOKUP(D378,'[2]5. Demanda'!D$4:J$357,4,FALSE())</f>
        <v>#N/A</v>
      </c>
      <c r="H378" s="63" t="e">
        <f aca="false">VLOOKUP($D378,'[2]5. Demanda'!$D$4:$J$357,5,FALSE())</f>
        <v>#N/A</v>
      </c>
      <c r="I378" s="63" t="e">
        <f aca="false">VLOOKUP($D378,'[2]5. Demanda'!$D$4:$J$357,6,FALSE())</f>
        <v>#N/A</v>
      </c>
      <c r="J378" s="102" t="e">
        <f aca="false">IF(VLOOKUP($D378,'[2]5. Demanda'!$D$4:$J$357,7,FALSE())=0,"",VLOOKUP($D378,'[2]5. Demanda'!$D$4:$J$357,7,FALSE()))</f>
        <v>#N/A</v>
      </c>
      <c r="K378" s="85"/>
      <c r="L378" s="85"/>
      <c r="M378" s="85"/>
      <c r="N378" s="85"/>
      <c r="O378" s="85"/>
      <c r="P378" s="85"/>
      <c r="Q378" s="86"/>
      <c r="R378" s="86"/>
      <c r="S378" s="86"/>
      <c r="T378" s="86"/>
      <c r="U378" s="86"/>
      <c r="V378" s="86"/>
      <c r="W378" s="86"/>
      <c r="X378" s="86"/>
      <c r="Y378" s="86"/>
      <c r="Z378" s="88"/>
    </row>
  </sheetData>
  <autoFilter ref="A5:Z378"/>
  <mergeCells count="16">
    <mergeCell ref="C3:Z3"/>
    <mergeCell ref="C4:C5"/>
    <mergeCell ref="D4:D5"/>
    <mergeCell ref="E4:E5"/>
    <mergeCell ref="F4:F5"/>
    <mergeCell ref="G4:G5"/>
    <mergeCell ref="H4:H5"/>
    <mergeCell ref="I4:I5"/>
    <mergeCell ref="J4:J5"/>
    <mergeCell ref="K4:L4"/>
    <mergeCell ref="M4:N4"/>
    <mergeCell ref="O4:P4"/>
    <mergeCell ref="Q4:S4"/>
    <mergeCell ref="T4:V4"/>
    <mergeCell ref="W4:Y4"/>
    <mergeCell ref="Z4:Z5"/>
  </mergeCells>
  <dataValidations count="5">
    <dataValidation allowBlank="true" errorStyle="stop" operator="between" showDropDown="false" showErrorMessage="true" showInputMessage="true" sqref="F1 K1:Y1 F6:F1378 K6:Y1378" type="decimal">
      <formula1>-100000000</formula1>
      <formula2>100000000000</formula2>
    </dataValidation>
    <dataValidation allowBlank="true" errorStyle="stop" operator="greaterThan" showDropDown="false" showErrorMessage="true" showInputMessage="true" sqref="J1 J379:J1378" type="date">
      <formula1>1</formula1>
      <formula2>0</formula2>
    </dataValidation>
    <dataValidation allowBlank="true" errorStyle="stop" operator="between" showDropDown="false" showErrorMessage="true" showInputMessage="true" sqref="I379:I1378" type="list">
      <formula1>$B$385:$B$386</formula1>
      <formula2>0</formula2>
    </dataValidation>
    <dataValidation allowBlank="true" errorStyle="stop" operator="between" showDropDown="false" showErrorMessage="true" showInputMessage="true" sqref="E379:E1378 H379:H1378" type="list">
      <formula1>'c:\users\aacosta\downloads\[circular_002_anexo.xlsx]listas desplegables'!#ref!</formula1>
      <formula2>0</formula2>
    </dataValidation>
    <dataValidation allowBlank="true" errorStyle="stop" operator="between" showDropDown="false" showErrorMessage="true" showInputMessage="true" sqref="I1" type="list">
      <formula1>'Listas Desplegables'!$B$58:$B$59</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2:P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K8" activeCellId="0" sqref="K8"/>
    </sheetView>
  </sheetViews>
  <sheetFormatPr defaultColWidth="11.57421875" defaultRowHeight="15" zeroHeight="false" outlineLevelRow="0" outlineLevelCol="0"/>
  <cols>
    <col collapsed="false" customWidth="true" hidden="false" outlineLevel="0" max="2" min="1" style="52" width="3"/>
    <col collapsed="false" customWidth="true" hidden="false" outlineLevel="0" max="3" min="3" style="53" width="6.7"/>
    <col collapsed="false" customWidth="true" hidden="false" outlineLevel="0" max="4" min="4" style="1" width="33"/>
    <col collapsed="false" customWidth="true" hidden="false" outlineLevel="0" max="5" min="5" style="1" width="14.57"/>
    <col collapsed="false" customWidth="true" hidden="false" outlineLevel="0" max="6" min="6" style="1" width="12.72"/>
    <col collapsed="false" customWidth="true" hidden="false" outlineLevel="0" max="11" min="10" style="1" width="14.86"/>
    <col collapsed="false" customWidth="false" hidden="false" outlineLevel="0" max="15" min="13" style="54" width="11.57"/>
    <col collapsed="false" customWidth="true" hidden="false" outlineLevel="0" max="16" min="16" style="1" width="29.43"/>
  </cols>
  <sheetData>
    <row r="2" customFormat="false" ht="15.75" hidden="false" customHeight="false" outlineLevel="0" collapsed="false"/>
    <row r="3" s="57" customFormat="true" ht="15.75" hidden="false" customHeight="false" outlineLevel="0" collapsed="false">
      <c r="A3" s="55"/>
      <c r="B3" s="55"/>
      <c r="C3" s="56" t="s">
        <v>1772</v>
      </c>
      <c r="D3" s="56"/>
      <c r="E3" s="56"/>
      <c r="F3" s="56"/>
      <c r="G3" s="56"/>
      <c r="H3" s="56"/>
      <c r="I3" s="56"/>
      <c r="J3" s="56"/>
      <c r="K3" s="56"/>
      <c r="L3" s="56"/>
      <c r="M3" s="56"/>
      <c r="N3" s="56"/>
      <c r="O3" s="56"/>
      <c r="P3" s="56"/>
    </row>
    <row r="4" s="61" customFormat="true" ht="12" hidden="false" customHeight="true" outlineLevel="0" collapsed="false">
      <c r="A4" s="58"/>
      <c r="B4" s="58"/>
      <c r="C4" s="59" t="s">
        <v>194</v>
      </c>
      <c r="D4" s="60" t="str">
        <f aca="false">'Manual de Uso'!C138</f>
        <v>Nombre</v>
      </c>
      <c r="E4" s="60" t="str">
        <f aca="false">'Manual de Uso'!C139</f>
        <v>Subestación</v>
      </c>
      <c r="F4" s="60" t="str">
        <f aca="false">'Manual de Uso'!C140</f>
        <v>Nivel de tensión [kV]</v>
      </c>
      <c r="G4" s="60" t="str">
        <f aca="false">'Manual de Uso'!C141</f>
        <v>Capacidad [MVAr]</v>
      </c>
      <c r="H4" s="60" t="s">
        <v>163</v>
      </c>
      <c r="I4" s="60" t="str">
        <f aca="false">'Manual de Uso'!C143</f>
        <v>Número de pasos</v>
      </c>
      <c r="J4" s="60" t="str">
        <f aca="false">'Manual de Uso'!C144</f>
        <v>Tipo conexión</v>
      </c>
      <c r="K4" s="60" t="str">
        <f aca="false">'Manual de Uso'!C145</f>
        <v>Operabilidad</v>
      </c>
      <c r="L4" s="60" t="str">
        <f aca="false">'Manual de Uso'!C146</f>
        <v>En Operación</v>
      </c>
      <c r="M4" s="90" t="str">
        <f aca="false">'Manual de Uso'!C147</f>
        <v>FPO</v>
      </c>
      <c r="N4" s="90" t="str">
        <f aca="false">'Manual de Uso'!C148</f>
        <v>Operador</v>
      </c>
      <c r="O4" s="90" t="str">
        <f aca="false">'Manual de Uso'!C149</f>
        <v>Tipo activo Uso/Conexión</v>
      </c>
      <c r="P4" s="60" t="str">
        <f aca="false">'Manual de Uso'!C150</f>
        <v>Observaciones transportador</v>
      </c>
    </row>
    <row r="5" s="61" customFormat="true" ht="24" hidden="false" customHeight="true" outlineLevel="0" collapsed="false">
      <c r="A5" s="58"/>
      <c r="B5" s="58"/>
      <c r="C5" s="59"/>
      <c r="D5" s="60"/>
      <c r="E5" s="60"/>
      <c r="F5" s="60"/>
      <c r="G5" s="60"/>
      <c r="H5" s="60"/>
      <c r="I5" s="60"/>
      <c r="J5" s="60"/>
      <c r="K5" s="60"/>
      <c r="L5" s="60"/>
      <c r="M5" s="90"/>
      <c r="N5" s="90"/>
      <c r="O5" s="90"/>
      <c r="P5" s="60"/>
    </row>
    <row r="6" customFormat="false" ht="15.75" hidden="false" customHeight="false" outlineLevel="0" collapsed="false">
      <c r="A6" s="52" t="e">
        <f aca="false">VLOOKUP(E6,'[1]Listas Desplegables'!$H$3:$J$7,2,FALSE())</f>
        <v>#N/A</v>
      </c>
      <c r="B6" s="52" t="e">
        <f aca="false">VLOOKUP(E6,'[1]Listas Desplegables'!$H$3:$J$7,3,FALSE())</f>
        <v>#N/A</v>
      </c>
      <c r="C6" s="62" t="n">
        <v>1</v>
      </c>
      <c r="D6" s="63" t="s">
        <v>1773</v>
      </c>
      <c r="E6" s="63" t="s">
        <v>1250</v>
      </c>
      <c r="F6" s="64" t="n">
        <v>34.5</v>
      </c>
      <c r="G6" s="65" t="n">
        <v>2</v>
      </c>
      <c r="H6" s="66" t="s">
        <v>1774</v>
      </c>
      <c r="I6" s="65" t="n">
        <v>1</v>
      </c>
      <c r="J6" s="66" t="s">
        <v>1775</v>
      </c>
      <c r="K6" s="66" t="s">
        <v>1776</v>
      </c>
      <c r="L6" s="66" t="s">
        <v>355</v>
      </c>
      <c r="M6" s="67" t="n">
        <v>47118</v>
      </c>
      <c r="N6" s="103" t="s">
        <v>211</v>
      </c>
      <c r="O6" s="66" t="s">
        <v>47</v>
      </c>
      <c r="P6" s="68"/>
    </row>
    <row r="7" customFormat="false" ht="15.75" hidden="false" customHeight="false" outlineLevel="0" collapsed="false">
      <c r="A7" s="52" t="e">
        <f aca="false">VLOOKUP(E7,'[1]Listas Desplegables'!$H$3:$J$7,2,FALSE())</f>
        <v>#N/A</v>
      </c>
      <c r="B7" s="52" t="e">
        <f aca="false">VLOOKUP(E7,'[1]Listas Desplegables'!$H$3:$J$7,3,FALSE())</f>
        <v>#N/A</v>
      </c>
      <c r="C7" s="69" t="n">
        <v>2</v>
      </c>
      <c r="D7" s="70" t="s">
        <v>1777</v>
      </c>
      <c r="E7" s="70" t="s">
        <v>1161</v>
      </c>
      <c r="F7" s="71" t="n">
        <v>34.5</v>
      </c>
      <c r="G7" s="72" t="n">
        <v>2</v>
      </c>
      <c r="H7" s="73" t="s">
        <v>1774</v>
      </c>
      <c r="I7" s="72" t="n">
        <v>1</v>
      </c>
      <c r="J7" s="73" t="s">
        <v>1775</v>
      </c>
      <c r="K7" s="73" t="s">
        <v>1776</v>
      </c>
      <c r="L7" s="73" t="s">
        <v>355</v>
      </c>
      <c r="M7" s="74" t="n">
        <v>47118</v>
      </c>
      <c r="N7" s="103" t="s">
        <v>211</v>
      </c>
      <c r="O7" s="66" t="s">
        <v>47</v>
      </c>
      <c r="P7" s="75"/>
    </row>
    <row r="8" customFormat="false" ht="15" hidden="false" customHeight="false" outlineLevel="0" collapsed="false">
      <c r="A8" s="52" t="e">
        <f aca="false">VLOOKUP(E8,'[1]Listas Desplegables'!$H$3:$J$7,2,FALSE())</f>
        <v>#N/A</v>
      </c>
      <c r="B8" s="52" t="e">
        <f aca="false">VLOOKUP(E8,'[1]Listas Desplegables'!$H$3:$J$7,3,FALSE())</f>
        <v>#N/A</v>
      </c>
      <c r="C8" s="69" t="n">
        <v>3</v>
      </c>
      <c r="D8" s="70" t="s">
        <v>1778</v>
      </c>
      <c r="E8" s="70" t="s">
        <v>1275</v>
      </c>
      <c r="F8" s="71" t="n">
        <v>34.5</v>
      </c>
      <c r="G8" s="72" t="n">
        <v>2</v>
      </c>
      <c r="H8" s="73" t="s">
        <v>1774</v>
      </c>
      <c r="I8" s="72" t="n">
        <v>1</v>
      </c>
      <c r="J8" s="73" t="s">
        <v>1775</v>
      </c>
      <c r="K8" s="73" t="s">
        <v>1776</v>
      </c>
      <c r="L8" s="73" t="s">
        <v>355</v>
      </c>
      <c r="M8" s="74" t="n">
        <v>47118</v>
      </c>
      <c r="N8" s="103" t="s">
        <v>211</v>
      </c>
      <c r="O8" s="66" t="s">
        <v>47</v>
      </c>
      <c r="P8" s="75"/>
    </row>
    <row r="9" customFormat="false" ht="15" hidden="false" customHeight="false" outlineLevel="0" collapsed="false">
      <c r="A9" s="52" t="e">
        <f aca="false">VLOOKUP(E9,'[1]Listas Desplegables'!$H$3:$J$7,2,FALSE())</f>
        <v>#N/A</v>
      </c>
      <c r="B9" s="52" t="e">
        <f aca="false">VLOOKUP(E9,'[1]Listas Desplegables'!$H$3:$J$7,3,FALSE())</f>
        <v>#N/A</v>
      </c>
      <c r="C9" s="69" t="n">
        <v>4</v>
      </c>
      <c r="D9" s="70"/>
      <c r="E9" s="70"/>
      <c r="F9" s="71"/>
      <c r="G9" s="72"/>
      <c r="H9" s="73"/>
      <c r="I9" s="72"/>
      <c r="J9" s="73"/>
      <c r="K9" s="73"/>
      <c r="L9" s="73"/>
      <c r="M9" s="74"/>
      <c r="N9" s="74"/>
      <c r="O9" s="72"/>
      <c r="P9" s="75"/>
    </row>
    <row r="10" customFormat="false" ht="15" hidden="false" customHeight="false" outlineLevel="0" collapsed="false">
      <c r="A10" s="52" t="e">
        <f aca="false">VLOOKUP(E10,'[1]Listas Desplegables'!$H$3:$J$7,2,FALSE())</f>
        <v>#N/A</v>
      </c>
      <c r="B10" s="52" t="e">
        <f aca="false">VLOOKUP(E10,'[1]Listas Desplegables'!$H$3:$J$7,3,FALSE())</f>
        <v>#N/A</v>
      </c>
      <c r="C10" s="69" t="n">
        <v>5</v>
      </c>
      <c r="D10" s="70"/>
      <c r="E10" s="70"/>
      <c r="F10" s="71"/>
      <c r="G10" s="72"/>
      <c r="H10" s="73"/>
      <c r="I10" s="72"/>
      <c r="J10" s="73"/>
      <c r="K10" s="73"/>
      <c r="L10" s="73"/>
      <c r="M10" s="74"/>
      <c r="N10" s="74"/>
      <c r="O10" s="72"/>
      <c r="P10" s="75"/>
    </row>
    <row r="11" customFormat="false" ht="15" hidden="false" customHeight="false" outlineLevel="0" collapsed="false">
      <c r="A11" s="52" t="e">
        <f aca="false">VLOOKUP(E11,'[1]Listas Desplegables'!$H$3:$J$7,2,FALSE())</f>
        <v>#N/A</v>
      </c>
      <c r="B11" s="52" t="e">
        <f aca="false">VLOOKUP(E11,'[1]Listas Desplegables'!$H$3:$J$7,3,FALSE())</f>
        <v>#N/A</v>
      </c>
      <c r="C11" s="69" t="n">
        <v>6</v>
      </c>
      <c r="D11" s="70"/>
      <c r="E11" s="70"/>
      <c r="F11" s="71"/>
      <c r="G11" s="72"/>
      <c r="H11" s="73"/>
      <c r="I11" s="72"/>
      <c r="J11" s="73"/>
      <c r="K11" s="73"/>
      <c r="L11" s="73"/>
      <c r="M11" s="74"/>
      <c r="N11" s="74"/>
      <c r="O11" s="72"/>
      <c r="P11" s="75"/>
    </row>
    <row r="12" customFormat="false" ht="15" hidden="false" customHeight="false" outlineLevel="0" collapsed="false">
      <c r="A12" s="52" t="e">
        <f aca="false">VLOOKUP(E12,'[1]Listas Desplegables'!$H$3:$J$7,2,FALSE())</f>
        <v>#N/A</v>
      </c>
      <c r="B12" s="52" t="e">
        <f aca="false">VLOOKUP(E12,'[1]Listas Desplegables'!$H$3:$J$7,3,FALSE())</f>
        <v>#N/A</v>
      </c>
      <c r="C12" s="69" t="n">
        <v>7</v>
      </c>
      <c r="D12" s="70"/>
      <c r="E12" s="70"/>
      <c r="F12" s="71"/>
      <c r="G12" s="72"/>
      <c r="H12" s="73"/>
      <c r="I12" s="72"/>
      <c r="J12" s="73"/>
      <c r="K12" s="73"/>
      <c r="L12" s="73"/>
      <c r="M12" s="74"/>
      <c r="N12" s="74"/>
      <c r="O12" s="72"/>
      <c r="P12" s="75"/>
    </row>
    <row r="13" customFormat="false" ht="15" hidden="false" customHeight="false" outlineLevel="0" collapsed="false">
      <c r="A13" s="52" t="e">
        <f aca="false">VLOOKUP(E13,'[1]Listas Desplegables'!$H$3:$J$7,2,FALSE())</f>
        <v>#N/A</v>
      </c>
      <c r="B13" s="52" t="e">
        <f aca="false">VLOOKUP(E13,'[1]Listas Desplegables'!$H$3:$J$7,3,FALSE())</f>
        <v>#N/A</v>
      </c>
      <c r="C13" s="69" t="n">
        <v>8</v>
      </c>
      <c r="D13" s="70"/>
      <c r="E13" s="70"/>
      <c r="F13" s="71"/>
      <c r="G13" s="72"/>
      <c r="H13" s="73"/>
      <c r="I13" s="72"/>
      <c r="J13" s="73"/>
      <c r="K13" s="73"/>
      <c r="L13" s="73"/>
      <c r="M13" s="74"/>
      <c r="N13" s="74"/>
      <c r="O13" s="72"/>
      <c r="P13" s="75"/>
    </row>
    <row r="14" customFormat="false" ht="15" hidden="false" customHeight="false" outlineLevel="0" collapsed="false">
      <c r="A14" s="52" t="e">
        <f aca="false">VLOOKUP(E14,'[1]Listas Desplegables'!$H$3:$J$7,2,FALSE())</f>
        <v>#N/A</v>
      </c>
      <c r="B14" s="52" t="e">
        <f aca="false">VLOOKUP(E14,'[1]Listas Desplegables'!$H$3:$J$7,3,FALSE())</f>
        <v>#N/A</v>
      </c>
      <c r="C14" s="69" t="n">
        <v>9</v>
      </c>
      <c r="D14" s="70"/>
      <c r="E14" s="70"/>
      <c r="F14" s="71"/>
      <c r="G14" s="72"/>
      <c r="H14" s="73"/>
      <c r="I14" s="72"/>
      <c r="J14" s="73"/>
      <c r="K14" s="73"/>
      <c r="L14" s="73"/>
      <c r="M14" s="74"/>
      <c r="N14" s="74"/>
      <c r="O14" s="72"/>
      <c r="P14" s="75"/>
    </row>
    <row r="15" customFormat="false" ht="15" hidden="false" customHeight="false" outlineLevel="0" collapsed="false">
      <c r="A15" s="52" t="e">
        <f aca="false">VLOOKUP(E15,'[1]Listas Desplegables'!$H$3:$J$7,2,FALSE())</f>
        <v>#N/A</v>
      </c>
      <c r="B15" s="52" t="e">
        <f aca="false">VLOOKUP(E15,'[1]Listas Desplegables'!$H$3:$J$7,3,FALSE())</f>
        <v>#N/A</v>
      </c>
      <c r="C15" s="76" t="n">
        <v>10</v>
      </c>
      <c r="D15" s="70"/>
      <c r="E15" s="70"/>
      <c r="F15" s="71"/>
      <c r="G15" s="72"/>
      <c r="H15" s="73"/>
      <c r="I15" s="72"/>
      <c r="J15" s="73"/>
      <c r="K15" s="73"/>
      <c r="L15" s="73"/>
      <c r="M15" s="74"/>
      <c r="N15" s="74"/>
      <c r="O15" s="72"/>
      <c r="P15" s="75"/>
    </row>
    <row r="16" customFormat="false" ht="15" hidden="false" customHeight="false" outlineLevel="0" collapsed="false">
      <c r="A16" s="52" t="e">
        <f aca="false">VLOOKUP(E16,'[1]Listas Desplegables'!$H$3:$J$7,2,FALSE())</f>
        <v>#N/A</v>
      </c>
      <c r="B16" s="52" t="e">
        <f aca="false">VLOOKUP(E16,'[1]Listas Desplegables'!$H$3:$J$7,3,FALSE())</f>
        <v>#N/A</v>
      </c>
      <c r="C16" s="69" t="n">
        <v>11</v>
      </c>
      <c r="D16" s="70"/>
      <c r="E16" s="70"/>
      <c r="F16" s="71"/>
      <c r="G16" s="72"/>
      <c r="H16" s="73"/>
      <c r="I16" s="72"/>
      <c r="J16" s="73"/>
      <c r="K16" s="73"/>
      <c r="L16" s="73"/>
      <c r="M16" s="74"/>
      <c r="N16" s="74"/>
      <c r="O16" s="72"/>
      <c r="P16" s="75"/>
    </row>
    <row r="17" customFormat="false" ht="15" hidden="false" customHeight="false" outlineLevel="0" collapsed="false">
      <c r="A17" s="52" t="e">
        <f aca="false">VLOOKUP(E17,'[1]Listas Desplegables'!$H$3:$J$7,2,FALSE())</f>
        <v>#N/A</v>
      </c>
      <c r="B17" s="52" t="e">
        <f aca="false">VLOOKUP(E17,'[1]Listas Desplegables'!$H$3:$J$7,3,FALSE())</f>
        <v>#N/A</v>
      </c>
      <c r="C17" s="69" t="n">
        <v>12</v>
      </c>
      <c r="D17" s="70"/>
      <c r="E17" s="70"/>
      <c r="F17" s="71"/>
      <c r="G17" s="72"/>
      <c r="H17" s="73"/>
      <c r="I17" s="72"/>
      <c r="J17" s="73"/>
      <c r="K17" s="73"/>
      <c r="L17" s="73"/>
      <c r="M17" s="74"/>
      <c r="N17" s="74"/>
      <c r="O17" s="72"/>
      <c r="P17" s="75"/>
    </row>
    <row r="18" customFormat="false" ht="15" hidden="false" customHeight="false" outlineLevel="0" collapsed="false">
      <c r="A18" s="52" t="e">
        <f aca="false">VLOOKUP(E18,'[1]Listas Desplegables'!$H$3:$J$7,2,FALSE())</f>
        <v>#N/A</v>
      </c>
      <c r="B18" s="52" t="e">
        <f aca="false">VLOOKUP(E18,'[1]Listas Desplegables'!$H$3:$J$7,3,FALSE())</f>
        <v>#N/A</v>
      </c>
      <c r="C18" s="69" t="n">
        <v>13</v>
      </c>
      <c r="D18" s="70"/>
      <c r="E18" s="70"/>
      <c r="F18" s="71"/>
      <c r="G18" s="72"/>
      <c r="H18" s="73"/>
      <c r="I18" s="72"/>
      <c r="J18" s="73"/>
      <c r="K18" s="73"/>
      <c r="L18" s="73"/>
      <c r="M18" s="74"/>
      <c r="N18" s="74"/>
      <c r="O18" s="72"/>
      <c r="P18" s="75"/>
    </row>
    <row r="19" customFormat="false" ht="15" hidden="false" customHeight="false" outlineLevel="0" collapsed="false">
      <c r="A19" s="52" t="e">
        <f aca="false">VLOOKUP(E19,'[1]Listas Desplegables'!$H$3:$J$7,2,FALSE())</f>
        <v>#N/A</v>
      </c>
      <c r="B19" s="52" t="e">
        <f aca="false">VLOOKUP(E19,'[1]Listas Desplegables'!$H$3:$J$7,3,FALSE())</f>
        <v>#N/A</v>
      </c>
      <c r="C19" s="69" t="n">
        <v>14</v>
      </c>
      <c r="D19" s="70"/>
      <c r="E19" s="70"/>
      <c r="F19" s="71"/>
      <c r="G19" s="72"/>
      <c r="H19" s="73"/>
      <c r="I19" s="72"/>
      <c r="J19" s="73"/>
      <c r="K19" s="73"/>
      <c r="L19" s="73"/>
      <c r="M19" s="74"/>
      <c r="N19" s="74"/>
      <c r="O19" s="72"/>
      <c r="P19" s="75"/>
    </row>
    <row r="20" customFormat="false" ht="15" hidden="false" customHeight="false" outlineLevel="0" collapsed="false">
      <c r="A20" s="52" t="e">
        <f aca="false">VLOOKUP(E20,'[1]Listas Desplegables'!$H$3:$J$7,2,FALSE())</f>
        <v>#N/A</v>
      </c>
      <c r="B20" s="52" t="e">
        <f aca="false">VLOOKUP(E20,'[1]Listas Desplegables'!$H$3:$J$7,3,FALSE())</f>
        <v>#N/A</v>
      </c>
      <c r="C20" s="69" t="n">
        <v>15</v>
      </c>
      <c r="D20" s="70"/>
      <c r="E20" s="70"/>
      <c r="F20" s="71"/>
      <c r="G20" s="72"/>
      <c r="H20" s="73"/>
      <c r="I20" s="72"/>
      <c r="J20" s="73"/>
      <c r="K20" s="73"/>
      <c r="L20" s="73"/>
      <c r="M20" s="74"/>
      <c r="N20" s="74"/>
      <c r="O20" s="72"/>
      <c r="P20" s="75"/>
    </row>
    <row r="21" customFormat="false" ht="15" hidden="false" customHeight="false" outlineLevel="0" collapsed="false">
      <c r="A21" s="52" t="e">
        <f aca="false">VLOOKUP(E21,'[1]Listas Desplegables'!$H$3:$J$7,2,FALSE())</f>
        <v>#N/A</v>
      </c>
      <c r="B21" s="52" t="e">
        <f aca="false">VLOOKUP(E21,'[1]Listas Desplegables'!$H$3:$J$7,3,FALSE())</f>
        <v>#N/A</v>
      </c>
      <c r="C21" s="69" t="n">
        <v>16</v>
      </c>
      <c r="D21" s="70"/>
      <c r="E21" s="70"/>
      <c r="F21" s="71"/>
      <c r="G21" s="72"/>
      <c r="H21" s="73"/>
      <c r="I21" s="72"/>
      <c r="J21" s="73"/>
      <c r="K21" s="73"/>
      <c r="L21" s="73"/>
      <c r="M21" s="74"/>
      <c r="N21" s="74"/>
      <c r="O21" s="72"/>
      <c r="P21" s="75"/>
    </row>
    <row r="22" customFormat="false" ht="15" hidden="false" customHeight="false" outlineLevel="0" collapsed="false">
      <c r="A22" s="52" t="e">
        <f aca="false">VLOOKUP(E22,'[1]Listas Desplegables'!$H$3:$J$7,2,FALSE())</f>
        <v>#N/A</v>
      </c>
      <c r="B22" s="52" t="e">
        <f aca="false">VLOOKUP(E22,'[1]Listas Desplegables'!$H$3:$J$7,3,FALSE())</f>
        <v>#N/A</v>
      </c>
      <c r="C22" s="69" t="n">
        <v>17</v>
      </c>
      <c r="D22" s="70"/>
      <c r="E22" s="70"/>
      <c r="F22" s="71"/>
      <c r="G22" s="72"/>
      <c r="H22" s="73"/>
      <c r="I22" s="72"/>
      <c r="J22" s="73"/>
      <c r="K22" s="73"/>
      <c r="L22" s="73"/>
      <c r="M22" s="74"/>
      <c r="N22" s="74"/>
      <c r="O22" s="72"/>
      <c r="P22" s="75"/>
    </row>
    <row r="23" customFormat="false" ht="15" hidden="false" customHeight="false" outlineLevel="0" collapsed="false">
      <c r="A23" s="52" t="e">
        <f aca="false">VLOOKUP(E23,'[1]Listas Desplegables'!$H$3:$J$7,2,FALSE())</f>
        <v>#N/A</v>
      </c>
      <c r="B23" s="52" t="e">
        <f aca="false">VLOOKUP(E23,'[1]Listas Desplegables'!$H$3:$J$7,3,FALSE())</f>
        <v>#N/A</v>
      </c>
      <c r="C23" s="69" t="n">
        <v>18</v>
      </c>
      <c r="D23" s="70"/>
      <c r="E23" s="70"/>
      <c r="F23" s="71"/>
      <c r="G23" s="72"/>
      <c r="H23" s="73"/>
      <c r="I23" s="72"/>
      <c r="J23" s="73"/>
      <c r="K23" s="73"/>
      <c r="L23" s="73"/>
      <c r="M23" s="74"/>
      <c r="N23" s="74"/>
      <c r="O23" s="72"/>
      <c r="P23" s="75"/>
    </row>
    <row r="24" customFormat="false" ht="15" hidden="false" customHeight="false" outlineLevel="0" collapsed="false">
      <c r="A24" s="52" t="e">
        <f aca="false">VLOOKUP(E24,'[1]Listas Desplegables'!$H$3:$J$7,2,FALSE())</f>
        <v>#N/A</v>
      </c>
      <c r="B24" s="52" t="e">
        <f aca="false">VLOOKUP(E24,'[1]Listas Desplegables'!$H$3:$J$7,3,FALSE())</f>
        <v>#N/A</v>
      </c>
      <c r="C24" s="76" t="n">
        <v>19</v>
      </c>
      <c r="D24" s="70"/>
      <c r="E24" s="70"/>
      <c r="F24" s="71"/>
      <c r="G24" s="72"/>
      <c r="H24" s="73"/>
      <c r="I24" s="72"/>
      <c r="J24" s="73"/>
      <c r="K24" s="73"/>
      <c r="L24" s="73"/>
      <c r="M24" s="74"/>
      <c r="N24" s="74"/>
      <c r="O24" s="72"/>
      <c r="P24" s="75"/>
    </row>
    <row r="25" customFormat="false" ht="15" hidden="false" customHeight="false" outlineLevel="0" collapsed="false">
      <c r="A25" s="52" t="e">
        <f aca="false">VLOOKUP(E25,'[1]Listas Desplegables'!$H$3:$J$7,2,FALSE())</f>
        <v>#N/A</v>
      </c>
      <c r="B25" s="52" t="e">
        <f aca="false">VLOOKUP(E25,'[1]Listas Desplegables'!$H$3:$J$7,3,FALSE())</f>
        <v>#N/A</v>
      </c>
      <c r="C25" s="77" t="n">
        <v>20</v>
      </c>
      <c r="D25" s="78"/>
      <c r="E25" s="78"/>
      <c r="F25" s="79"/>
      <c r="G25" s="72"/>
      <c r="H25" s="73"/>
      <c r="I25" s="72"/>
      <c r="J25" s="73"/>
      <c r="K25" s="73"/>
      <c r="L25" s="73"/>
      <c r="M25" s="74"/>
      <c r="N25" s="74"/>
      <c r="O25" s="72"/>
      <c r="P25" s="75"/>
    </row>
    <row r="26" customFormat="false" ht="15" hidden="false" customHeight="false" outlineLevel="0" collapsed="false">
      <c r="A26" s="52" t="e">
        <f aca="false">VLOOKUP(E26,'[1]Listas Desplegables'!$H$3:$J$7,2,FALSE())</f>
        <v>#N/A</v>
      </c>
      <c r="B26" s="52" t="e">
        <f aca="false">VLOOKUP(E26,'[1]Listas Desplegables'!$H$3:$J$7,3,FALSE())</f>
        <v>#N/A</v>
      </c>
      <c r="C26" s="76" t="n">
        <v>21</v>
      </c>
      <c r="D26" s="78"/>
      <c r="E26" s="78"/>
      <c r="F26" s="79"/>
      <c r="G26" s="72"/>
      <c r="H26" s="73"/>
      <c r="I26" s="72"/>
      <c r="J26" s="73"/>
      <c r="K26" s="73"/>
      <c r="L26" s="73"/>
      <c r="M26" s="74"/>
      <c r="N26" s="74"/>
      <c r="O26" s="72"/>
      <c r="P26" s="75"/>
    </row>
    <row r="27" customFormat="false" ht="15" hidden="false" customHeight="false" outlineLevel="0" collapsed="false">
      <c r="A27" s="52" t="e">
        <f aca="false">VLOOKUP(E27,'[1]Listas Desplegables'!$H$3:$J$7,2,FALSE())</f>
        <v>#N/A</v>
      </c>
      <c r="B27" s="52" t="e">
        <f aca="false">VLOOKUP(E27,'[1]Listas Desplegables'!$H$3:$J$7,3,FALSE())</f>
        <v>#N/A</v>
      </c>
      <c r="C27" s="69" t="n">
        <v>22</v>
      </c>
      <c r="D27" s="78"/>
      <c r="E27" s="78"/>
      <c r="F27" s="79"/>
      <c r="G27" s="72"/>
      <c r="H27" s="73"/>
      <c r="I27" s="72"/>
      <c r="J27" s="73"/>
      <c r="K27" s="73"/>
      <c r="L27" s="73"/>
      <c r="M27" s="74"/>
      <c r="N27" s="74"/>
      <c r="O27" s="72"/>
      <c r="P27" s="75"/>
    </row>
    <row r="28" customFormat="false" ht="15" hidden="false" customHeight="false" outlineLevel="0" collapsed="false">
      <c r="A28" s="52" t="e">
        <f aca="false">VLOOKUP(E28,'[1]Listas Desplegables'!$H$3:$J$7,2,FALSE())</f>
        <v>#N/A</v>
      </c>
      <c r="B28" s="52" t="e">
        <f aca="false">VLOOKUP(E28,'[1]Listas Desplegables'!$H$3:$J$7,3,FALSE())</f>
        <v>#N/A</v>
      </c>
      <c r="C28" s="69" t="n">
        <v>23</v>
      </c>
      <c r="D28" s="78"/>
      <c r="E28" s="78"/>
      <c r="F28" s="79"/>
      <c r="G28" s="72"/>
      <c r="H28" s="73"/>
      <c r="I28" s="72"/>
      <c r="J28" s="73"/>
      <c r="K28" s="73"/>
      <c r="L28" s="73"/>
      <c r="M28" s="74"/>
      <c r="N28" s="74"/>
      <c r="O28" s="72"/>
      <c r="P28" s="75"/>
    </row>
    <row r="29" customFormat="false" ht="15" hidden="false" customHeight="false" outlineLevel="0" collapsed="false">
      <c r="A29" s="52" t="e">
        <f aca="false">VLOOKUP(E29,'[1]Listas Desplegables'!$H$3:$J$7,2,FALSE())</f>
        <v>#N/A</v>
      </c>
      <c r="B29" s="52" t="e">
        <f aca="false">VLOOKUP(E29,'[1]Listas Desplegables'!$H$3:$J$7,3,FALSE())</f>
        <v>#N/A</v>
      </c>
      <c r="C29" s="69" t="n">
        <v>24</v>
      </c>
      <c r="D29" s="78"/>
      <c r="E29" s="78"/>
      <c r="F29" s="79"/>
      <c r="G29" s="72"/>
      <c r="H29" s="73"/>
      <c r="I29" s="72"/>
      <c r="J29" s="73"/>
      <c r="K29" s="73"/>
      <c r="L29" s="73"/>
      <c r="M29" s="74"/>
      <c r="N29" s="74"/>
      <c r="O29" s="72"/>
      <c r="P29" s="75"/>
    </row>
    <row r="30" customFormat="false" ht="15" hidden="false" customHeight="false" outlineLevel="0" collapsed="false">
      <c r="A30" s="52" t="e">
        <f aca="false">VLOOKUP(E30,'[1]Listas Desplegables'!$H$3:$J$7,2,FALSE())</f>
        <v>#N/A</v>
      </c>
      <c r="B30" s="52" t="e">
        <f aca="false">VLOOKUP(E30,'[1]Listas Desplegables'!$H$3:$J$7,3,FALSE())</f>
        <v>#N/A</v>
      </c>
      <c r="C30" s="69" t="n">
        <v>25</v>
      </c>
      <c r="D30" s="78"/>
      <c r="E30" s="78"/>
      <c r="F30" s="79"/>
      <c r="G30" s="72"/>
      <c r="H30" s="73"/>
      <c r="I30" s="72"/>
      <c r="J30" s="73"/>
      <c r="K30" s="73"/>
      <c r="L30" s="73"/>
      <c r="M30" s="74"/>
      <c r="N30" s="74"/>
      <c r="O30" s="72"/>
      <c r="P30" s="75"/>
    </row>
    <row r="31" customFormat="false" ht="15" hidden="false" customHeight="false" outlineLevel="0" collapsed="false">
      <c r="A31" s="52" t="e">
        <f aca="false">VLOOKUP(E31,'[1]Listas Desplegables'!$H$3:$J$7,2,FALSE())</f>
        <v>#N/A</v>
      </c>
      <c r="B31" s="52" t="e">
        <f aca="false">VLOOKUP(E31,'[1]Listas Desplegables'!$H$3:$J$7,3,FALSE())</f>
        <v>#N/A</v>
      </c>
      <c r="C31" s="69" t="n">
        <v>26</v>
      </c>
      <c r="D31" s="78"/>
      <c r="E31" s="78"/>
      <c r="F31" s="79"/>
      <c r="G31" s="72"/>
      <c r="H31" s="73"/>
      <c r="I31" s="72"/>
      <c r="J31" s="73"/>
      <c r="K31" s="73"/>
      <c r="L31" s="73"/>
      <c r="M31" s="74"/>
      <c r="N31" s="74"/>
      <c r="O31" s="72"/>
      <c r="P31" s="75"/>
    </row>
    <row r="32" customFormat="false" ht="15" hidden="false" customHeight="false" outlineLevel="0" collapsed="false">
      <c r="A32" s="52" t="e">
        <f aca="false">VLOOKUP(E32,'[1]Listas Desplegables'!$H$3:$J$7,2,FALSE())</f>
        <v>#N/A</v>
      </c>
      <c r="B32" s="52" t="e">
        <f aca="false">VLOOKUP(E32,'[1]Listas Desplegables'!$H$3:$J$7,3,FALSE())</f>
        <v>#N/A</v>
      </c>
      <c r="C32" s="69" t="n">
        <v>27</v>
      </c>
      <c r="D32" s="78"/>
      <c r="E32" s="78"/>
      <c r="F32" s="79"/>
      <c r="G32" s="72"/>
      <c r="H32" s="73"/>
      <c r="I32" s="72"/>
      <c r="J32" s="73"/>
      <c r="K32" s="73"/>
      <c r="L32" s="73"/>
      <c r="M32" s="74"/>
      <c r="N32" s="74"/>
      <c r="O32" s="72"/>
      <c r="P32" s="75"/>
    </row>
    <row r="33" customFormat="false" ht="15" hidden="false" customHeight="false" outlineLevel="0" collapsed="false">
      <c r="A33" s="52" t="e">
        <f aca="false">VLOOKUP(E33,'[1]Listas Desplegables'!$H$3:$J$7,2,FALSE())</f>
        <v>#N/A</v>
      </c>
      <c r="B33" s="52" t="e">
        <f aca="false">VLOOKUP(E33,'[1]Listas Desplegables'!$H$3:$J$7,3,FALSE())</f>
        <v>#N/A</v>
      </c>
      <c r="C33" s="69" t="n">
        <v>28</v>
      </c>
      <c r="D33" s="78"/>
      <c r="E33" s="78"/>
      <c r="F33" s="79"/>
      <c r="G33" s="72"/>
      <c r="H33" s="73"/>
      <c r="I33" s="72"/>
      <c r="J33" s="73"/>
      <c r="K33" s="73"/>
      <c r="L33" s="73"/>
      <c r="M33" s="74"/>
      <c r="N33" s="74"/>
      <c r="O33" s="72"/>
      <c r="P33" s="75"/>
    </row>
    <row r="34" customFormat="false" ht="15" hidden="false" customHeight="false" outlineLevel="0" collapsed="false">
      <c r="A34" s="52" t="e">
        <f aca="false">VLOOKUP(E34,'[1]Listas Desplegables'!$H$3:$J$7,2,FALSE())</f>
        <v>#N/A</v>
      </c>
      <c r="B34" s="52" t="e">
        <f aca="false">VLOOKUP(E34,'[1]Listas Desplegables'!$H$3:$J$7,3,FALSE())</f>
        <v>#N/A</v>
      </c>
      <c r="C34" s="69" t="n">
        <v>29</v>
      </c>
      <c r="D34" s="78"/>
      <c r="E34" s="78"/>
      <c r="F34" s="79"/>
      <c r="G34" s="72"/>
      <c r="H34" s="73"/>
      <c r="I34" s="72"/>
      <c r="J34" s="73"/>
      <c r="K34" s="73"/>
      <c r="L34" s="73"/>
      <c r="M34" s="74"/>
      <c r="N34" s="74"/>
      <c r="O34" s="72"/>
      <c r="P34" s="75"/>
    </row>
    <row r="35" customFormat="false" ht="15" hidden="false" customHeight="false" outlineLevel="0" collapsed="false">
      <c r="A35" s="52" t="e">
        <f aca="false">VLOOKUP(E35,'[1]Listas Desplegables'!$H$3:$J$7,2,FALSE())</f>
        <v>#N/A</v>
      </c>
      <c r="B35" s="52" t="e">
        <f aca="false">VLOOKUP(E35,'[1]Listas Desplegables'!$H$3:$J$7,3,FALSE())</f>
        <v>#N/A</v>
      </c>
      <c r="C35" s="76" t="n">
        <v>30</v>
      </c>
      <c r="D35" s="78"/>
      <c r="E35" s="78"/>
      <c r="F35" s="79"/>
      <c r="G35" s="72"/>
      <c r="H35" s="73"/>
      <c r="I35" s="72"/>
      <c r="J35" s="73"/>
      <c r="K35" s="73"/>
      <c r="L35" s="73"/>
      <c r="M35" s="74"/>
      <c r="N35" s="74"/>
      <c r="O35" s="72"/>
      <c r="P35" s="75"/>
    </row>
    <row r="36" customFormat="false" ht="15" hidden="false" customHeight="false" outlineLevel="0" collapsed="false">
      <c r="A36" s="52" t="e">
        <f aca="false">VLOOKUP(E36,'[1]Listas Desplegables'!$H$3:$J$7,2,FALSE())</f>
        <v>#N/A</v>
      </c>
      <c r="B36" s="52" t="e">
        <f aca="false">VLOOKUP(E36,'[1]Listas Desplegables'!$H$3:$J$7,3,FALSE())</f>
        <v>#N/A</v>
      </c>
      <c r="C36" s="69" t="n">
        <v>31</v>
      </c>
      <c r="D36" s="78"/>
      <c r="E36" s="78"/>
      <c r="F36" s="79"/>
      <c r="G36" s="72"/>
      <c r="H36" s="73"/>
      <c r="I36" s="72"/>
      <c r="J36" s="73"/>
      <c r="K36" s="73"/>
      <c r="L36" s="73"/>
      <c r="M36" s="74"/>
      <c r="N36" s="74"/>
      <c r="O36" s="72"/>
      <c r="P36" s="75"/>
    </row>
    <row r="37" customFormat="false" ht="15" hidden="false" customHeight="false" outlineLevel="0" collapsed="false">
      <c r="A37" s="52" t="e">
        <f aca="false">VLOOKUP(E37,'[1]Listas Desplegables'!$H$3:$J$7,2,FALSE())</f>
        <v>#N/A</v>
      </c>
      <c r="B37" s="52" t="e">
        <f aca="false">VLOOKUP(E37,'[1]Listas Desplegables'!$H$3:$J$7,3,FALSE())</f>
        <v>#N/A</v>
      </c>
      <c r="C37" s="69" t="n">
        <v>32</v>
      </c>
      <c r="D37" s="78"/>
      <c r="E37" s="78"/>
      <c r="F37" s="79"/>
      <c r="G37" s="72"/>
      <c r="H37" s="73"/>
      <c r="I37" s="72"/>
      <c r="J37" s="73"/>
      <c r="K37" s="73"/>
      <c r="L37" s="73"/>
      <c r="M37" s="74"/>
      <c r="N37" s="74"/>
      <c r="O37" s="72"/>
      <c r="P37" s="75"/>
    </row>
    <row r="38" customFormat="false" ht="15" hidden="false" customHeight="false" outlineLevel="0" collapsed="false">
      <c r="A38" s="52" t="e">
        <f aca="false">VLOOKUP(E38,'[1]Listas Desplegables'!$H$3:$J$7,2,FALSE())</f>
        <v>#N/A</v>
      </c>
      <c r="B38" s="52" t="e">
        <f aca="false">VLOOKUP(E38,'[1]Listas Desplegables'!$H$3:$J$7,3,FALSE())</f>
        <v>#N/A</v>
      </c>
      <c r="C38" s="69" t="n">
        <v>33</v>
      </c>
      <c r="D38" s="78"/>
      <c r="E38" s="78"/>
      <c r="F38" s="79"/>
      <c r="G38" s="72"/>
      <c r="H38" s="73"/>
      <c r="I38" s="72"/>
      <c r="J38" s="73"/>
      <c r="K38" s="73"/>
      <c r="L38" s="73"/>
      <c r="M38" s="74"/>
      <c r="N38" s="74"/>
      <c r="O38" s="72"/>
      <c r="P38" s="75"/>
    </row>
    <row r="39" customFormat="false" ht="15" hidden="false" customHeight="false" outlineLevel="0" collapsed="false">
      <c r="A39" s="52" t="e">
        <f aca="false">VLOOKUP(E39,'[1]Listas Desplegables'!$H$3:$J$7,2,FALSE())</f>
        <v>#N/A</v>
      </c>
      <c r="B39" s="52" t="e">
        <f aca="false">VLOOKUP(E39,'[1]Listas Desplegables'!$H$3:$J$7,3,FALSE())</f>
        <v>#N/A</v>
      </c>
      <c r="C39" s="69" t="n">
        <v>34</v>
      </c>
      <c r="D39" s="78"/>
      <c r="E39" s="78"/>
      <c r="F39" s="79"/>
      <c r="G39" s="72"/>
      <c r="H39" s="73"/>
      <c r="I39" s="72"/>
      <c r="J39" s="73"/>
      <c r="K39" s="73"/>
      <c r="L39" s="73"/>
      <c r="M39" s="74"/>
      <c r="N39" s="74"/>
      <c r="O39" s="72"/>
      <c r="P39" s="75"/>
    </row>
    <row r="40" customFormat="false" ht="15" hidden="false" customHeight="false" outlineLevel="0" collapsed="false">
      <c r="A40" s="52" t="e">
        <f aca="false">VLOOKUP(E40,'[1]Listas Desplegables'!$H$3:$J$7,2,FALSE())</f>
        <v>#N/A</v>
      </c>
      <c r="B40" s="52" t="e">
        <f aca="false">VLOOKUP(E40,'[1]Listas Desplegables'!$H$3:$J$7,3,FALSE())</f>
        <v>#N/A</v>
      </c>
      <c r="C40" s="69" t="n">
        <v>35</v>
      </c>
      <c r="D40" s="78"/>
      <c r="E40" s="78"/>
      <c r="F40" s="79"/>
      <c r="G40" s="72"/>
      <c r="H40" s="73"/>
      <c r="I40" s="72"/>
      <c r="J40" s="73"/>
      <c r="K40" s="73"/>
      <c r="L40" s="73"/>
      <c r="M40" s="74"/>
      <c r="N40" s="74"/>
      <c r="O40" s="72"/>
      <c r="P40" s="75"/>
    </row>
    <row r="41" customFormat="false" ht="15" hidden="false" customHeight="false" outlineLevel="0" collapsed="false">
      <c r="A41" s="52" t="e">
        <f aca="false">VLOOKUP(E41,'[1]Listas Desplegables'!$H$3:$J$7,2,FALSE())</f>
        <v>#N/A</v>
      </c>
      <c r="B41" s="52" t="e">
        <f aca="false">VLOOKUP(E41,'[1]Listas Desplegables'!$H$3:$J$7,3,FALSE())</f>
        <v>#N/A</v>
      </c>
      <c r="C41" s="69" t="n">
        <v>36</v>
      </c>
      <c r="D41" s="78"/>
      <c r="E41" s="78"/>
      <c r="F41" s="79"/>
      <c r="G41" s="72"/>
      <c r="H41" s="73"/>
      <c r="I41" s="72"/>
      <c r="J41" s="73"/>
      <c r="K41" s="73"/>
      <c r="L41" s="73"/>
      <c r="M41" s="74"/>
      <c r="N41" s="74"/>
      <c r="O41" s="72"/>
      <c r="P41" s="75"/>
    </row>
    <row r="42" customFormat="false" ht="15" hidden="false" customHeight="false" outlineLevel="0" collapsed="false">
      <c r="A42" s="52" t="e">
        <f aca="false">VLOOKUP(E42,'[1]Listas Desplegables'!$H$3:$J$7,2,FALSE())</f>
        <v>#N/A</v>
      </c>
      <c r="B42" s="52" t="e">
        <f aca="false">VLOOKUP(E42,'[1]Listas Desplegables'!$H$3:$J$7,3,FALSE())</f>
        <v>#N/A</v>
      </c>
      <c r="C42" s="69" t="n">
        <v>37</v>
      </c>
      <c r="D42" s="78"/>
      <c r="E42" s="78"/>
      <c r="F42" s="79"/>
      <c r="G42" s="72"/>
      <c r="H42" s="73"/>
      <c r="I42" s="72"/>
      <c r="J42" s="73"/>
      <c r="K42" s="73"/>
      <c r="L42" s="73"/>
      <c r="M42" s="74"/>
      <c r="N42" s="74"/>
      <c r="O42" s="72"/>
      <c r="P42" s="75"/>
    </row>
    <row r="43" customFormat="false" ht="15" hidden="false" customHeight="false" outlineLevel="0" collapsed="false">
      <c r="A43" s="52" t="e">
        <f aca="false">VLOOKUP(E43,'[1]Listas Desplegables'!$H$3:$J$7,2,FALSE())</f>
        <v>#N/A</v>
      </c>
      <c r="B43" s="52" t="e">
        <f aca="false">VLOOKUP(E43,'[1]Listas Desplegables'!$H$3:$J$7,3,FALSE())</f>
        <v>#N/A</v>
      </c>
      <c r="C43" s="69" t="n">
        <v>38</v>
      </c>
      <c r="D43" s="78"/>
      <c r="E43" s="78"/>
      <c r="F43" s="79"/>
      <c r="G43" s="72"/>
      <c r="H43" s="73"/>
      <c r="I43" s="72"/>
      <c r="J43" s="73"/>
      <c r="K43" s="73"/>
      <c r="L43" s="73"/>
      <c r="M43" s="74"/>
      <c r="N43" s="74"/>
      <c r="O43" s="72"/>
      <c r="P43" s="75"/>
    </row>
    <row r="44" customFormat="false" ht="15" hidden="false" customHeight="false" outlineLevel="0" collapsed="false">
      <c r="A44" s="52" t="e">
        <f aca="false">VLOOKUP(E44,'[1]Listas Desplegables'!$H$3:$J$7,2,FALSE())</f>
        <v>#N/A</v>
      </c>
      <c r="B44" s="52" t="e">
        <f aca="false">VLOOKUP(E44,'[1]Listas Desplegables'!$H$3:$J$7,3,FALSE())</f>
        <v>#N/A</v>
      </c>
      <c r="C44" s="76" t="n">
        <v>39</v>
      </c>
      <c r="D44" s="78"/>
      <c r="E44" s="78"/>
      <c r="F44" s="79"/>
      <c r="G44" s="72"/>
      <c r="H44" s="73"/>
      <c r="I44" s="72"/>
      <c r="J44" s="73"/>
      <c r="K44" s="73"/>
      <c r="L44" s="73"/>
      <c r="M44" s="74"/>
      <c r="N44" s="74"/>
      <c r="O44" s="72"/>
      <c r="P44" s="75"/>
    </row>
    <row r="45" customFormat="false" ht="15" hidden="false" customHeight="false" outlineLevel="0" collapsed="false">
      <c r="A45" s="52" t="e">
        <f aca="false">VLOOKUP(E45,'[1]Listas Desplegables'!$H$3:$J$7,2,FALSE())</f>
        <v>#N/A</v>
      </c>
      <c r="B45" s="52" t="e">
        <f aca="false">VLOOKUP(E45,'[1]Listas Desplegables'!$H$3:$J$7,3,FALSE())</f>
        <v>#N/A</v>
      </c>
      <c r="C45" s="77" t="n">
        <v>40</v>
      </c>
      <c r="D45" s="78"/>
      <c r="E45" s="78"/>
      <c r="F45" s="79"/>
      <c r="G45" s="72"/>
      <c r="H45" s="73"/>
      <c r="I45" s="72"/>
      <c r="J45" s="73"/>
      <c r="K45" s="73"/>
      <c r="L45" s="73"/>
      <c r="M45" s="74"/>
      <c r="N45" s="74"/>
      <c r="O45" s="72"/>
      <c r="P45" s="75"/>
    </row>
    <row r="46" customFormat="false" ht="15" hidden="false" customHeight="false" outlineLevel="0" collapsed="false">
      <c r="A46" s="52" t="e">
        <f aca="false">VLOOKUP(E46,'[1]Listas Desplegables'!$H$3:$J$7,2,FALSE())</f>
        <v>#N/A</v>
      </c>
      <c r="B46" s="52" t="e">
        <f aca="false">VLOOKUP(E46,'[1]Listas Desplegables'!$H$3:$J$7,3,FALSE())</f>
        <v>#N/A</v>
      </c>
      <c r="C46" s="76" t="n">
        <v>41</v>
      </c>
      <c r="D46" s="78"/>
      <c r="E46" s="78"/>
      <c r="F46" s="79"/>
      <c r="G46" s="72"/>
      <c r="H46" s="73"/>
      <c r="I46" s="72"/>
      <c r="J46" s="73"/>
      <c r="K46" s="73"/>
      <c r="L46" s="73"/>
      <c r="M46" s="74"/>
      <c r="N46" s="74"/>
      <c r="O46" s="72"/>
      <c r="P46" s="75"/>
    </row>
    <row r="47" customFormat="false" ht="15" hidden="false" customHeight="false" outlineLevel="0" collapsed="false">
      <c r="A47" s="52" t="e">
        <f aca="false">VLOOKUP(E47,'[1]Listas Desplegables'!$H$3:$J$7,2,FALSE())</f>
        <v>#N/A</v>
      </c>
      <c r="B47" s="52" t="e">
        <f aca="false">VLOOKUP(E47,'[1]Listas Desplegables'!$H$3:$J$7,3,FALSE())</f>
        <v>#N/A</v>
      </c>
      <c r="C47" s="69" t="n">
        <v>42</v>
      </c>
      <c r="D47" s="78"/>
      <c r="E47" s="78"/>
      <c r="F47" s="79"/>
      <c r="G47" s="72"/>
      <c r="H47" s="73"/>
      <c r="I47" s="72"/>
      <c r="J47" s="73"/>
      <c r="K47" s="73"/>
      <c r="L47" s="73"/>
      <c r="M47" s="74"/>
      <c r="N47" s="74"/>
      <c r="O47" s="72"/>
      <c r="P47" s="75"/>
    </row>
    <row r="48" customFormat="false" ht="15" hidden="false" customHeight="false" outlineLevel="0" collapsed="false">
      <c r="A48" s="52" t="e">
        <f aca="false">VLOOKUP(E48,'[1]Listas Desplegables'!$H$3:$J$7,2,FALSE())</f>
        <v>#N/A</v>
      </c>
      <c r="B48" s="52" t="e">
        <f aca="false">VLOOKUP(E48,'[1]Listas Desplegables'!$H$3:$J$7,3,FALSE())</f>
        <v>#N/A</v>
      </c>
      <c r="C48" s="69" t="n">
        <v>43</v>
      </c>
      <c r="D48" s="78"/>
      <c r="E48" s="78"/>
      <c r="F48" s="79"/>
      <c r="G48" s="72"/>
      <c r="H48" s="73"/>
      <c r="I48" s="72"/>
      <c r="J48" s="73"/>
      <c r="K48" s="73"/>
      <c r="L48" s="73"/>
      <c r="M48" s="74"/>
      <c r="N48" s="74"/>
      <c r="O48" s="72"/>
      <c r="P48" s="75"/>
    </row>
    <row r="49" customFormat="false" ht="15" hidden="false" customHeight="false" outlineLevel="0" collapsed="false">
      <c r="A49" s="52" t="e">
        <f aca="false">VLOOKUP(E49,'[1]Listas Desplegables'!$H$3:$J$7,2,FALSE())</f>
        <v>#N/A</v>
      </c>
      <c r="B49" s="52" t="e">
        <f aca="false">VLOOKUP(E49,'[1]Listas Desplegables'!$H$3:$J$7,3,FALSE())</f>
        <v>#N/A</v>
      </c>
      <c r="C49" s="69" t="n">
        <v>44</v>
      </c>
      <c r="D49" s="78"/>
      <c r="E49" s="78"/>
      <c r="F49" s="79"/>
      <c r="G49" s="72"/>
      <c r="H49" s="73"/>
      <c r="I49" s="72"/>
      <c r="J49" s="73"/>
      <c r="K49" s="73"/>
      <c r="L49" s="73"/>
      <c r="M49" s="74"/>
      <c r="N49" s="74"/>
      <c r="O49" s="72"/>
      <c r="P49" s="75"/>
    </row>
    <row r="50" customFormat="false" ht="15" hidden="false" customHeight="false" outlineLevel="0" collapsed="false">
      <c r="A50" s="52" t="e">
        <f aca="false">VLOOKUP(E50,'[1]Listas Desplegables'!$H$3:$J$7,2,FALSE())</f>
        <v>#N/A</v>
      </c>
      <c r="B50" s="52" t="e">
        <f aca="false">VLOOKUP(E50,'[1]Listas Desplegables'!$H$3:$J$7,3,FALSE())</f>
        <v>#N/A</v>
      </c>
      <c r="C50" s="69" t="n">
        <v>45</v>
      </c>
      <c r="D50" s="78"/>
      <c r="E50" s="78"/>
      <c r="F50" s="79"/>
      <c r="G50" s="72"/>
      <c r="H50" s="73"/>
      <c r="I50" s="72"/>
      <c r="J50" s="73"/>
      <c r="K50" s="73"/>
      <c r="L50" s="73"/>
      <c r="M50" s="74"/>
      <c r="N50" s="74"/>
      <c r="O50" s="72"/>
      <c r="P50" s="75"/>
    </row>
    <row r="51" customFormat="false" ht="15" hidden="false" customHeight="false" outlineLevel="0" collapsed="false">
      <c r="A51" s="52" t="e">
        <f aca="false">VLOOKUP(E51,'[1]Listas Desplegables'!$H$3:$J$7,2,FALSE())</f>
        <v>#N/A</v>
      </c>
      <c r="B51" s="52" t="e">
        <f aca="false">VLOOKUP(E51,'[1]Listas Desplegables'!$H$3:$J$7,3,FALSE())</f>
        <v>#N/A</v>
      </c>
      <c r="C51" s="69" t="n">
        <v>46</v>
      </c>
      <c r="D51" s="78"/>
      <c r="E51" s="78"/>
      <c r="F51" s="79"/>
      <c r="G51" s="72"/>
      <c r="H51" s="73"/>
      <c r="I51" s="72"/>
      <c r="J51" s="73"/>
      <c r="K51" s="73"/>
      <c r="L51" s="73"/>
      <c r="M51" s="74"/>
      <c r="N51" s="74"/>
      <c r="O51" s="72"/>
      <c r="P51" s="75"/>
    </row>
    <row r="52" customFormat="false" ht="15" hidden="false" customHeight="false" outlineLevel="0" collapsed="false">
      <c r="A52" s="52" t="e">
        <f aca="false">VLOOKUP(E52,'[1]Listas Desplegables'!$H$3:$J$7,2,FALSE())</f>
        <v>#N/A</v>
      </c>
      <c r="B52" s="52" t="e">
        <f aca="false">VLOOKUP(E52,'[1]Listas Desplegables'!$H$3:$J$7,3,FALSE())</f>
        <v>#N/A</v>
      </c>
      <c r="C52" s="69" t="n">
        <v>47</v>
      </c>
      <c r="D52" s="78"/>
      <c r="E52" s="78"/>
      <c r="F52" s="79"/>
      <c r="G52" s="72"/>
      <c r="H52" s="72"/>
      <c r="I52" s="72"/>
      <c r="J52" s="73"/>
      <c r="K52" s="73"/>
      <c r="L52" s="73"/>
      <c r="M52" s="74"/>
      <c r="N52" s="74"/>
      <c r="O52" s="72"/>
      <c r="P52" s="75"/>
    </row>
    <row r="53" customFormat="false" ht="15" hidden="false" customHeight="false" outlineLevel="0" collapsed="false">
      <c r="A53" s="52" t="e">
        <f aca="false">VLOOKUP(E53,'[1]Listas Desplegables'!$H$3:$J$7,2,FALSE())</f>
        <v>#N/A</v>
      </c>
      <c r="B53" s="52" t="e">
        <f aca="false">VLOOKUP(E53,'[1]Listas Desplegables'!$H$3:$J$7,3,FALSE())</f>
        <v>#N/A</v>
      </c>
      <c r="C53" s="69" t="n">
        <v>48</v>
      </c>
      <c r="D53" s="78"/>
      <c r="E53" s="78"/>
      <c r="F53" s="79"/>
      <c r="G53" s="72"/>
      <c r="H53" s="72"/>
      <c r="I53" s="72"/>
      <c r="J53" s="73"/>
      <c r="K53" s="73"/>
      <c r="L53" s="73"/>
      <c r="M53" s="74"/>
      <c r="N53" s="74"/>
      <c r="O53" s="72"/>
      <c r="P53" s="75"/>
    </row>
    <row r="54" customFormat="false" ht="15" hidden="false" customHeight="false" outlineLevel="0" collapsed="false">
      <c r="A54" s="52" t="e">
        <f aca="false">VLOOKUP(E54,'[1]Listas Desplegables'!$H$3:$J$7,2,FALSE())</f>
        <v>#N/A</v>
      </c>
      <c r="B54" s="52" t="e">
        <f aca="false">VLOOKUP(E54,'[1]Listas Desplegables'!$H$3:$J$7,3,FALSE())</f>
        <v>#N/A</v>
      </c>
      <c r="C54" s="69" t="n">
        <v>49</v>
      </c>
      <c r="D54" s="78"/>
      <c r="E54" s="78"/>
      <c r="F54" s="79"/>
      <c r="G54" s="72"/>
      <c r="H54" s="72"/>
      <c r="I54" s="72"/>
      <c r="J54" s="73"/>
      <c r="K54" s="73"/>
      <c r="L54" s="73"/>
      <c r="M54" s="74"/>
      <c r="N54" s="74"/>
      <c r="O54" s="72"/>
      <c r="P54" s="75"/>
    </row>
    <row r="55" customFormat="false" ht="15" hidden="false" customHeight="false" outlineLevel="0" collapsed="false">
      <c r="A55" s="52" t="e">
        <f aca="false">VLOOKUP(E55,'[1]Listas Desplegables'!$H$3:$J$7,2,FALSE())</f>
        <v>#N/A</v>
      </c>
      <c r="B55" s="52" t="e">
        <f aca="false">VLOOKUP(E55,'[1]Listas Desplegables'!$H$3:$J$7,3,FALSE())</f>
        <v>#N/A</v>
      </c>
      <c r="C55" s="76" t="n">
        <v>50</v>
      </c>
      <c r="D55" s="78"/>
      <c r="E55" s="78"/>
      <c r="F55" s="79"/>
      <c r="G55" s="72"/>
      <c r="H55" s="72"/>
      <c r="I55" s="72"/>
      <c r="J55" s="73"/>
      <c r="K55" s="73"/>
      <c r="L55" s="73"/>
      <c r="M55" s="74"/>
      <c r="N55" s="74"/>
      <c r="O55" s="72"/>
      <c r="P55" s="75"/>
    </row>
    <row r="56" customFormat="false" ht="15" hidden="false" customHeight="false" outlineLevel="0" collapsed="false">
      <c r="A56" s="52" t="e">
        <f aca="false">VLOOKUP(E56,'[1]Listas Desplegables'!$H$3:$J$7,2,FALSE())</f>
        <v>#N/A</v>
      </c>
      <c r="B56" s="52" t="e">
        <f aca="false">VLOOKUP(E56,'[1]Listas Desplegables'!$H$3:$J$7,3,FALSE())</f>
        <v>#N/A</v>
      </c>
      <c r="C56" s="69" t="n">
        <v>51</v>
      </c>
      <c r="D56" s="78"/>
      <c r="E56" s="78"/>
      <c r="F56" s="79"/>
      <c r="G56" s="72"/>
      <c r="H56" s="72"/>
      <c r="I56" s="72"/>
      <c r="J56" s="73"/>
      <c r="K56" s="73"/>
      <c r="L56" s="73"/>
      <c r="M56" s="74"/>
      <c r="N56" s="74"/>
      <c r="O56" s="72"/>
      <c r="P56" s="75"/>
    </row>
    <row r="57" customFormat="false" ht="15.75" hidden="false" customHeight="false" outlineLevel="0" collapsed="false">
      <c r="A57" s="52" t="e">
        <f aca="false">VLOOKUP(E57,'[1]Listas Desplegables'!$H$3:$J$7,2,FALSE())</f>
        <v>#N/A</v>
      </c>
      <c r="B57" s="52" t="e">
        <f aca="false">VLOOKUP(E57,'[1]Listas Desplegables'!$H$3:$J$7,3,FALSE())</f>
        <v>#N/A</v>
      </c>
      <c r="C57" s="84" t="s">
        <v>842</v>
      </c>
      <c r="D57" s="85"/>
      <c r="E57" s="85"/>
      <c r="F57" s="85"/>
      <c r="G57" s="86"/>
      <c r="H57" s="86"/>
      <c r="I57" s="86"/>
      <c r="J57" s="86"/>
      <c r="K57" s="86"/>
      <c r="L57" s="86"/>
      <c r="M57" s="87"/>
      <c r="N57" s="87"/>
      <c r="O57" s="86"/>
      <c r="P57" s="88"/>
    </row>
  </sheetData>
  <mergeCells count="15">
    <mergeCell ref="C3:P3"/>
    <mergeCell ref="C4:C5"/>
    <mergeCell ref="D4:D5"/>
    <mergeCell ref="E4:E5"/>
    <mergeCell ref="F4:F5"/>
    <mergeCell ref="G4:G5"/>
    <mergeCell ref="H4:H5"/>
    <mergeCell ref="I4:I5"/>
    <mergeCell ref="J4:J5"/>
    <mergeCell ref="K4:K5"/>
    <mergeCell ref="L4:L5"/>
    <mergeCell ref="M4:M5"/>
    <mergeCell ref="N4:N5"/>
    <mergeCell ref="O4:O5"/>
    <mergeCell ref="P4:P5"/>
  </mergeCells>
  <dataValidations count="8">
    <dataValidation allowBlank="true" errorStyle="stop" operator="between" showDropDown="false" showErrorMessage="true" showInputMessage="true" sqref="F6:G51 I6:I51 F52:I1057" type="decimal">
      <formula1>-1000000</formula1>
      <formula2>10000000</formula2>
    </dataValidation>
    <dataValidation allowBlank="true" errorStyle="stop" operator="greaterThan" showDropDown="false" showErrorMessage="true" showInputMessage="true" sqref="M6:M1057 O58:O1057" type="date">
      <formula1>1</formula1>
      <formula2>0</formula2>
    </dataValidation>
    <dataValidation allowBlank="true" errorStyle="stop" operator="greaterThan" showDropDown="false" showErrorMessage="true" showInputMessage="true" sqref="N1:N1057" type="none">
      <formula1>0</formula1>
      <formula2>0</formula2>
    </dataValidation>
    <dataValidation allowBlank="true" errorStyle="stop" operator="between" showDropDown="false" showErrorMessage="true" showInputMessage="true" sqref="J6:J1057" type="list">
      <formula1>'Listas Desplegables'!$B$63:$B$64</formula1>
      <formula2>0</formula2>
    </dataValidation>
    <dataValidation allowBlank="true" errorStyle="stop" operator="between" showDropDown="false" showErrorMessage="true" showInputMessage="true" sqref="K6:K1057" type="list">
      <formula1>'Listas Desplegables'!$B$66:$B$67</formula1>
      <formula2>0</formula2>
    </dataValidation>
    <dataValidation allowBlank="true" errorStyle="stop" operator="between" showDropDown="false" showErrorMessage="true" showInputMessage="true" sqref="L6:L1057" type="list">
      <formula1>'Listas Desplegables'!$B$69:$B$70</formula1>
      <formula2>0</formula2>
    </dataValidation>
    <dataValidation allowBlank="true" errorStyle="stop" operator="between" showDropDown="false" showErrorMessage="true" showInputMessage="true" sqref="H6:H51" type="list">
      <formula1>'Listas Desplegables'!$B$72:$B$73</formula1>
      <formula2>0</formula2>
    </dataValidation>
    <dataValidation allowBlank="true" errorStyle="stop" operator="between" showDropDown="false" showErrorMessage="true" showInputMessage="true" sqref="O6:O57" type="list">
      <formula1>'Listas Desplegables'!$B$90:$B$93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2:N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M6" activeCellId="0" sqref="M6"/>
    </sheetView>
  </sheetViews>
  <sheetFormatPr defaultColWidth="11.57421875" defaultRowHeight="15" zeroHeight="false" outlineLevelRow="0" outlineLevelCol="0"/>
  <cols>
    <col collapsed="false" customWidth="true" hidden="false" outlineLevel="0" max="2" min="1" style="52" width="3"/>
    <col collapsed="false" customWidth="true" hidden="false" outlineLevel="0" max="3" min="3" style="53" width="6.7"/>
    <col collapsed="false" customWidth="true" hidden="false" outlineLevel="0" max="4" min="4" style="1" width="33"/>
    <col collapsed="false" customWidth="true" hidden="false" outlineLevel="0" max="5" min="5" style="1" width="20.57"/>
    <col collapsed="false" customWidth="true" hidden="false" outlineLevel="0" max="8" min="6" style="1" width="12.72"/>
    <col collapsed="false" customWidth="true" hidden="false" outlineLevel="0" max="9" min="9" style="54" width="12.72"/>
    <col collapsed="false" customWidth="true" hidden="false" outlineLevel="0" max="10" min="10" style="1" width="12.72"/>
    <col collapsed="false" customWidth="true" hidden="false" outlineLevel="0" max="14" min="14" style="1" width="29.43"/>
  </cols>
  <sheetData>
    <row r="2" customFormat="false" ht="15.75" hidden="false" customHeight="false" outlineLevel="0" collapsed="false"/>
    <row r="3" s="57" customFormat="true" ht="15.75" hidden="false" customHeight="false" outlineLevel="0" collapsed="false">
      <c r="A3" s="55"/>
      <c r="B3" s="55"/>
      <c r="C3" s="56" t="s">
        <v>1779</v>
      </c>
      <c r="D3" s="56"/>
      <c r="E3" s="56"/>
      <c r="F3" s="56"/>
      <c r="G3" s="56"/>
      <c r="H3" s="56"/>
      <c r="I3" s="56"/>
      <c r="J3" s="56"/>
      <c r="K3" s="56"/>
      <c r="L3" s="56"/>
      <c r="M3" s="56"/>
      <c r="N3" s="56"/>
    </row>
    <row r="4" s="61" customFormat="true" ht="12" hidden="false" customHeight="true" outlineLevel="0" collapsed="false">
      <c r="A4" s="58"/>
      <c r="B4" s="58"/>
      <c r="C4" s="59" t="s">
        <v>194</v>
      </c>
      <c r="D4" s="60" t="str">
        <f aca="false">'Manual de Uso'!C151</f>
        <v>Nombre</v>
      </c>
      <c r="E4" s="60" t="str">
        <f aca="false">'Manual de Uso'!C152</f>
        <v>Subestación</v>
      </c>
      <c r="F4" s="60" t="str">
        <f aca="false">'Manual de Uso'!C153</f>
        <v>Nivel de tensión [kV]</v>
      </c>
      <c r="G4" s="60" t="str">
        <f aca="false">'Manual de Uso'!C154</f>
        <v>Tecnología</v>
      </c>
      <c r="H4" s="60" t="str">
        <f aca="false">'Manual de Uso'!C155</f>
        <v>En Operación</v>
      </c>
      <c r="I4" s="90" t="str">
        <f aca="false">'Manual de Uso'!C156</f>
        <v>FPO</v>
      </c>
      <c r="J4" s="60" t="str">
        <f aca="false">'Manual de Uso'!C157</f>
        <v>Qmin [MVAr]</v>
      </c>
      <c r="K4" s="60" t="str">
        <f aca="false">'Manual de Uso'!C158</f>
        <v>Qmax [MVAr]</v>
      </c>
      <c r="L4" s="60" t="str">
        <f aca="false">'Manual de Uso'!C159</f>
        <v>Operador</v>
      </c>
      <c r="M4" s="60" t="str">
        <f aca="false">'Manual de Uso'!C160</f>
        <v>Tipo activo Uso/Conexión</v>
      </c>
      <c r="N4" s="60" t="str">
        <f aca="false">'Manual de Uso'!C161</f>
        <v>Observaciones transportador</v>
      </c>
    </row>
    <row r="5" s="61" customFormat="true" ht="24" hidden="false" customHeight="true" outlineLevel="0" collapsed="false">
      <c r="A5" s="58"/>
      <c r="B5" s="58"/>
      <c r="C5" s="59"/>
      <c r="D5" s="60"/>
      <c r="E5" s="60"/>
      <c r="F5" s="60"/>
      <c r="G5" s="60"/>
      <c r="H5" s="60"/>
      <c r="I5" s="90"/>
      <c r="J5" s="60"/>
      <c r="K5" s="60"/>
      <c r="L5" s="60"/>
      <c r="M5" s="60"/>
      <c r="N5" s="60"/>
    </row>
    <row r="6" customFormat="false" ht="15" hidden="false" customHeight="false" outlineLevel="0" collapsed="false">
      <c r="A6" s="52" t="e">
        <f aca="false">VLOOKUP(#REF!,'[1]Listas Desplegables'!$H$3:$J$7,2,FALSE())</f>
        <v>#VALUE!</v>
      </c>
      <c r="B6" s="52" t="e">
        <f aca="false">VLOOKUP(#REF!,'[1]Listas Desplegables'!$H$3:$J$7,3,FALSE())</f>
        <v>#VALUE!</v>
      </c>
      <c r="C6" s="62" t="n">
        <v>1</v>
      </c>
      <c r="D6" s="63"/>
      <c r="E6" s="63"/>
      <c r="F6" s="64"/>
      <c r="G6" s="64"/>
      <c r="H6" s="65"/>
      <c r="I6" s="67"/>
      <c r="J6" s="65"/>
      <c r="K6" s="65"/>
      <c r="L6" s="65"/>
      <c r="M6" s="65"/>
      <c r="N6" s="68"/>
    </row>
    <row r="7" customFormat="false" ht="15" hidden="false" customHeight="false" outlineLevel="0" collapsed="false">
      <c r="A7" s="52" t="e">
        <f aca="false">VLOOKUP(#REF!,'[1]Listas Desplegables'!$H$3:$J$7,2,FALSE())</f>
        <v>#VALUE!</v>
      </c>
      <c r="B7" s="52" t="e">
        <f aca="false">VLOOKUP(#REF!,'[1]Listas Desplegables'!$H$3:$J$7,3,FALSE())</f>
        <v>#VALUE!</v>
      </c>
      <c r="C7" s="69" t="n">
        <v>2</v>
      </c>
      <c r="D7" s="70"/>
      <c r="E7" s="70"/>
      <c r="F7" s="71"/>
      <c r="G7" s="71"/>
      <c r="H7" s="72"/>
      <c r="I7" s="74"/>
      <c r="J7" s="72"/>
      <c r="K7" s="72"/>
      <c r="L7" s="72"/>
      <c r="M7" s="72"/>
      <c r="N7" s="75"/>
    </row>
    <row r="8" customFormat="false" ht="15" hidden="false" customHeight="false" outlineLevel="0" collapsed="false">
      <c r="A8" s="52" t="e">
        <f aca="false">VLOOKUP(#REF!,'[1]Listas Desplegables'!$H$3:$J$7,2,FALSE())</f>
        <v>#VALUE!</v>
      </c>
      <c r="B8" s="52" t="e">
        <f aca="false">VLOOKUP(#REF!,'[1]Listas Desplegables'!$H$3:$J$7,3,FALSE())</f>
        <v>#VALUE!</v>
      </c>
      <c r="C8" s="69" t="n">
        <v>3</v>
      </c>
      <c r="D8" s="70"/>
      <c r="E8" s="70"/>
      <c r="F8" s="71"/>
      <c r="G8" s="71"/>
      <c r="H8" s="72"/>
      <c r="I8" s="74"/>
      <c r="J8" s="72"/>
      <c r="K8" s="72"/>
      <c r="L8" s="72"/>
      <c r="M8" s="72"/>
      <c r="N8" s="75"/>
    </row>
    <row r="9" customFormat="false" ht="15" hidden="false" customHeight="false" outlineLevel="0" collapsed="false">
      <c r="A9" s="52" t="e">
        <f aca="false">VLOOKUP(#REF!,'[1]Listas Desplegables'!$H$3:$J$7,2,FALSE())</f>
        <v>#VALUE!</v>
      </c>
      <c r="B9" s="52" t="e">
        <f aca="false">VLOOKUP(#REF!,'[1]Listas Desplegables'!$H$3:$J$7,3,FALSE())</f>
        <v>#VALUE!</v>
      </c>
      <c r="C9" s="69" t="n">
        <v>4</v>
      </c>
      <c r="D9" s="70"/>
      <c r="E9" s="70"/>
      <c r="F9" s="71"/>
      <c r="G9" s="71"/>
      <c r="H9" s="72"/>
      <c r="I9" s="74"/>
      <c r="J9" s="72"/>
      <c r="K9" s="72"/>
      <c r="L9" s="72"/>
      <c r="M9" s="72"/>
      <c r="N9" s="75"/>
    </row>
    <row r="10" customFormat="false" ht="15" hidden="false" customHeight="false" outlineLevel="0" collapsed="false">
      <c r="A10" s="52" t="e">
        <f aca="false">VLOOKUP(#REF!,'[1]Listas Desplegables'!$H$3:$J$7,2,FALSE())</f>
        <v>#VALUE!</v>
      </c>
      <c r="B10" s="52" t="e">
        <f aca="false">VLOOKUP(#REF!,'[1]Listas Desplegables'!$H$3:$J$7,3,FALSE())</f>
        <v>#VALUE!</v>
      </c>
      <c r="C10" s="69" t="n">
        <v>5</v>
      </c>
      <c r="D10" s="70"/>
      <c r="E10" s="70"/>
      <c r="F10" s="71"/>
      <c r="G10" s="71"/>
      <c r="H10" s="72"/>
      <c r="I10" s="74"/>
      <c r="J10" s="72"/>
      <c r="K10" s="72"/>
      <c r="L10" s="72"/>
      <c r="M10" s="72"/>
      <c r="N10" s="75"/>
    </row>
    <row r="11" customFormat="false" ht="15" hidden="false" customHeight="false" outlineLevel="0" collapsed="false">
      <c r="A11" s="52" t="e">
        <f aca="false">VLOOKUP(#REF!,'[1]Listas Desplegables'!$H$3:$J$7,2,FALSE())</f>
        <v>#VALUE!</v>
      </c>
      <c r="B11" s="52" t="e">
        <f aca="false">VLOOKUP(#REF!,'[1]Listas Desplegables'!$H$3:$J$7,3,FALSE())</f>
        <v>#VALUE!</v>
      </c>
      <c r="C11" s="69" t="n">
        <v>6</v>
      </c>
      <c r="D11" s="70"/>
      <c r="E11" s="70"/>
      <c r="F11" s="71"/>
      <c r="G11" s="71"/>
      <c r="H11" s="72"/>
      <c r="I11" s="74"/>
      <c r="J11" s="72"/>
      <c r="K11" s="72"/>
      <c r="L11" s="72"/>
      <c r="M11" s="72"/>
      <c r="N11" s="75"/>
    </row>
    <row r="12" customFormat="false" ht="15" hidden="false" customHeight="false" outlineLevel="0" collapsed="false">
      <c r="A12" s="52" t="e">
        <f aca="false">VLOOKUP(#REF!,'[1]Listas Desplegables'!$H$3:$J$7,2,FALSE())</f>
        <v>#VALUE!</v>
      </c>
      <c r="B12" s="52" t="e">
        <f aca="false">VLOOKUP(#REF!,'[1]Listas Desplegables'!$H$3:$J$7,3,FALSE())</f>
        <v>#VALUE!</v>
      </c>
      <c r="C12" s="69" t="n">
        <v>7</v>
      </c>
      <c r="D12" s="70"/>
      <c r="E12" s="70"/>
      <c r="F12" s="71"/>
      <c r="G12" s="71"/>
      <c r="H12" s="72"/>
      <c r="I12" s="74"/>
      <c r="J12" s="72"/>
      <c r="K12" s="72"/>
      <c r="L12" s="72"/>
      <c r="M12" s="72"/>
      <c r="N12" s="75"/>
    </row>
    <row r="13" customFormat="false" ht="15" hidden="false" customHeight="false" outlineLevel="0" collapsed="false">
      <c r="A13" s="52" t="e">
        <f aca="false">VLOOKUP(#REF!,'[1]Listas Desplegables'!$H$3:$J$7,2,FALSE())</f>
        <v>#VALUE!</v>
      </c>
      <c r="B13" s="52" t="e">
        <f aca="false">VLOOKUP(#REF!,'[1]Listas Desplegables'!$H$3:$J$7,3,FALSE())</f>
        <v>#VALUE!</v>
      </c>
      <c r="C13" s="69" t="n">
        <v>8</v>
      </c>
      <c r="D13" s="70"/>
      <c r="E13" s="70"/>
      <c r="F13" s="71"/>
      <c r="G13" s="71"/>
      <c r="H13" s="72"/>
      <c r="I13" s="74"/>
      <c r="J13" s="72"/>
      <c r="K13" s="72"/>
      <c r="L13" s="72"/>
      <c r="M13" s="72"/>
      <c r="N13" s="75"/>
    </row>
    <row r="14" customFormat="false" ht="15" hidden="false" customHeight="false" outlineLevel="0" collapsed="false">
      <c r="A14" s="52" t="e">
        <f aca="false">VLOOKUP(#REF!,'[1]Listas Desplegables'!$H$3:$J$7,2,FALSE())</f>
        <v>#VALUE!</v>
      </c>
      <c r="B14" s="52" t="e">
        <f aca="false">VLOOKUP(#REF!,'[1]Listas Desplegables'!$H$3:$J$7,3,FALSE())</f>
        <v>#VALUE!</v>
      </c>
      <c r="C14" s="69" t="n">
        <v>9</v>
      </c>
      <c r="D14" s="70"/>
      <c r="E14" s="70"/>
      <c r="F14" s="71"/>
      <c r="G14" s="71"/>
      <c r="H14" s="72"/>
      <c r="I14" s="74"/>
      <c r="J14" s="72"/>
      <c r="K14" s="72"/>
      <c r="L14" s="72"/>
      <c r="M14" s="72"/>
      <c r="N14" s="75"/>
    </row>
    <row r="15" customFormat="false" ht="15" hidden="false" customHeight="false" outlineLevel="0" collapsed="false">
      <c r="A15" s="52" t="e">
        <f aca="false">VLOOKUP(#REF!,'[1]Listas Desplegables'!$H$3:$J$7,2,FALSE())</f>
        <v>#VALUE!</v>
      </c>
      <c r="B15" s="52" t="e">
        <f aca="false">VLOOKUP(#REF!,'[1]Listas Desplegables'!$H$3:$J$7,3,FALSE())</f>
        <v>#VALUE!</v>
      </c>
      <c r="C15" s="76" t="n">
        <v>10</v>
      </c>
      <c r="D15" s="70"/>
      <c r="E15" s="70"/>
      <c r="F15" s="71"/>
      <c r="G15" s="71"/>
      <c r="H15" s="72"/>
      <c r="I15" s="74"/>
      <c r="J15" s="72"/>
      <c r="K15" s="72"/>
      <c r="L15" s="72"/>
      <c r="M15" s="72"/>
      <c r="N15" s="75"/>
    </row>
    <row r="16" customFormat="false" ht="15" hidden="false" customHeight="false" outlineLevel="0" collapsed="false">
      <c r="A16" s="52" t="e">
        <f aca="false">VLOOKUP(#REF!,'[1]Listas Desplegables'!$H$3:$J$7,2,FALSE())</f>
        <v>#VALUE!</v>
      </c>
      <c r="B16" s="52" t="e">
        <f aca="false">VLOOKUP(#REF!,'[1]Listas Desplegables'!$H$3:$J$7,3,FALSE())</f>
        <v>#VALUE!</v>
      </c>
      <c r="C16" s="69" t="n">
        <v>11</v>
      </c>
      <c r="D16" s="70"/>
      <c r="E16" s="70"/>
      <c r="F16" s="71"/>
      <c r="G16" s="71"/>
      <c r="H16" s="72"/>
      <c r="I16" s="74"/>
      <c r="J16" s="72"/>
      <c r="K16" s="72"/>
      <c r="L16" s="72"/>
      <c r="M16" s="72"/>
      <c r="N16" s="75"/>
    </row>
    <row r="17" customFormat="false" ht="15" hidden="false" customHeight="false" outlineLevel="0" collapsed="false">
      <c r="A17" s="52" t="e">
        <f aca="false">VLOOKUP(#REF!,'[1]Listas Desplegables'!$H$3:$J$7,2,FALSE())</f>
        <v>#VALUE!</v>
      </c>
      <c r="B17" s="52" t="e">
        <f aca="false">VLOOKUP(#REF!,'[1]Listas Desplegables'!$H$3:$J$7,3,FALSE())</f>
        <v>#VALUE!</v>
      </c>
      <c r="C17" s="69" t="n">
        <v>12</v>
      </c>
      <c r="D17" s="70"/>
      <c r="E17" s="70"/>
      <c r="F17" s="71"/>
      <c r="G17" s="71"/>
      <c r="H17" s="72"/>
      <c r="I17" s="74"/>
      <c r="J17" s="72"/>
      <c r="K17" s="72"/>
      <c r="L17" s="72"/>
      <c r="M17" s="72"/>
      <c r="N17" s="75"/>
    </row>
    <row r="18" customFormat="false" ht="15" hidden="false" customHeight="false" outlineLevel="0" collapsed="false">
      <c r="A18" s="52" t="e">
        <f aca="false">VLOOKUP(#REF!,'[1]Listas Desplegables'!$H$3:$J$7,2,FALSE())</f>
        <v>#VALUE!</v>
      </c>
      <c r="B18" s="52" t="e">
        <f aca="false">VLOOKUP(#REF!,'[1]Listas Desplegables'!$H$3:$J$7,3,FALSE())</f>
        <v>#VALUE!</v>
      </c>
      <c r="C18" s="69" t="n">
        <v>13</v>
      </c>
      <c r="D18" s="70"/>
      <c r="E18" s="70"/>
      <c r="F18" s="71"/>
      <c r="G18" s="71"/>
      <c r="H18" s="72"/>
      <c r="I18" s="74"/>
      <c r="J18" s="72"/>
      <c r="K18" s="72"/>
      <c r="L18" s="72"/>
      <c r="M18" s="72"/>
      <c r="N18" s="75"/>
    </row>
    <row r="19" customFormat="false" ht="15" hidden="false" customHeight="false" outlineLevel="0" collapsed="false">
      <c r="A19" s="52" t="e">
        <f aca="false">VLOOKUP(#REF!,'[1]Listas Desplegables'!$H$3:$J$7,2,FALSE())</f>
        <v>#VALUE!</v>
      </c>
      <c r="B19" s="52" t="e">
        <f aca="false">VLOOKUP(#REF!,'[1]Listas Desplegables'!$H$3:$J$7,3,FALSE())</f>
        <v>#VALUE!</v>
      </c>
      <c r="C19" s="69" t="n">
        <v>14</v>
      </c>
      <c r="D19" s="70"/>
      <c r="E19" s="70"/>
      <c r="F19" s="71"/>
      <c r="G19" s="71"/>
      <c r="H19" s="72"/>
      <c r="I19" s="74"/>
      <c r="J19" s="72"/>
      <c r="K19" s="72"/>
      <c r="L19" s="72"/>
      <c r="M19" s="72"/>
      <c r="N19" s="75"/>
    </row>
    <row r="20" customFormat="false" ht="15" hidden="false" customHeight="false" outlineLevel="0" collapsed="false">
      <c r="A20" s="52" t="e">
        <f aca="false">VLOOKUP(#REF!,'[1]Listas Desplegables'!$H$3:$J$7,2,FALSE())</f>
        <v>#VALUE!</v>
      </c>
      <c r="B20" s="52" t="e">
        <f aca="false">VLOOKUP(#REF!,'[1]Listas Desplegables'!$H$3:$J$7,3,FALSE())</f>
        <v>#VALUE!</v>
      </c>
      <c r="C20" s="69" t="n">
        <v>15</v>
      </c>
      <c r="D20" s="70"/>
      <c r="E20" s="70"/>
      <c r="F20" s="71"/>
      <c r="G20" s="71"/>
      <c r="H20" s="72"/>
      <c r="I20" s="74"/>
      <c r="J20" s="72"/>
      <c r="K20" s="72"/>
      <c r="L20" s="72"/>
      <c r="M20" s="72"/>
      <c r="N20" s="75"/>
    </row>
    <row r="21" customFormat="false" ht="15" hidden="false" customHeight="false" outlineLevel="0" collapsed="false">
      <c r="A21" s="52" t="e">
        <f aca="false">VLOOKUP(#REF!,'[1]Listas Desplegables'!$H$3:$J$7,2,FALSE())</f>
        <v>#VALUE!</v>
      </c>
      <c r="B21" s="52" t="e">
        <f aca="false">VLOOKUP(#REF!,'[1]Listas Desplegables'!$H$3:$J$7,3,FALSE())</f>
        <v>#VALUE!</v>
      </c>
      <c r="C21" s="69" t="n">
        <v>16</v>
      </c>
      <c r="D21" s="70"/>
      <c r="E21" s="70"/>
      <c r="F21" s="71"/>
      <c r="G21" s="71"/>
      <c r="H21" s="72"/>
      <c r="I21" s="74"/>
      <c r="J21" s="72"/>
      <c r="K21" s="72"/>
      <c r="L21" s="72"/>
      <c r="M21" s="72"/>
      <c r="N21" s="75"/>
    </row>
    <row r="22" customFormat="false" ht="15" hidden="false" customHeight="false" outlineLevel="0" collapsed="false">
      <c r="A22" s="52" t="e">
        <f aca="false">VLOOKUP(#REF!,'[1]Listas Desplegables'!$H$3:$J$7,2,FALSE())</f>
        <v>#VALUE!</v>
      </c>
      <c r="B22" s="52" t="e">
        <f aca="false">VLOOKUP(#REF!,'[1]Listas Desplegables'!$H$3:$J$7,3,FALSE())</f>
        <v>#VALUE!</v>
      </c>
      <c r="C22" s="69" t="n">
        <v>17</v>
      </c>
      <c r="D22" s="70"/>
      <c r="E22" s="70"/>
      <c r="F22" s="71"/>
      <c r="G22" s="71"/>
      <c r="H22" s="72"/>
      <c r="I22" s="74"/>
      <c r="J22" s="72"/>
      <c r="K22" s="72"/>
      <c r="L22" s="72"/>
      <c r="M22" s="72"/>
      <c r="N22" s="75"/>
    </row>
    <row r="23" customFormat="false" ht="15" hidden="false" customHeight="false" outlineLevel="0" collapsed="false">
      <c r="A23" s="52" t="e">
        <f aca="false">VLOOKUP(#REF!,'[1]Listas Desplegables'!$H$3:$J$7,2,FALSE())</f>
        <v>#VALUE!</v>
      </c>
      <c r="B23" s="52" t="e">
        <f aca="false">VLOOKUP(#REF!,'[1]Listas Desplegables'!$H$3:$J$7,3,FALSE())</f>
        <v>#VALUE!</v>
      </c>
      <c r="C23" s="69" t="n">
        <v>18</v>
      </c>
      <c r="D23" s="70"/>
      <c r="E23" s="70"/>
      <c r="F23" s="71"/>
      <c r="G23" s="71"/>
      <c r="H23" s="72"/>
      <c r="I23" s="74"/>
      <c r="J23" s="72"/>
      <c r="K23" s="72"/>
      <c r="L23" s="72"/>
      <c r="M23" s="72"/>
      <c r="N23" s="75"/>
    </row>
    <row r="24" customFormat="false" ht="15" hidden="false" customHeight="false" outlineLevel="0" collapsed="false">
      <c r="A24" s="52" t="e">
        <f aca="false">VLOOKUP(#REF!,'[1]Listas Desplegables'!$H$3:$J$7,2,FALSE())</f>
        <v>#VALUE!</v>
      </c>
      <c r="B24" s="52" t="e">
        <f aca="false">VLOOKUP(#REF!,'[1]Listas Desplegables'!$H$3:$J$7,3,FALSE())</f>
        <v>#VALUE!</v>
      </c>
      <c r="C24" s="76" t="n">
        <v>19</v>
      </c>
      <c r="D24" s="70"/>
      <c r="E24" s="70"/>
      <c r="F24" s="71"/>
      <c r="G24" s="71"/>
      <c r="H24" s="72"/>
      <c r="I24" s="74"/>
      <c r="J24" s="72"/>
      <c r="K24" s="72"/>
      <c r="L24" s="72"/>
      <c r="M24" s="72"/>
      <c r="N24" s="75"/>
    </row>
    <row r="25" customFormat="false" ht="15" hidden="false" customHeight="false" outlineLevel="0" collapsed="false">
      <c r="A25" s="52" t="e">
        <f aca="false">VLOOKUP(#REF!,'[1]Listas Desplegables'!$H$3:$J$7,2,FALSE())</f>
        <v>#VALUE!</v>
      </c>
      <c r="B25" s="52" t="e">
        <f aca="false">VLOOKUP(#REF!,'[1]Listas Desplegables'!$H$3:$J$7,3,FALSE())</f>
        <v>#VALUE!</v>
      </c>
      <c r="C25" s="77" t="n">
        <v>20</v>
      </c>
      <c r="D25" s="78"/>
      <c r="E25" s="78"/>
      <c r="F25" s="79"/>
      <c r="G25" s="71"/>
      <c r="H25" s="72"/>
      <c r="I25" s="74"/>
      <c r="J25" s="72"/>
      <c r="K25" s="72"/>
      <c r="L25" s="72"/>
      <c r="M25" s="72"/>
      <c r="N25" s="75"/>
    </row>
    <row r="26" customFormat="false" ht="15" hidden="false" customHeight="false" outlineLevel="0" collapsed="false">
      <c r="A26" s="52" t="e">
        <f aca="false">VLOOKUP(#REF!,'[1]Listas Desplegables'!$H$3:$J$7,2,FALSE())</f>
        <v>#VALUE!</v>
      </c>
      <c r="B26" s="52" t="e">
        <f aca="false">VLOOKUP(#REF!,'[1]Listas Desplegables'!$H$3:$J$7,3,FALSE())</f>
        <v>#VALUE!</v>
      </c>
      <c r="C26" s="76" t="n">
        <v>21</v>
      </c>
      <c r="D26" s="78"/>
      <c r="E26" s="78"/>
      <c r="F26" s="79"/>
      <c r="G26" s="71"/>
      <c r="H26" s="72"/>
      <c r="I26" s="74"/>
      <c r="J26" s="72"/>
      <c r="K26" s="72"/>
      <c r="L26" s="72"/>
      <c r="M26" s="72"/>
      <c r="N26" s="75"/>
    </row>
    <row r="27" customFormat="false" ht="15" hidden="false" customHeight="false" outlineLevel="0" collapsed="false">
      <c r="A27" s="52" t="e">
        <f aca="false">VLOOKUP(#REF!,'[1]Listas Desplegables'!$H$3:$J$7,2,FALSE())</f>
        <v>#VALUE!</v>
      </c>
      <c r="B27" s="52" t="e">
        <f aca="false">VLOOKUP(#REF!,'[1]Listas Desplegables'!$H$3:$J$7,3,FALSE())</f>
        <v>#VALUE!</v>
      </c>
      <c r="C27" s="69" t="n">
        <v>22</v>
      </c>
      <c r="D27" s="78"/>
      <c r="E27" s="78"/>
      <c r="F27" s="79"/>
      <c r="G27" s="71"/>
      <c r="H27" s="72"/>
      <c r="I27" s="74"/>
      <c r="J27" s="72"/>
      <c r="K27" s="72"/>
      <c r="L27" s="72"/>
      <c r="M27" s="72"/>
      <c r="N27" s="75"/>
    </row>
    <row r="28" customFormat="false" ht="15" hidden="false" customHeight="false" outlineLevel="0" collapsed="false">
      <c r="A28" s="52" t="e">
        <f aca="false">VLOOKUP(#REF!,'[1]Listas Desplegables'!$H$3:$J$7,2,FALSE())</f>
        <v>#VALUE!</v>
      </c>
      <c r="B28" s="52" t="e">
        <f aca="false">VLOOKUP(#REF!,'[1]Listas Desplegables'!$H$3:$J$7,3,FALSE())</f>
        <v>#VALUE!</v>
      </c>
      <c r="C28" s="69" t="n">
        <v>23</v>
      </c>
      <c r="D28" s="78"/>
      <c r="E28" s="78"/>
      <c r="F28" s="79"/>
      <c r="G28" s="71"/>
      <c r="H28" s="72"/>
      <c r="I28" s="74"/>
      <c r="J28" s="72"/>
      <c r="K28" s="72"/>
      <c r="L28" s="72"/>
      <c r="M28" s="72"/>
      <c r="N28" s="75"/>
    </row>
    <row r="29" customFormat="false" ht="15" hidden="false" customHeight="false" outlineLevel="0" collapsed="false">
      <c r="A29" s="52" t="e">
        <f aca="false">VLOOKUP(#REF!,'[1]Listas Desplegables'!$H$3:$J$7,2,FALSE())</f>
        <v>#VALUE!</v>
      </c>
      <c r="B29" s="52" t="e">
        <f aca="false">VLOOKUP(#REF!,'[1]Listas Desplegables'!$H$3:$J$7,3,FALSE())</f>
        <v>#VALUE!</v>
      </c>
      <c r="C29" s="69" t="n">
        <v>24</v>
      </c>
      <c r="D29" s="78"/>
      <c r="E29" s="78"/>
      <c r="F29" s="79"/>
      <c r="G29" s="71"/>
      <c r="H29" s="72"/>
      <c r="I29" s="74"/>
      <c r="J29" s="72"/>
      <c r="K29" s="72"/>
      <c r="L29" s="72"/>
      <c r="M29" s="72"/>
      <c r="N29" s="75"/>
    </row>
    <row r="30" customFormat="false" ht="15" hidden="false" customHeight="false" outlineLevel="0" collapsed="false">
      <c r="A30" s="52" t="e">
        <f aca="false">VLOOKUP(#REF!,'[1]Listas Desplegables'!$H$3:$J$7,2,FALSE())</f>
        <v>#VALUE!</v>
      </c>
      <c r="B30" s="52" t="e">
        <f aca="false">VLOOKUP(#REF!,'[1]Listas Desplegables'!$H$3:$J$7,3,FALSE())</f>
        <v>#VALUE!</v>
      </c>
      <c r="C30" s="69" t="n">
        <v>25</v>
      </c>
      <c r="D30" s="78"/>
      <c r="E30" s="78"/>
      <c r="F30" s="79"/>
      <c r="G30" s="71"/>
      <c r="H30" s="72"/>
      <c r="I30" s="74"/>
      <c r="J30" s="72"/>
      <c r="K30" s="72"/>
      <c r="L30" s="72"/>
      <c r="M30" s="72"/>
      <c r="N30" s="75"/>
    </row>
    <row r="31" customFormat="false" ht="15" hidden="false" customHeight="false" outlineLevel="0" collapsed="false">
      <c r="A31" s="52" t="e">
        <f aca="false">VLOOKUP(#REF!,'[1]Listas Desplegables'!$H$3:$J$7,2,FALSE())</f>
        <v>#VALUE!</v>
      </c>
      <c r="B31" s="52" t="e">
        <f aca="false">VLOOKUP(#REF!,'[1]Listas Desplegables'!$H$3:$J$7,3,FALSE())</f>
        <v>#VALUE!</v>
      </c>
      <c r="C31" s="69" t="n">
        <v>26</v>
      </c>
      <c r="D31" s="78"/>
      <c r="E31" s="78"/>
      <c r="F31" s="79"/>
      <c r="G31" s="71"/>
      <c r="H31" s="72"/>
      <c r="I31" s="74"/>
      <c r="J31" s="72"/>
      <c r="K31" s="72"/>
      <c r="L31" s="72"/>
      <c r="M31" s="72"/>
      <c r="N31" s="75"/>
    </row>
    <row r="32" customFormat="false" ht="15" hidden="false" customHeight="false" outlineLevel="0" collapsed="false">
      <c r="A32" s="52" t="e">
        <f aca="false">VLOOKUP(#REF!,'[1]Listas Desplegables'!$H$3:$J$7,2,FALSE())</f>
        <v>#VALUE!</v>
      </c>
      <c r="B32" s="52" t="e">
        <f aca="false">VLOOKUP(#REF!,'[1]Listas Desplegables'!$H$3:$J$7,3,FALSE())</f>
        <v>#VALUE!</v>
      </c>
      <c r="C32" s="69" t="n">
        <v>27</v>
      </c>
      <c r="D32" s="78"/>
      <c r="E32" s="78"/>
      <c r="F32" s="79"/>
      <c r="G32" s="71"/>
      <c r="H32" s="72"/>
      <c r="I32" s="74"/>
      <c r="J32" s="72"/>
      <c r="K32" s="72"/>
      <c r="L32" s="72"/>
      <c r="M32" s="72"/>
      <c r="N32" s="75"/>
    </row>
    <row r="33" customFormat="false" ht="15" hidden="false" customHeight="false" outlineLevel="0" collapsed="false">
      <c r="A33" s="52" t="e">
        <f aca="false">VLOOKUP(#REF!,'[1]Listas Desplegables'!$H$3:$J$7,2,FALSE())</f>
        <v>#VALUE!</v>
      </c>
      <c r="B33" s="52" t="e">
        <f aca="false">VLOOKUP(#REF!,'[1]Listas Desplegables'!$H$3:$J$7,3,FALSE())</f>
        <v>#VALUE!</v>
      </c>
      <c r="C33" s="69" t="n">
        <v>28</v>
      </c>
      <c r="D33" s="78"/>
      <c r="E33" s="78"/>
      <c r="F33" s="79"/>
      <c r="G33" s="71"/>
      <c r="H33" s="72"/>
      <c r="I33" s="74"/>
      <c r="J33" s="72"/>
      <c r="K33" s="72"/>
      <c r="L33" s="72"/>
      <c r="M33" s="72"/>
      <c r="N33" s="75"/>
    </row>
    <row r="34" customFormat="false" ht="15" hidden="false" customHeight="false" outlineLevel="0" collapsed="false">
      <c r="A34" s="52" t="e">
        <f aca="false">VLOOKUP(#REF!,'[1]Listas Desplegables'!$H$3:$J$7,2,FALSE())</f>
        <v>#VALUE!</v>
      </c>
      <c r="B34" s="52" t="e">
        <f aca="false">VLOOKUP(#REF!,'[1]Listas Desplegables'!$H$3:$J$7,3,FALSE())</f>
        <v>#VALUE!</v>
      </c>
      <c r="C34" s="69" t="n">
        <v>29</v>
      </c>
      <c r="D34" s="78"/>
      <c r="E34" s="78"/>
      <c r="F34" s="79"/>
      <c r="G34" s="71"/>
      <c r="H34" s="72"/>
      <c r="I34" s="74"/>
      <c r="J34" s="72"/>
      <c r="K34" s="72"/>
      <c r="L34" s="72"/>
      <c r="M34" s="72"/>
      <c r="N34" s="75"/>
    </row>
    <row r="35" customFormat="false" ht="15" hidden="false" customHeight="false" outlineLevel="0" collapsed="false">
      <c r="A35" s="52" t="e">
        <f aca="false">VLOOKUP(#REF!,'[1]Listas Desplegables'!$H$3:$J$7,2,FALSE())</f>
        <v>#VALUE!</v>
      </c>
      <c r="B35" s="52" t="e">
        <f aca="false">VLOOKUP(#REF!,'[1]Listas Desplegables'!$H$3:$J$7,3,FALSE())</f>
        <v>#VALUE!</v>
      </c>
      <c r="C35" s="76" t="n">
        <v>30</v>
      </c>
      <c r="D35" s="78"/>
      <c r="E35" s="78"/>
      <c r="F35" s="79"/>
      <c r="G35" s="71"/>
      <c r="H35" s="72"/>
      <c r="I35" s="74"/>
      <c r="J35" s="72"/>
      <c r="K35" s="72"/>
      <c r="L35" s="72"/>
      <c r="M35" s="72"/>
      <c r="N35" s="75"/>
    </row>
    <row r="36" customFormat="false" ht="15" hidden="false" customHeight="false" outlineLevel="0" collapsed="false">
      <c r="A36" s="52" t="e">
        <f aca="false">VLOOKUP(#REF!,'[1]Listas Desplegables'!$H$3:$J$7,2,FALSE())</f>
        <v>#VALUE!</v>
      </c>
      <c r="B36" s="52" t="e">
        <f aca="false">VLOOKUP(#REF!,'[1]Listas Desplegables'!$H$3:$J$7,3,FALSE())</f>
        <v>#VALUE!</v>
      </c>
      <c r="C36" s="69" t="n">
        <v>31</v>
      </c>
      <c r="D36" s="78"/>
      <c r="E36" s="78"/>
      <c r="F36" s="79"/>
      <c r="G36" s="71"/>
      <c r="H36" s="72"/>
      <c r="I36" s="74"/>
      <c r="J36" s="72"/>
      <c r="K36" s="72"/>
      <c r="L36" s="72"/>
      <c r="M36" s="72"/>
      <c r="N36" s="75"/>
    </row>
    <row r="37" customFormat="false" ht="15" hidden="false" customHeight="false" outlineLevel="0" collapsed="false">
      <c r="A37" s="52" t="e">
        <f aca="false">VLOOKUP(#REF!,'[1]Listas Desplegables'!$H$3:$J$7,2,FALSE())</f>
        <v>#VALUE!</v>
      </c>
      <c r="B37" s="52" t="e">
        <f aca="false">VLOOKUP(#REF!,'[1]Listas Desplegables'!$H$3:$J$7,3,FALSE())</f>
        <v>#VALUE!</v>
      </c>
      <c r="C37" s="69" t="n">
        <v>32</v>
      </c>
      <c r="D37" s="78"/>
      <c r="E37" s="78"/>
      <c r="F37" s="79"/>
      <c r="G37" s="71"/>
      <c r="H37" s="72"/>
      <c r="I37" s="74"/>
      <c r="J37" s="72"/>
      <c r="K37" s="72"/>
      <c r="L37" s="72"/>
      <c r="M37" s="72"/>
      <c r="N37" s="75"/>
    </row>
    <row r="38" customFormat="false" ht="15" hidden="false" customHeight="false" outlineLevel="0" collapsed="false">
      <c r="A38" s="52" t="e">
        <f aca="false">VLOOKUP(#REF!,'[1]Listas Desplegables'!$H$3:$J$7,2,FALSE())</f>
        <v>#VALUE!</v>
      </c>
      <c r="B38" s="52" t="e">
        <f aca="false">VLOOKUP(#REF!,'[1]Listas Desplegables'!$H$3:$J$7,3,FALSE())</f>
        <v>#VALUE!</v>
      </c>
      <c r="C38" s="69" t="n">
        <v>33</v>
      </c>
      <c r="D38" s="78"/>
      <c r="E38" s="78"/>
      <c r="F38" s="79"/>
      <c r="G38" s="71"/>
      <c r="H38" s="72"/>
      <c r="I38" s="74"/>
      <c r="J38" s="72"/>
      <c r="K38" s="72"/>
      <c r="L38" s="72"/>
      <c r="M38" s="72"/>
      <c r="N38" s="75"/>
    </row>
    <row r="39" customFormat="false" ht="15" hidden="false" customHeight="false" outlineLevel="0" collapsed="false">
      <c r="A39" s="52" t="e">
        <f aca="false">VLOOKUP(#REF!,'[1]Listas Desplegables'!$H$3:$J$7,2,FALSE())</f>
        <v>#VALUE!</v>
      </c>
      <c r="B39" s="52" t="e">
        <f aca="false">VLOOKUP(#REF!,'[1]Listas Desplegables'!$H$3:$J$7,3,FALSE())</f>
        <v>#VALUE!</v>
      </c>
      <c r="C39" s="69" t="n">
        <v>34</v>
      </c>
      <c r="D39" s="78"/>
      <c r="E39" s="78"/>
      <c r="F39" s="79"/>
      <c r="G39" s="71"/>
      <c r="H39" s="72"/>
      <c r="I39" s="74"/>
      <c r="J39" s="72"/>
      <c r="K39" s="72"/>
      <c r="L39" s="72"/>
      <c r="M39" s="72"/>
      <c r="N39" s="75"/>
    </row>
    <row r="40" customFormat="false" ht="15" hidden="false" customHeight="false" outlineLevel="0" collapsed="false">
      <c r="A40" s="52" t="e">
        <f aca="false">VLOOKUP(#REF!,'[1]Listas Desplegables'!$H$3:$J$7,2,FALSE())</f>
        <v>#VALUE!</v>
      </c>
      <c r="B40" s="52" t="e">
        <f aca="false">VLOOKUP(#REF!,'[1]Listas Desplegables'!$H$3:$J$7,3,FALSE())</f>
        <v>#VALUE!</v>
      </c>
      <c r="C40" s="69" t="n">
        <v>35</v>
      </c>
      <c r="D40" s="78"/>
      <c r="E40" s="78"/>
      <c r="F40" s="79"/>
      <c r="G40" s="71"/>
      <c r="H40" s="72"/>
      <c r="I40" s="74"/>
      <c r="J40" s="72"/>
      <c r="K40" s="72"/>
      <c r="L40" s="72"/>
      <c r="M40" s="72"/>
      <c r="N40" s="75"/>
    </row>
    <row r="41" customFormat="false" ht="15" hidden="false" customHeight="false" outlineLevel="0" collapsed="false">
      <c r="A41" s="52" t="e">
        <f aca="false">VLOOKUP(#REF!,'[1]Listas Desplegables'!$H$3:$J$7,2,FALSE())</f>
        <v>#VALUE!</v>
      </c>
      <c r="B41" s="52" t="e">
        <f aca="false">VLOOKUP(#REF!,'[1]Listas Desplegables'!$H$3:$J$7,3,FALSE())</f>
        <v>#VALUE!</v>
      </c>
      <c r="C41" s="69" t="n">
        <v>36</v>
      </c>
      <c r="D41" s="78"/>
      <c r="E41" s="78"/>
      <c r="F41" s="79"/>
      <c r="G41" s="71"/>
      <c r="H41" s="72"/>
      <c r="I41" s="74"/>
      <c r="J41" s="72"/>
      <c r="K41" s="72"/>
      <c r="L41" s="72"/>
      <c r="M41" s="72"/>
      <c r="N41" s="75"/>
    </row>
    <row r="42" customFormat="false" ht="15" hidden="false" customHeight="false" outlineLevel="0" collapsed="false">
      <c r="A42" s="52" t="e">
        <f aca="false">VLOOKUP(#REF!,'[1]Listas Desplegables'!$H$3:$J$7,2,FALSE())</f>
        <v>#VALUE!</v>
      </c>
      <c r="B42" s="52" t="e">
        <f aca="false">VLOOKUP(#REF!,'[1]Listas Desplegables'!$H$3:$J$7,3,FALSE())</f>
        <v>#VALUE!</v>
      </c>
      <c r="C42" s="69" t="n">
        <v>37</v>
      </c>
      <c r="D42" s="78"/>
      <c r="E42" s="78"/>
      <c r="F42" s="79"/>
      <c r="G42" s="71"/>
      <c r="H42" s="72"/>
      <c r="I42" s="74"/>
      <c r="J42" s="72"/>
      <c r="K42" s="72"/>
      <c r="L42" s="72"/>
      <c r="M42" s="72"/>
      <c r="N42" s="75"/>
    </row>
    <row r="43" customFormat="false" ht="15" hidden="false" customHeight="false" outlineLevel="0" collapsed="false">
      <c r="A43" s="52" t="e">
        <f aca="false">VLOOKUP(#REF!,'[1]Listas Desplegables'!$H$3:$J$7,2,FALSE())</f>
        <v>#VALUE!</v>
      </c>
      <c r="B43" s="52" t="e">
        <f aca="false">VLOOKUP(#REF!,'[1]Listas Desplegables'!$H$3:$J$7,3,FALSE())</f>
        <v>#VALUE!</v>
      </c>
      <c r="C43" s="69" t="n">
        <v>38</v>
      </c>
      <c r="D43" s="78"/>
      <c r="E43" s="78"/>
      <c r="F43" s="79"/>
      <c r="G43" s="71"/>
      <c r="H43" s="72"/>
      <c r="I43" s="74"/>
      <c r="J43" s="72"/>
      <c r="K43" s="72"/>
      <c r="L43" s="72"/>
      <c r="M43" s="72"/>
      <c r="N43" s="75"/>
    </row>
    <row r="44" customFormat="false" ht="15" hidden="false" customHeight="false" outlineLevel="0" collapsed="false">
      <c r="A44" s="52" t="e">
        <f aca="false">VLOOKUP(#REF!,'[1]Listas Desplegables'!$H$3:$J$7,2,FALSE())</f>
        <v>#VALUE!</v>
      </c>
      <c r="B44" s="52" t="e">
        <f aca="false">VLOOKUP(#REF!,'[1]Listas Desplegables'!$H$3:$J$7,3,FALSE())</f>
        <v>#VALUE!</v>
      </c>
      <c r="C44" s="76" t="n">
        <v>39</v>
      </c>
      <c r="D44" s="78"/>
      <c r="E44" s="78"/>
      <c r="F44" s="79"/>
      <c r="G44" s="71"/>
      <c r="H44" s="72"/>
      <c r="I44" s="74"/>
      <c r="J44" s="72"/>
      <c r="K44" s="72"/>
      <c r="L44" s="72"/>
      <c r="M44" s="72"/>
      <c r="N44" s="75"/>
    </row>
    <row r="45" customFormat="false" ht="15" hidden="false" customHeight="false" outlineLevel="0" collapsed="false">
      <c r="A45" s="52" t="e">
        <f aca="false">VLOOKUP(#REF!,'[1]Listas Desplegables'!$H$3:$J$7,2,FALSE())</f>
        <v>#VALUE!</v>
      </c>
      <c r="B45" s="52" t="e">
        <f aca="false">VLOOKUP(#REF!,'[1]Listas Desplegables'!$H$3:$J$7,3,FALSE())</f>
        <v>#VALUE!</v>
      </c>
      <c r="C45" s="77" t="n">
        <v>40</v>
      </c>
      <c r="D45" s="78"/>
      <c r="E45" s="78"/>
      <c r="F45" s="79"/>
      <c r="G45" s="71"/>
      <c r="H45" s="72"/>
      <c r="I45" s="74"/>
      <c r="J45" s="72"/>
      <c r="K45" s="72"/>
      <c r="L45" s="72"/>
      <c r="M45" s="72"/>
      <c r="N45" s="75"/>
    </row>
    <row r="46" customFormat="false" ht="15" hidden="false" customHeight="false" outlineLevel="0" collapsed="false">
      <c r="A46" s="52" t="e">
        <f aca="false">VLOOKUP(#REF!,'[1]Listas Desplegables'!$H$3:$J$7,2,FALSE())</f>
        <v>#VALUE!</v>
      </c>
      <c r="B46" s="52" t="e">
        <f aca="false">VLOOKUP(#REF!,'[1]Listas Desplegables'!$H$3:$J$7,3,FALSE())</f>
        <v>#VALUE!</v>
      </c>
      <c r="C46" s="76" t="n">
        <v>41</v>
      </c>
      <c r="D46" s="78"/>
      <c r="E46" s="78"/>
      <c r="F46" s="79"/>
      <c r="G46" s="71"/>
      <c r="H46" s="72"/>
      <c r="I46" s="74"/>
      <c r="J46" s="72"/>
      <c r="K46" s="72"/>
      <c r="L46" s="72"/>
      <c r="M46" s="72"/>
      <c r="N46" s="75"/>
    </row>
    <row r="47" customFormat="false" ht="15" hidden="false" customHeight="false" outlineLevel="0" collapsed="false">
      <c r="A47" s="52" t="e">
        <f aca="false">VLOOKUP(#REF!,'[1]Listas Desplegables'!$H$3:$J$7,2,FALSE())</f>
        <v>#VALUE!</v>
      </c>
      <c r="B47" s="52" t="e">
        <f aca="false">VLOOKUP(#REF!,'[1]Listas Desplegables'!$H$3:$J$7,3,FALSE())</f>
        <v>#VALUE!</v>
      </c>
      <c r="C47" s="69" t="n">
        <v>42</v>
      </c>
      <c r="D47" s="78"/>
      <c r="E47" s="78"/>
      <c r="F47" s="79"/>
      <c r="G47" s="71"/>
      <c r="H47" s="72"/>
      <c r="I47" s="74"/>
      <c r="J47" s="72"/>
      <c r="K47" s="72"/>
      <c r="L47" s="72"/>
      <c r="M47" s="72"/>
      <c r="N47" s="75"/>
    </row>
    <row r="48" customFormat="false" ht="15" hidden="false" customHeight="false" outlineLevel="0" collapsed="false">
      <c r="A48" s="52" t="e">
        <f aca="false">VLOOKUP(#REF!,'[1]Listas Desplegables'!$H$3:$J$7,2,FALSE())</f>
        <v>#VALUE!</v>
      </c>
      <c r="B48" s="52" t="e">
        <f aca="false">VLOOKUP(#REF!,'[1]Listas Desplegables'!$H$3:$J$7,3,FALSE())</f>
        <v>#VALUE!</v>
      </c>
      <c r="C48" s="69" t="n">
        <v>43</v>
      </c>
      <c r="D48" s="78"/>
      <c r="E48" s="78"/>
      <c r="F48" s="79"/>
      <c r="G48" s="71"/>
      <c r="H48" s="72"/>
      <c r="I48" s="74"/>
      <c r="J48" s="72"/>
      <c r="K48" s="72"/>
      <c r="L48" s="72"/>
      <c r="M48" s="72"/>
      <c r="N48" s="75"/>
    </row>
    <row r="49" customFormat="false" ht="15" hidden="false" customHeight="false" outlineLevel="0" collapsed="false">
      <c r="A49" s="52" t="e">
        <f aca="false">VLOOKUP(#REF!,'[1]Listas Desplegables'!$H$3:$J$7,2,FALSE())</f>
        <v>#VALUE!</v>
      </c>
      <c r="B49" s="52" t="e">
        <f aca="false">VLOOKUP(#REF!,'[1]Listas Desplegables'!$H$3:$J$7,3,FALSE())</f>
        <v>#VALUE!</v>
      </c>
      <c r="C49" s="69" t="n">
        <v>44</v>
      </c>
      <c r="D49" s="78"/>
      <c r="E49" s="78"/>
      <c r="F49" s="79"/>
      <c r="G49" s="71"/>
      <c r="H49" s="72"/>
      <c r="I49" s="74"/>
      <c r="J49" s="72"/>
      <c r="K49" s="72"/>
      <c r="L49" s="72"/>
      <c r="M49" s="72"/>
      <c r="N49" s="75"/>
    </row>
    <row r="50" customFormat="false" ht="15" hidden="false" customHeight="false" outlineLevel="0" collapsed="false">
      <c r="A50" s="52" t="e">
        <f aca="false">VLOOKUP(#REF!,'[1]Listas Desplegables'!$H$3:$J$7,2,FALSE())</f>
        <v>#VALUE!</v>
      </c>
      <c r="B50" s="52" t="e">
        <f aca="false">VLOOKUP(#REF!,'[1]Listas Desplegables'!$H$3:$J$7,3,FALSE())</f>
        <v>#VALUE!</v>
      </c>
      <c r="C50" s="69" t="n">
        <v>45</v>
      </c>
      <c r="D50" s="78"/>
      <c r="E50" s="78"/>
      <c r="F50" s="79"/>
      <c r="G50" s="71"/>
      <c r="H50" s="72"/>
      <c r="I50" s="74"/>
      <c r="J50" s="72"/>
      <c r="K50" s="72"/>
      <c r="L50" s="72"/>
      <c r="M50" s="72"/>
      <c r="N50" s="75"/>
    </row>
    <row r="51" customFormat="false" ht="15" hidden="false" customHeight="false" outlineLevel="0" collapsed="false">
      <c r="A51" s="52" t="e">
        <f aca="false">VLOOKUP(#REF!,'[1]Listas Desplegables'!$H$3:$J$7,2,FALSE())</f>
        <v>#VALUE!</v>
      </c>
      <c r="B51" s="52" t="e">
        <f aca="false">VLOOKUP(#REF!,'[1]Listas Desplegables'!$H$3:$J$7,3,FALSE())</f>
        <v>#VALUE!</v>
      </c>
      <c r="C51" s="69" t="n">
        <v>46</v>
      </c>
      <c r="D51" s="78"/>
      <c r="E51" s="78"/>
      <c r="F51" s="79"/>
      <c r="G51" s="71"/>
      <c r="H51" s="72"/>
      <c r="I51" s="74"/>
      <c r="J51" s="72"/>
      <c r="K51" s="72"/>
      <c r="L51" s="72"/>
      <c r="M51" s="72"/>
      <c r="N51" s="75"/>
    </row>
    <row r="52" customFormat="false" ht="15" hidden="false" customHeight="false" outlineLevel="0" collapsed="false">
      <c r="A52" s="52" t="e">
        <f aca="false">VLOOKUP(#REF!,'[1]Listas Desplegables'!$H$3:$J$7,2,FALSE())</f>
        <v>#VALUE!</v>
      </c>
      <c r="B52" s="52" t="e">
        <f aca="false">VLOOKUP(#REF!,'[1]Listas Desplegables'!$H$3:$J$7,3,FALSE())</f>
        <v>#VALUE!</v>
      </c>
      <c r="C52" s="69" t="n">
        <v>47</v>
      </c>
      <c r="D52" s="78"/>
      <c r="E52" s="78"/>
      <c r="F52" s="79"/>
      <c r="G52" s="71"/>
      <c r="H52" s="72"/>
      <c r="I52" s="74"/>
      <c r="J52" s="72"/>
      <c r="K52" s="72"/>
      <c r="L52" s="72"/>
      <c r="M52" s="72"/>
      <c r="N52" s="75"/>
    </row>
    <row r="53" customFormat="false" ht="15" hidden="false" customHeight="false" outlineLevel="0" collapsed="false">
      <c r="A53" s="52" t="e">
        <f aca="false">VLOOKUP(#REF!,'[1]Listas Desplegables'!$H$3:$J$7,2,FALSE())</f>
        <v>#VALUE!</v>
      </c>
      <c r="B53" s="52" t="e">
        <f aca="false">VLOOKUP(#REF!,'[1]Listas Desplegables'!$H$3:$J$7,3,FALSE())</f>
        <v>#VALUE!</v>
      </c>
      <c r="C53" s="69" t="n">
        <v>48</v>
      </c>
      <c r="D53" s="78"/>
      <c r="E53" s="78"/>
      <c r="F53" s="79"/>
      <c r="G53" s="71"/>
      <c r="H53" s="72"/>
      <c r="I53" s="74"/>
      <c r="J53" s="72"/>
      <c r="K53" s="72"/>
      <c r="L53" s="72"/>
      <c r="M53" s="72"/>
      <c r="N53" s="75"/>
    </row>
    <row r="54" customFormat="false" ht="15" hidden="false" customHeight="false" outlineLevel="0" collapsed="false">
      <c r="A54" s="52" t="e">
        <f aca="false">VLOOKUP(#REF!,'[1]Listas Desplegables'!$H$3:$J$7,2,FALSE())</f>
        <v>#VALUE!</v>
      </c>
      <c r="B54" s="52" t="e">
        <f aca="false">VLOOKUP(#REF!,'[1]Listas Desplegables'!$H$3:$J$7,3,FALSE())</f>
        <v>#VALUE!</v>
      </c>
      <c r="C54" s="69" t="n">
        <v>49</v>
      </c>
      <c r="D54" s="78"/>
      <c r="E54" s="78"/>
      <c r="F54" s="79"/>
      <c r="G54" s="71"/>
      <c r="H54" s="72"/>
      <c r="I54" s="74"/>
      <c r="J54" s="72"/>
      <c r="K54" s="72"/>
      <c r="L54" s="72"/>
      <c r="M54" s="72"/>
      <c r="N54" s="75"/>
    </row>
    <row r="55" customFormat="false" ht="15" hidden="false" customHeight="false" outlineLevel="0" collapsed="false">
      <c r="A55" s="52" t="e">
        <f aca="false">VLOOKUP(#REF!,'[1]Listas Desplegables'!$H$3:$J$7,2,FALSE())</f>
        <v>#VALUE!</v>
      </c>
      <c r="B55" s="52" t="e">
        <f aca="false">VLOOKUP(#REF!,'[1]Listas Desplegables'!$H$3:$J$7,3,FALSE())</f>
        <v>#VALUE!</v>
      </c>
      <c r="C55" s="76" t="n">
        <v>50</v>
      </c>
      <c r="D55" s="78"/>
      <c r="E55" s="78"/>
      <c r="F55" s="79"/>
      <c r="G55" s="71"/>
      <c r="H55" s="72"/>
      <c r="I55" s="74"/>
      <c r="J55" s="72"/>
      <c r="K55" s="72"/>
      <c r="L55" s="72"/>
      <c r="M55" s="72"/>
      <c r="N55" s="75"/>
    </row>
    <row r="56" customFormat="false" ht="15" hidden="false" customHeight="false" outlineLevel="0" collapsed="false">
      <c r="A56" s="52" t="e">
        <f aca="false">VLOOKUP(#REF!,'[1]Listas Desplegables'!$H$3:$J$7,2,FALSE())</f>
        <v>#VALUE!</v>
      </c>
      <c r="B56" s="52" t="e">
        <f aca="false">VLOOKUP(#REF!,'[1]Listas Desplegables'!$H$3:$J$7,3,FALSE())</f>
        <v>#VALUE!</v>
      </c>
      <c r="C56" s="69" t="n">
        <v>51</v>
      </c>
      <c r="D56" s="78"/>
      <c r="E56" s="78"/>
      <c r="F56" s="79"/>
      <c r="G56" s="71"/>
      <c r="H56" s="72"/>
      <c r="I56" s="74"/>
      <c r="J56" s="72"/>
      <c r="K56" s="72"/>
      <c r="L56" s="72"/>
      <c r="M56" s="72"/>
      <c r="N56" s="75"/>
    </row>
    <row r="57" customFormat="false" ht="15.75" hidden="false" customHeight="false" outlineLevel="0" collapsed="false">
      <c r="A57" s="52" t="e">
        <f aca="false">VLOOKUP(#REF!,'[1]Listas Desplegables'!$H$3:$J$7,2,FALSE())</f>
        <v>#VALUE!</v>
      </c>
      <c r="B57" s="52" t="e">
        <f aca="false">VLOOKUP(#REF!,'[1]Listas Desplegables'!$H$3:$J$7,3,FALSE())</f>
        <v>#VALUE!</v>
      </c>
      <c r="C57" s="84" t="s">
        <v>842</v>
      </c>
      <c r="D57" s="85"/>
      <c r="E57" s="85"/>
      <c r="F57" s="85"/>
      <c r="G57" s="85"/>
      <c r="H57" s="86"/>
      <c r="I57" s="87"/>
      <c r="J57" s="86"/>
      <c r="K57" s="86"/>
      <c r="L57" s="86"/>
      <c r="M57" s="86"/>
      <c r="N57" s="88"/>
    </row>
  </sheetData>
  <mergeCells count="13">
    <mergeCell ref="C3:N3"/>
    <mergeCell ref="C4:C5"/>
    <mergeCell ref="D4:D5"/>
    <mergeCell ref="E4:E5"/>
    <mergeCell ref="F4:F5"/>
    <mergeCell ref="G4:G5"/>
    <mergeCell ref="H4:H5"/>
    <mergeCell ref="I4:I5"/>
    <mergeCell ref="J4:J5"/>
    <mergeCell ref="K4:K5"/>
    <mergeCell ref="L4:L5"/>
    <mergeCell ref="M4:M5"/>
    <mergeCell ref="N4:N5"/>
  </mergeCells>
  <dataValidations count="7">
    <dataValidation allowBlank="true" errorStyle="stop" operator="between" showDropDown="false" showErrorMessage="true" showInputMessage="true" sqref="F1:F3 J1:M3 F6:F1057 J6:L57 J58:M1057" type="decimal">
      <formula1>-100000000</formula1>
      <formula2>100000</formula2>
    </dataValidation>
    <dataValidation allowBlank="true" errorStyle="stop" operator="greaterThan" showDropDown="false" showErrorMessage="true" showInputMessage="true" sqref="I1:I3 I6:I1057" type="date">
      <formula1>1</formula1>
      <formula2>0</formula2>
    </dataValidation>
    <dataValidation allowBlank="true" errorStyle="stop" operator="between" showDropDown="false" showErrorMessage="true" showInputMessage="true" sqref="G58:G1057" type="list">
      <formula1>$B$80:$B$82</formula1>
      <formula2>0</formula2>
    </dataValidation>
    <dataValidation allowBlank="true" errorStyle="stop" operator="between" showDropDown="false" showErrorMessage="true" showInputMessage="true" sqref="G6:G57" type="list">
      <formula1>$B$81:$B$83</formula1>
      <formula2>0</formula2>
    </dataValidation>
    <dataValidation allowBlank="true" errorStyle="stop" operator="between" showDropDown="false" showErrorMessage="true" showInputMessage="true" sqref="G1:G3" type="list">
      <formula1>'Listas Desplegables'!$B$77:$B$79</formula1>
      <formula2>0</formula2>
    </dataValidation>
    <dataValidation allowBlank="true" errorStyle="stop" operator="between" showDropDown="false" showErrorMessage="true" showInputMessage="true" sqref="H6:H57" type="list">
      <formula1>'Listas Desplegables'!$B$81:$B$82</formula1>
      <formula2>0</formula2>
    </dataValidation>
    <dataValidation allowBlank="true" errorStyle="stop" operator="between" showDropDown="false" showErrorMessage="true" showInputMessage="true" sqref="M6:M57" type="list">
      <formula1>'Listas Desplegables'!$B$90:$B$93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2:O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N6" activeCellId="0" sqref="N6"/>
    </sheetView>
  </sheetViews>
  <sheetFormatPr defaultColWidth="11.57421875" defaultRowHeight="15" zeroHeight="false" outlineLevelRow="0" outlineLevelCol="0"/>
  <cols>
    <col collapsed="false" customWidth="true" hidden="false" outlineLevel="0" max="2" min="1" style="52" width="3"/>
    <col collapsed="false" customWidth="true" hidden="false" outlineLevel="0" max="3" min="3" style="53" width="6.7"/>
    <col collapsed="false" customWidth="true" hidden="false" outlineLevel="0" max="4" min="4" style="1" width="33"/>
    <col collapsed="false" customWidth="true" hidden="false" outlineLevel="0" max="5" min="5" style="1" width="20.57"/>
    <col collapsed="false" customWidth="true" hidden="false" outlineLevel="0" max="11" min="6" style="1" width="12.72"/>
    <col collapsed="false" customWidth="true" hidden="false" outlineLevel="0" max="15" min="15" style="1" width="29.43"/>
  </cols>
  <sheetData>
    <row r="2" customFormat="false" ht="15.75" hidden="false" customHeight="false" outlineLevel="0" collapsed="false"/>
    <row r="3" s="57" customFormat="true" ht="15.75" hidden="false" customHeight="false" outlineLevel="0" collapsed="false">
      <c r="A3" s="55"/>
      <c r="B3" s="55"/>
      <c r="C3" s="56" t="s">
        <v>1780</v>
      </c>
      <c r="D3" s="56"/>
      <c r="E3" s="56"/>
      <c r="F3" s="56"/>
      <c r="G3" s="56"/>
      <c r="H3" s="56"/>
      <c r="I3" s="56"/>
      <c r="J3" s="56"/>
      <c r="K3" s="56"/>
      <c r="L3" s="56"/>
      <c r="M3" s="56"/>
      <c r="N3" s="56"/>
      <c r="O3" s="56"/>
    </row>
    <row r="4" s="61" customFormat="true" ht="12" hidden="false" customHeight="true" outlineLevel="0" collapsed="false">
      <c r="A4" s="58"/>
      <c r="B4" s="58"/>
      <c r="C4" s="59" t="s">
        <v>194</v>
      </c>
      <c r="D4" s="60" t="str">
        <f aca="false">'Manual de Uso'!C162</f>
        <v>Nombre</v>
      </c>
      <c r="E4" s="60" t="str">
        <f aca="false">'Manual de Uso'!C163</f>
        <v>Línea Intervenida</v>
      </c>
      <c r="F4" s="60" t="str">
        <f aca="false">'Manual de Uso'!C164</f>
        <v>Nivel de tensión [kV]</v>
      </c>
      <c r="G4" s="60" t="str">
        <f aca="false">'Manual de Uso'!C165</f>
        <v>En Operación</v>
      </c>
      <c r="H4" s="60" t="str">
        <f aca="false">'Manual de Uso'!C166</f>
        <v>FPO</v>
      </c>
      <c r="I4" s="60" t="str">
        <f aca="false">'Manual de Uso'!C167</f>
        <v>Conectado al lado de</v>
      </c>
      <c r="J4" s="60" t="str">
        <f aca="false">'Manual de Uso'!C168</f>
        <v>Tensión máxima aporte [V]</v>
      </c>
      <c r="K4" s="60" t="str">
        <f aca="false">'Manual de Uso'!C169</f>
        <v>Corriente máxima aporte [A]</v>
      </c>
      <c r="L4" s="60" t="str">
        <f aca="false">'Manual de Uso'!C170</f>
        <v>Modelo (si disponible)</v>
      </c>
      <c r="M4" s="60" t="str">
        <f aca="false">'Manual de Uso'!C171</f>
        <v>Operador</v>
      </c>
      <c r="N4" s="60" t="str">
        <f aca="false">'Manual de Uso'!C172</f>
        <v>Tipo activo Uso/Conexión</v>
      </c>
      <c r="O4" s="60" t="str">
        <f aca="false">'Manual de Uso'!C173</f>
        <v>Observaciones transportador</v>
      </c>
    </row>
    <row r="5" s="61" customFormat="true" ht="24" hidden="false" customHeight="true" outlineLevel="0" collapsed="false">
      <c r="A5" s="58"/>
      <c r="B5" s="58"/>
      <c r="C5" s="59"/>
      <c r="D5" s="60"/>
      <c r="E5" s="60"/>
      <c r="F5" s="60"/>
      <c r="G5" s="60"/>
      <c r="H5" s="60"/>
      <c r="I5" s="60"/>
      <c r="J5" s="60"/>
      <c r="K5" s="60"/>
      <c r="L5" s="60"/>
      <c r="M5" s="60"/>
      <c r="N5" s="60"/>
      <c r="O5" s="60"/>
    </row>
    <row r="6" customFormat="false" ht="15" hidden="false" customHeight="false" outlineLevel="0" collapsed="false">
      <c r="A6" s="52" t="e">
        <f aca="false">VLOOKUP(#REF!,'[1]Listas Desplegables'!$H$3:$J$7,2,FALSE())</f>
        <v>#VALUE!</v>
      </c>
      <c r="B6" s="52" t="e">
        <f aca="false">VLOOKUP(#REF!,'[1]Listas Desplegables'!$H$3:$J$7,3,FALSE())</f>
        <v>#VALUE!</v>
      </c>
      <c r="C6" s="62" t="n">
        <v>1</v>
      </c>
      <c r="D6" s="63"/>
      <c r="E6" s="63"/>
      <c r="F6" s="64"/>
      <c r="G6" s="64"/>
      <c r="H6" s="64"/>
      <c r="I6" s="63"/>
      <c r="J6" s="64"/>
      <c r="K6" s="65"/>
      <c r="L6" s="66"/>
      <c r="M6" s="66"/>
      <c r="N6" s="65"/>
      <c r="O6" s="68"/>
    </row>
    <row r="7" customFormat="false" ht="15" hidden="false" customHeight="false" outlineLevel="0" collapsed="false">
      <c r="A7" s="52" t="e">
        <f aca="false">VLOOKUP(#REF!,'[1]Listas Desplegables'!$H$3:$J$7,2,FALSE())</f>
        <v>#VALUE!</v>
      </c>
      <c r="B7" s="52" t="e">
        <f aca="false">VLOOKUP(#REF!,'[1]Listas Desplegables'!$H$3:$J$7,3,FALSE())</f>
        <v>#VALUE!</v>
      </c>
      <c r="C7" s="69" t="n">
        <v>2</v>
      </c>
      <c r="D7" s="70"/>
      <c r="E7" s="70"/>
      <c r="F7" s="71"/>
      <c r="G7" s="71"/>
      <c r="H7" s="71"/>
      <c r="I7" s="70"/>
      <c r="J7" s="71"/>
      <c r="K7" s="72"/>
      <c r="L7" s="73"/>
      <c r="M7" s="73"/>
      <c r="N7" s="72"/>
      <c r="O7" s="75"/>
    </row>
    <row r="8" customFormat="false" ht="15" hidden="false" customHeight="false" outlineLevel="0" collapsed="false">
      <c r="A8" s="52" t="e">
        <f aca="false">VLOOKUP(#REF!,'[1]Listas Desplegables'!$H$3:$J$7,2,FALSE())</f>
        <v>#VALUE!</v>
      </c>
      <c r="B8" s="52" t="e">
        <f aca="false">VLOOKUP(#REF!,'[1]Listas Desplegables'!$H$3:$J$7,3,FALSE())</f>
        <v>#VALUE!</v>
      </c>
      <c r="C8" s="69" t="n">
        <v>3</v>
      </c>
      <c r="D8" s="70"/>
      <c r="E8" s="70"/>
      <c r="F8" s="71"/>
      <c r="G8" s="71"/>
      <c r="H8" s="71"/>
      <c r="I8" s="70"/>
      <c r="J8" s="71"/>
      <c r="K8" s="72"/>
      <c r="L8" s="73"/>
      <c r="M8" s="73"/>
      <c r="N8" s="72"/>
      <c r="O8" s="75"/>
    </row>
    <row r="9" customFormat="false" ht="15" hidden="false" customHeight="false" outlineLevel="0" collapsed="false">
      <c r="A9" s="52" t="e">
        <f aca="false">VLOOKUP(#REF!,'[1]Listas Desplegables'!$H$3:$J$7,2,FALSE())</f>
        <v>#VALUE!</v>
      </c>
      <c r="B9" s="52" t="e">
        <f aca="false">VLOOKUP(#REF!,'[1]Listas Desplegables'!$H$3:$J$7,3,FALSE())</f>
        <v>#VALUE!</v>
      </c>
      <c r="C9" s="69" t="n">
        <v>4</v>
      </c>
      <c r="D9" s="70"/>
      <c r="E9" s="70"/>
      <c r="F9" s="71"/>
      <c r="G9" s="71"/>
      <c r="H9" s="71"/>
      <c r="I9" s="70"/>
      <c r="J9" s="71"/>
      <c r="K9" s="72"/>
      <c r="L9" s="73"/>
      <c r="M9" s="73"/>
      <c r="N9" s="72"/>
      <c r="O9" s="75"/>
    </row>
    <row r="10" customFormat="false" ht="15" hidden="false" customHeight="false" outlineLevel="0" collapsed="false">
      <c r="A10" s="52" t="e">
        <f aca="false">VLOOKUP(#REF!,'[1]Listas Desplegables'!$H$3:$J$7,2,FALSE())</f>
        <v>#VALUE!</v>
      </c>
      <c r="B10" s="52" t="e">
        <f aca="false">VLOOKUP(#REF!,'[1]Listas Desplegables'!$H$3:$J$7,3,FALSE())</f>
        <v>#VALUE!</v>
      </c>
      <c r="C10" s="69" t="n">
        <v>5</v>
      </c>
      <c r="D10" s="70"/>
      <c r="E10" s="70"/>
      <c r="F10" s="71"/>
      <c r="G10" s="71"/>
      <c r="H10" s="71"/>
      <c r="I10" s="70"/>
      <c r="J10" s="71"/>
      <c r="K10" s="72"/>
      <c r="L10" s="73"/>
      <c r="M10" s="73"/>
      <c r="N10" s="72"/>
      <c r="O10" s="75"/>
    </row>
    <row r="11" customFormat="false" ht="15" hidden="false" customHeight="false" outlineLevel="0" collapsed="false">
      <c r="A11" s="52" t="e">
        <f aca="false">VLOOKUP(#REF!,'[1]Listas Desplegables'!$H$3:$J$7,2,FALSE())</f>
        <v>#VALUE!</v>
      </c>
      <c r="B11" s="52" t="e">
        <f aca="false">VLOOKUP(#REF!,'[1]Listas Desplegables'!$H$3:$J$7,3,FALSE())</f>
        <v>#VALUE!</v>
      </c>
      <c r="C11" s="69" t="n">
        <v>6</v>
      </c>
      <c r="D11" s="70"/>
      <c r="E11" s="70"/>
      <c r="F11" s="71"/>
      <c r="G11" s="71"/>
      <c r="H11" s="71"/>
      <c r="I11" s="70"/>
      <c r="J11" s="71"/>
      <c r="K11" s="72"/>
      <c r="L11" s="73"/>
      <c r="M11" s="73"/>
      <c r="N11" s="72"/>
      <c r="O11" s="75"/>
    </row>
    <row r="12" customFormat="false" ht="15" hidden="false" customHeight="false" outlineLevel="0" collapsed="false">
      <c r="A12" s="52" t="e">
        <f aca="false">VLOOKUP(#REF!,'[1]Listas Desplegables'!$H$3:$J$7,2,FALSE())</f>
        <v>#VALUE!</v>
      </c>
      <c r="B12" s="52" t="e">
        <f aca="false">VLOOKUP(#REF!,'[1]Listas Desplegables'!$H$3:$J$7,3,FALSE())</f>
        <v>#VALUE!</v>
      </c>
      <c r="C12" s="69" t="n">
        <v>7</v>
      </c>
      <c r="D12" s="70"/>
      <c r="E12" s="70"/>
      <c r="F12" s="71"/>
      <c r="G12" s="71"/>
      <c r="H12" s="71"/>
      <c r="I12" s="70"/>
      <c r="J12" s="71"/>
      <c r="K12" s="72"/>
      <c r="L12" s="73"/>
      <c r="M12" s="73"/>
      <c r="N12" s="72"/>
      <c r="O12" s="75"/>
    </row>
    <row r="13" customFormat="false" ht="15" hidden="false" customHeight="false" outlineLevel="0" collapsed="false">
      <c r="A13" s="52" t="e">
        <f aca="false">VLOOKUP(#REF!,'[1]Listas Desplegables'!$H$3:$J$7,2,FALSE())</f>
        <v>#VALUE!</v>
      </c>
      <c r="B13" s="52" t="e">
        <f aca="false">VLOOKUP(#REF!,'[1]Listas Desplegables'!$H$3:$J$7,3,FALSE())</f>
        <v>#VALUE!</v>
      </c>
      <c r="C13" s="69" t="n">
        <v>8</v>
      </c>
      <c r="D13" s="70"/>
      <c r="E13" s="70"/>
      <c r="F13" s="71"/>
      <c r="G13" s="71"/>
      <c r="H13" s="71"/>
      <c r="I13" s="70"/>
      <c r="J13" s="71"/>
      <c r="K13" s="72"/>
      <c r="L13" s="73"/>
      <c r="M13" s="73"/>
      <c r="N13" s="72"/>
      <c r="O13" s="75"/>
    </row>
    <row r="14" customFormat="false" ht="15" hidden="false" customHeight="false" outlineLevel="0" collapsed="false">
      <c r="A14" s="52" t="e">
        <f aca="false">VLOOKUP(#REF!,'[1]Listas Desplegables'!$H$3:$J$7,2,FALSE())</f>
        <v>#VALUE!</v>
      </c>
      <c r="B14" s="52" t="e">
        <f aca="false">VLOOKUP(#REF!,'[1]Listas Desplegables'!$H$3:$J$7,3,FALSE())</f>
        <v>#VALUE!</v>
      </c>
      <c r="C14" s="69" t="n">
        <v>9</v>
      </c>
      <c r="D14" s="70"/>
      <c r="E14" s="70"/>
      <c r="F14" s="71"/>
      <c r="G14" s="71"/>
      <c r="H14" s="71"/>
      <c r="I14" s="70"/>
      <c r="J14" s="71"/>
      <c r="K14" s="72"/>
      <c r="L14" s="73"/>
      <c r="M14" s="73"/>
      <c r="N14" s="72"/>
      <c r="O14" s="75"/>
    </row>
    <row r="15" customFormat="false" ht="15" hidden="false" customHeight="false" outlineLevel="0" collapsed="false">
      <c r="A15" s="52" t="e">
        <f aca="false">VLOOKUP(#REF!,'[1]Listas Desplegables'!$H$3:$J$7,2,FALSE())</f>
        <v>#VALUE!</v>
      </c>
      <c r="B15" s="52" t="e">
        <f aca="false">VLOOKUP(#REF!,'[1]Listas Desplegables'!$H$3:$J$7,3,FALSE())</f>
        <v>#VALUE!</v>
      </c>
      <c r="C15" s="76" t="n">
        <v>10</v>
      </c>
      <c r="D15" s="70"/>
      <c r="E15" s="70"/>
      <c r="F15" s="71"/>
      <c r="G15" s="71"/>
      <c r="H15" s="71"/>
      <c r="I15" s="70"/>
      <c r="J15" s="71"/>
      <c r="K15" s="72"/>
      <c r="L15" s="73"/>
      <c r="M15" s="73"/>
      <c r="N15" s="72"/>
      <c r="O15" s="75"/>
    </row>
    <row r="16" customFormat="false" ht="15" hidden="false" customHeight="false" outlineLevel="0" collapsed="false">
      <c r="A16" s="52" t="e">
        <f aca="false">VLOOKUP(#REF!,'[1]Listas Desplegables'!$H$3:$J$7,2,FALSE())</f>
        <v>#VALUE!</v>
      </c>
      <c r="B16" s="52" t="e">
        <f aca="false">VLOOKUP(#REF!,'[1]Listas Desplegables'!$H$3:$J$7,3,FALSE())</f>
        <v>#VALUE!</v>
      </c>
      <c r="C16" s="69" t="n">
        <v>11</v>
      </c>
      <c r="D16" s="70"/>
      <c r="E16" s="70"/>
      <c r="F16" s="71"/>
      <c r="G16" s="71"/>
      <c r="H16" s="71"/>
      <c r="I16" s="70"/>
      <c r="J16" s="71"/>
      <c r="K16" s="72"/>
      <c r="L16" s="73"/>
      <c r="M16" s="73"/>
      <c r="N16" s="72"/>
      <c r="O16" s="75"/>
    </row>
    <row r="17" customFormat="false" ht="15" hidden="false" customHeight="false" outlineLevel="0" collapsed="false">
      <c r="A17" s="52" t="e">
        <f aca="false">VLOOKUP(#REF!,'[1]Listas Desplegables'!$H$3:$J$7,2,FALSE())</f>
        <v>#VALUE!</v>
      </c>
      <c r="B17" s="52" t="e">
        <f aca="false">VLOOKUP(#REF!,'[1]Listas Desplegables'!$H$3:$J$7,3,FALSE())</f>
        <v>#VALUE!</v>
      </c>
      <c r="C17" s="69" t="n">
        <v>12</v>
      </c>
      <c r="D17" s="70"/>
      <c r="E17" s="70"/>
      <c r="F17" s="71"/>
      <c r="G17" s="71"/>
      <c r="H17" s="71"/>
      <c r="I17" s="70"/>
      <c r="J17" s="71"/>
      <c r="K17" s="72"/>
      <c r="L17" s="73"/>
      <c r="M17" s="73"/>
      <c r="N17" s="72"/>
      <c r="O17" s="75"/>
    </row>
    <row r="18" customFormat="false" ht="15" hidden="false" customHeight="false" outlineLevel="0" collapsed="false">
      <c r="A18" s="52" t="e">
        <f aca="false">VLOOKUP(#REF!,'[1]Listas Desplegables'!$H$3:$J$7,2,FALSE())</f>
        <v>#VALUE!</v>
      </c>
      <c r="B18" s="52" t="e">
        <f aca="false">VLOOKUP(#REF!,'[1]Listas Desplegables'!$H$3:$J$7,3,FALSE())</f>
        <v>#VALUE!</v>
      </c>
      <c r="C18" s="69" t="n">
        <v>13</v>
      </c>
      <c r="D18" s="70"/>
      <c r="E18" s="70"/>
      <c r="F18" s="71"/>
      <c r="G18" s="71"/>
      <c r="H18" s="71"/>
      <c r="I18" s="70"/>
      <c r="J18" s="71"/>
      <c r="K18" s="72"/>
      <c r="L18" s="73"/>
      <c r="M18" s="73"/>
      <c r="N18" s="72"/>
      <c r="O18" s="75"/>
    </row>
    <row r="19" customFormat="false" ht="15" hidden="false" customHeight="false" outlineLevel="0" collapsed="false">
      <c r="A19" s="52" t="e">
        <f aca="false">VLOOKUP(#REF!,'[1]Listas Desplegables'!$H$3:$J$7,2,FALSE())</f>
        <v>#VALUE!</v>
      </c>
      <c r="B19" s="52" t="e">
        <f aca="false">VLOOKUP(#REF!,'[1]Listas Desplegables'!$H$3:$J$7,3,FALSE())</f>
        <v>#VALUE!</v>
      </c>
      <c r="C19" s="69" t="n">
        <v>14</v>
      </c>
      <c r="D19" s="70"/>
      <c r="E19" s="70"/>
      <c r="F19" s="71"/>
      <c r="G19" s="71"/>
      <c r="H19" s="71"/>
      <c r="I19" s="70"/>
      <c r="J19" s="71"/>
      <c r="K19" s="72"/>
      <c r="L19" s="73"/>
      <c r="M19" s="73"/>
      <c r="N19" s="72"/>
      <c r="O19" s="75"/>
    </row>
    <row r="20" customFormat="false" ht="15" hidden="false" customHeight="false" outlineLevel="0" collapsed="false">
      <c r="A20" s="52" t="e">
        <f aca="false">VLOOKUP(#REF!,'[1]Listas Desplegables'!$H$3:$J$7,2,FALSE())</f>
        <v>#VALUE!</v>
      </c>
      <c r="B20" s="52" t="e">
        <f aca="false">VLOOKUP(#REF!,'[1]Listas Desplegables'!$H$3:$J$7,3,FALSE())</f>
        <v>#VALUE!</v>
      </c>
      <c r="C20" s="69" t="n">
        <v>15</v>
      </c>
      <c r="D20" s="70"/>
      <c r="E20" s="70"/>
      <c r="F20" s="71"/>
      <c r="G20" s="71"/>
      <c r="H20" s="71"/>
      <c r="I20" s="70"/>
      <c r="J20" s="71"/>
      <c r="K20" s="72"/>
      <c r="L20" s="73"/>
      <c r="M20" s="73"/>
      <c r="N20" s="72"/>
      <c r="O20" s="75"/>
    </row>
    <row r="21" customFormat="false" ht="15" hidden="false" customHeight="false" outlineLevel="0" collapsed="false">
      <c r="A21" s="52" t="e">
        <f aca="false">VLOOKUP(#REF!,'[1]Listas Desplegables'!$H$3:$J$7,2,FALSE())</f>
        <v>#VALUE!</v>
      </c>
      <c r="B21" s="52" t="e">
        <f aca="false">VLOOKUP(#REF!,'[1]Listas Desplegables'!$H$3:$J$7,3,FALSE())</f>
        <v>#VALUE!</v>
      </c>
      <c r="C21" s="69" t="n">
        <v>16</v>
      </c>
      <c r="D21" s="70"/>
      <c r="E21" s="70"/>
      <c r="F21" s="71"/>
      <c r="G21" s="71"/>
      <c r="H21" s="71"/>
      <c r="I21" s="70"/>
      <c r="J21" s="71"/>
      <c r="K21" s="72"/>
      <c r="L21" s="73"/>
      <c r="M21" s="73"/>
      <c r="N21" s="72"/>
      <c r="O21" s="75"/>
    </row>
    <row r="22" customFormat="false" ht="15" hidden="false" customHeight="false" outlineLevel="0" collapsed="false">
      <c r="A22" s="52" t="e">
        <f aca="false">VLOOKUP(#REF!,'[1]Listas Desplegables'!$H$3:$J$7,2,FALSE())</f>
        <v>#VALUE!</v>
      </c>
      <c r="B22" s="52" t="e">
        <f aca="false">VLOOKUP(#REF!,'[1]Listas Desplegables'!$H$3:$J$7,3,FALSE())</f>
        <v>#VALUE!</v>
      </c>
      <c r="C22" s="69" t="n">
        <v>17</v>
      </c>
      <c r="D22" s="70"/>
      <c r="E22" s="70"/>
      <c r="F22" s="71"/>
      <c r="G22" s="71"/>
      <c r="H22" s="71"/>
      <c r="I22" s="70"/>
      <c r="J22" s="71"/>
      <c r="K22" s="72"/>
      <c r="L22" s="73"/>
      <c r="M22" s="73"/>
      <c r="N22" s="72"/>
      <c r="O22" s="75"/>
    </row>
    <row r="23" customFormat="false" ht="15" hidden="false" customHeight="false" outlineLevel="0" collapsed="false">
      <c r="A23" s="52" t="e">
        <f aca="false">VLOOKUP(#REF!,'[1]Listas Desplegables'!$H$3:$J$7,2,FALSE())</f>
        <v>#VALUE!</v>
      </c>
      <c r="B23" s="52" t="e">
        <f aca="false">VLOOKUP(#REF!,'[1]Listas Desplegables'!$H$3:$J$7,3,FALSE())</f>
        <v>#VALUE!</v>
      </c>
      <c r="C23" s="69" t="n">
        <v>18</v>
      </c>
      <c r="D23" s="70"/>
      <c r="E23" s="70"/>
      <c r="F23" s="71"/>
      <c r="G23" s="71"/>
      <c r="H23" s="71"/>
      <c r="I23" s="70"/>
      <c r="J23" s="71"/>
      <c r="K23" s="72"/>
      <c r="L23" s="73"/>
      <c r="M23" s="73"/>
      <c r="N23" s="72"/>
      <c r="O23" s="75"/>
    </row>
    <row r="24" customFormat="false" ht="15" hidden="false" customHeight="false" outlineLevel="0" collapsed="false">
      <c r="A24" s="52" t="e">
        <f aca="false">VLOOKUP(#REF!,'[1]Listas Desplegables'!$H$3:$J$7,2,FALSE())</f>
        <v>#VALUE!</v>
      </c>
      <c r="B24" s="52" t="e">
        <f aca="false">VLOOKUP(#REF!,'[1]Listas Desplegables'!$H$3:$J$7,3,FALSE())</f>
        <v>#VALUE!</v>
      </c>
      <c r="C24" s="76" t="n">
        <v>19</v>
      </c>
      <c r="D24" s="70"/>
      <c r="E24" s="70"/>
      <c r="F24" s="71"/>
      <c r="G24" s="71"/>
      <c r="H24" s="71"/>
      <c r="I24" s="70"/>
      <c r="J24" s="71"/>
      <c r="K24" s="72"/>
      <c r="L24" s="73"/>
      <c r="M24" s="73"/>
      <c r="N24" s="72"/>
      <c r="O24" s="75"/>
    </row>
    <row r="25" customFormat="false" ht="15" hidden="false" customHeight="false" outlineLevel="0" collapsed="false">
      <c r="A25" s="52" t="e">
        <f aca="false">VLOOKUP(#REF!,'[1]Listas Desplegables'!$H$3:$J$7,2,FALSE())</f>
        <v>#VALUE!</v>
      </c>
      <c r="B25" s="52" t="e">
        <f aca="false">VLOOKUP(#REF!,'[1]Listas Desplegables'!$H$3:$J$7,3,FALSE())</f>
        <v>#VALUE!</v>
      </c>
      <c r="C25" s="77" t="n">
        <v>20</v>
      </c>
      <c r="D25" s="78"/>
      <c r="E25" s="78"/>
      <c r="F25" s="79"/>
      <c r="G25" s="79"/>
      <c r="H25" s="79"/>
      <c r="I25" s="78"/>
      <c r="J25" s="71"/>
      <c r="K25" s="72"/>
      <c r="L25" s="73"/>
      <c r="M25" s="73"/>
      <c r="N25" s="72"/>
      <c r="O25" s="75"/>
    </row>
    <row r="26" customFormat="false" ht="15" hidden="false" customHeight="false" outlineLevel="0" collapsed="false">
      <c r="A26" s="52" t="e">
        <f aca="false">VLOOKUP(#REF!,'[1]Listas Desplegables'!$H$3:$J$7,2,FALSE())</f>
        <v>#VALUE!</v>
      </c>
      <c r="B26" s="52" t="e">
        <f aca="false">VLOOKUP(#REF!,'[1]Listas Desplegables'!$H$3:$J$7,3,FALSE())</f>
        <v>#VALUE!</v>
      </c>
      <c r="C26" s="76" t="n">
        <v>21</v>
      </c>
      <c r="D26" s="78"/>
      <c r="E26" s="78"/>
      <c r="F26" s="79"/>
      <c r="G26" s="79"/>
      <c r="H26" s="79"/>
      <c r="I26" s="78"/>
      <c r="J26" s="71"/>
      <c r="K26" s="72"/>
      <c r="L26" s="73"/>
      <c r="M26" s="73"/>
      <c r="N26" s="72"/>
      <c r="O26" s="75"/>
    </row>
    <row r="27" customFormat="false" ht="15" hidden="false" customHeight="false" outlineLevel="0" collapsed="false">
      <c r="A27" s="52" t="e">
        <f aca="false">VLOOKUP(#REF!,'[1]Listas Desplegables'!$H$3:$J$7,2,FALSE())</f>
        <v>#VALUE!</v>
      </c>
      <c r="B27" s="52" t="e">
        <f aca="false">VLOOKUP(#REF!,'[1]Listas Desplegables'!$H$3:$J$7,3,FALSE())</f>
        <v>#VALUE!</v>
      </c>
      <c r="C27" s="69" t="n">
        <v>22</v>
      </c>
      <c r="D27" s="78"/>
      <c r="E27" s="78"/>
      <c r="F27" s="79"/>
      <c r="G27" s="79"/>
      <c r="H27" s="79"/>
      <c r="I27" s="78"/>
      <c r="J27" s="71"/>
      <c r="K27" s="72"/>
      <c r="L27" s="73"/>
      <c r="M27" s="73"/>
      <c r="N27" s="72"/>
      <c r="O27" s="75"/>
    </row>
    <row r="28" customFormat="false" ht="15" hidden="false" customHeight="false" outlineLevel="0" collapsed="false">
      <c r="A28" s="52" t="e">
        <f aca="false">VLOOKUP(#REF!,'[1]Listas Desplegables'!$H$3:$J$7,2,FALSE())</f>
        <v>#VALUE!</v>
      </c>
      <c r="B28" s="52" t="e">
        <f aca="false">VLOOKUP(#REF!,'[1]Listas Desplegables'!$H$3:$J$7,3,FALSE())</f>
        <v>#VALUE!</v>
      </c>
      <c r="C28" s="69" t="n">
        <v>23</v>
      </c>
      <c r="D28" s="78"/>
      <c r="E28" s="78"/>
      <c r="F28" s="79"/>
      <c r="G28" s="79"/>
      <c r="H28" s="79"/>
      <c r="I28" s="78"/>
      <c r="J28" s="71"/>
      <c r="K28" s="72"/>
      <c r="L28" s="73"/>
      <c r="M28" s="73"/>
      <c r="N28" s="72"/>
      <c r="O28" s="75"/>
    </row>
    <row r="29" customFormat="false" ht="15" hidden="false" customHeight="false" outlineLevel="0" collapsed="false">
      <c r="A29" s="52" t="e">
        <f aca="false">VLOOKUP(#REF!,'[1]Listas Desplegables'!$H$3:$J$7,2,FALSE())</f>
        <v>#VALUE!</v>
      </c>
      <c r="B29" s="52" t="e">
        <f aca="false">VLOOKUP(#REF!,'[1]Listas Desplegables'!$H$3:$J$7,3,FALSE())</f>
        <v>#VALUE!</v>
      </c>
      <c r="C29" s="69" t="n">
        <v>24</v>
      </c>
      <c r="D29" s="78"/>
      <c r="E29" s="78"/>
      <c r="F29" s="79"/>
      <c r="G29" s="79"/>
      <c r="H29" s="79"/>
      <c r="I29" s="78"/>
      <c r="J29" s="71"/>
      <c r="K29" s="72"/>
      <c r="L29" s="73"/>
      <c r="M29" s="73"/>
      <c r="N29" s="72"/>
      <c r="O29" s="75"/>
    </row>
    <row r="30" customFormat="false" ht="15" hidden="false" customHeight="false" outlineLevel="0" collapsed="false">
      <c r="A30" s="52" t="e">
        <f aca="false">VLOOKUP(#REF!,'[1]Listas Desplegables'!$H$3:$J$7,2,FALSE())</f>
        <v>#VALUE!</v>
      </c>
      <c r="B30" s="52" t="e">
        <f aca="false">VLOOKUP(#REF!,'[1]Listas Desplegables'!$H$3:$J$7,3,FALSE())</f>
        <v>#VALUE!</v>
      </c>
      <c r="C30" s="69" t="n">
        <v>25</v>
      </c>
      <c r="D30" s="78"/>
      <c r="E30" s="78"/>
      <c r="F30" s="79"/>
      <c r="G30" s="79"/>
      <c r="H30" s="79"/>
      <c r="I30" s="78"/>
      <c r="J30" s="71"/>
      <c r="K30" s="72"/>
      <c r="L30" s="73"/>
      <c r="M30" s="73"/>
      <c r="N30" s="72"/>
      <c r="O30" s="75"/>
    </row>
    <row r="31" customFormat="false" ht="15" hidden="false" customHeight="false" outlineLevel="0" collapsed="false">
      <c r="A31" s="52" t="e">
        <f aca="false">VLOOKUP(#REF!,'[1]Listas Desplegables'!$H$3:$J$7,2,FALSE())</f>
        <v>#VALUE!</v>
      </c>
      <c r="B31" s="52" t="e">
        <f aca="false">VLOOKUP(#REF!,'[1]Listas Desplegables'!$H$3:$J$7,3,FALSE())</f>
        <v>#VALUE!</v>
      </c>
      <c r="C31" s="69" t="n">
        <v>26</v>
      </c>
      <c r="D31" s="78"/>
      <c r="E31" s="78"/>
      <c r="F31" s="79"/>
      <c r="G31" s="79"/>
      <c r="H31" s="79"/>
      <c r="I31" s="78"/>
      <c r="J31" s="71"/>
      <c r="K31" s="72"/>
      <c r="L31" s="73"/>
      <c r="M31" s="73"/>
      <c r="N31" s="72"/>
      <c r="O31" s="75"/>
    </row>
    <row r="32" customFormat="false" ht="15" hidden="false" customHeight="false" outlineLevel="0" collapsed="false">
      <c r="A32" s="52" t="e">
        <f aca="false">VLOOKUP(#REF!,'[1]Listas Desplegables'!$H$3:$J$7,2,FALSE())</f>
        <v>#VALUE!</v>
      </c>
      <c r="B32" s="52" t="e">
        <f aca="false">VLOOKUP(#REF!,'[1]Listas Desplegables'!$H$3:$J$7,3,FALSE())</f>
        <v>#VALUE!</v>
      </c>
      <c r="C32" s="69" t="n">
        <v>27</v>
      </c>
      <c r="D32" s="78"/>
      <c r="E32" s="78"/>
      <c r="F32" s="79"/>
      <c r="G32" s="79"/>
      <c r="H32" s="79"/>
      <c r="I32" s="78"/>
      <c r="J32" s="71"/>
      <c r="K32" s="72"/>
      <c r="L32" s="73"/>
      <c r="M32" s="73"/>
      <c r="N32" s="72"/>
      <c r="O32" s="75"/>
    </row>
    <row r="33" customFormat="false" ht="15" hidden="false" customHeight="false" outlineLevel="0" collapsed="false">
      <c r="A33" s="52" t="e">
        <f aca="false">VLOOKUP(#REF!,'[1]Listas Desplegables'!$H$3:$J$7,2,FALSE())</f>
        <v>#VALUE!</v>
      </c>
      <c r="B33" s="52" t="e">
        <f aca="false">VLOOKUP(#REF!,'[1]Listas Desplegables'!$H$3:$J$7,3,FALSE())</f>
        <v>#VALUE!</v>
      </c>
      <c r="C33" s="69" t="n">
        <v>28</v>
      </c>
      <c r="D33" s="78"/>
      <c r="E33" s="78"/>
      <c r="F33" s="79"/>
      <c r="G33" s="79"/>
      <c r="H33" s="79"/>
      <c r="I33" s="78"/>
      <c r="J33" s="71"/>
      <c r="K33" s="72"/>
      <c r="L33" s="73"/>
      <c r="M33" s="73"/>
      <c r="N33" s="72"/>
      <c r="O33" s="75"/>
    </row>
    <row r="34" customFormat="false" ht="15" hidden="false" customHeight="false" outlineLevel="0" collapsed="false">
      <c r="A34" s="52" t="e">
        <f aca="false">VLOOKUP(#REF!,'[1]Listas Desplegables'!$H$3:$J$7,2,FALSE())</f>
        <v>#VALUE!</v>
      </c>
      <c r="B34" s="52" t="e">
        <f aca="false">VLOOKUP(#REF!,'[1]Listas Desplegables'!$H$3:$J$7,3,FALSE())</f>
        <v>#VALUE!</v>
      </c>
      <c r="C34" s="69" t="n">
        <v>29</v>
      </c>
      <c r="D34" s="78"/>
      <c r="E34" s="78"/>
      <c r="F34" s="79"/>
      <c r="G34" s="79"/>
      <c r="H34" s="79"/>
      <c r="I34" s="78"/>
      <c r="J34" s="71"/>
      <c r="K34" s="72"/>
      <c r="L34" s="73"/>
      <c r="M34" s="73"/>
      <c r="N34" s="72"/>
      <c r="O34" s="75"/>
    </row>
    <row r="35" customFormat="false" ht="15" hidden="false" customHeight="false" outlineLevel="0" collapsed="false">
      <c r="A35" s="52" t="e">
        <f aca="false">VLOOKUP(#REF!,'[1]Listas Desplegables'!$H$3:$J$7,2,FALSE())</f>
        <v>#VALUE!</v>
      </c>
      <c r="B35" s="52" t="e">
        <f aca="false">VLOOKUP(#REF!,'[1]Listas Desplegables'!$H$3:$J$7,3,FALSE())</f>
        <v>#VALUE!</v>
      </c>
      <c r="C35" s="76" t="n">
        <v>30</v>
      </c>
      <c r="D35" s="78"/>
      <c r="E35" s="78"/>
      <c r="F35" s="79"/>
      <c r="G35" s="79"/>
      <c r="H35" s="79"/>
      <c r="I35" s="78"/>
      <c r="J35" s="71"/>
      <c r="K35" s="72"/>
      <c r="L35" s="73"/>
      <c r="M35" s="73"/>
      <c r="N35" s="72"/>
      <c r="O35" s="75"/>
    </row>
    <row r="36" customFormat="false" ht="15" hidden="false" customHeight="false" outlineLevel="0" collapsed="false">
      <c r="A36" s="52" t="e">
        <f aca="false">VLOOKUP(#REF!,'[1]Listas Desplegables'!$H$3:$J$7,2,FALSE())</f>
        <v>#VALUE!</v>
      </c>
      <c r="B36" s="52" t="e">
        <f aca="false">VLOOKUP(#REF!,'[1]Listas Desplegables'!$H$3:$J$7,3,FALSE())</f>
        <v>#VALUE!</v>
      </c>
      <c r="C36" s="69" t="n">
        <v>31</v>
      </c>
      <c r="D36" s="78"/>
      <c r="E36" s="78"/>
      <c r="F36" s="79"/>
      <c r="G36" s="79"/>
      <c r="H36" s="79"/>
      <c r="I36" s="78"/>
      <c r="J36" s="71"/>
      <c r="K36" s="72"/>
      <c r="L36" s="73"/>
      <c r="M36" s="73"/>
      <c r="N36" s="72"/>
      <c r="O36" s="75"/>
    </row>
    <row r="37" customFormat="false" ht="15" hidden="false" customHeight="false" outlineLevel="0" collapsed="false">
      <c r="A37" s="52" t="e">
        <f aca="false">VLOOKUP(#REF!,'[1]Listas Desplegables'!$H$3:$J$7,2,FALSE())</f>
        <v>#VALUE!</v>
      </c>
      <c r="B37" s="52" t="e">
        <f aca="false">VLOOKUP(#REF!,'[1]Listas Desplegables'!$H$3:$J$7,3,FALSE())</f>
        <v>#VALUE!</v>
      </c>
      <c r="C37" s="69" t="n">
        <v>32</v>
      </c>
      <c r="D37" s="78"/>
      <c r="E37" s="78"/>
      <c r="F37" s="79"/>
      <c r="G37" s="79"/>
      <c r="H37" s="79"/>
      <c r="I37" s="78"/>
      <c r="J37" s="71"/>
      <c r="K37" s="72"/>
      <c r="L37" s="73"/>
      <c r="M37" s="73"/>
      <c r="N37" s="72"/>
      <c r="O37" s="75"/>
    </row>
    <row r="38" customFormat="false" ht="15" hidden="false" customHeight="false" outlineLevel="0" collapsed="false">
      <c r="A38" s="52" t="e">
        <f aca="false">VLOOKUP(#REF!,'[1]Listas Desplegables'!$H$3:$J$7,2,FALSE())</f>
        <v>#VALUE!</v>
      </c>
      <c r="B38" s="52" t="e">
        <f aca="false">VLOOKUP(#REF!,'[1]Listas Desplegables'!$H$3:$J$7,3,FALSE())</f>
        <v>#VALUE!</v>
      </c>
      <c r="C38" s="69" t="n">
        <v>33</v>
      </c>
      <c r="D38" s="78"/>
      <c r="E38" s="78"/>
      <c r="F38" s="79"/>
      <c r="G38" s="79"/>
      <c r="H38" s="79"/>
      <c r="I38" s="78"/>
      <c r="J38" s="71"/>
      <c r="K38" s="72"/>
      <c r="L38" s="73"/>
      <c r="M38" s="73"/>
      <c r="N38" s="72"/>
      <c r="O38" s="75"/>
    </row>
    <row r="39" customFormat="false" ht="15" hidden="false" customHeight="false" outlineLevel="0" collapsed="false">
      <c r="A39" s="52" t="e">
        <f aca="false">VLOOKUP(#REF!,'[1]Listas Desplegables'!$H$3:$J$7,2,FALSE())</f>
        <v>#VALUE!</v>
      </c>
      <c r="B39" s="52" t="e">
        <f aca="false">VLOOKUP(#REF!,'[1]Listas Desplegables'!$H$3:$J$7,3,FALSE())</f>
        <v>#VALUE!</v>
      </c>
      <c r="C39" s="69" t="n">
        <v>34</v>
      </c>
      <c r="D39" s="78"/>
      <c r="E39" s="78"/>
      <c r="F39" s="79"/>
      <c r="G39" s="79"/>
      <c r="H39" s="79"/>
      <c r="I39" s="78"/>
      <c r="J39" s="71"/>
      <c r="K39" s="72"/>
      <c r="L39" s="73"/>
      <c r="M39" s="73"/>
      <c r="N39" s="72"/>
      <c r="O39" s="75"/>
    </row>
    <row r="40" customFormat="false" ht="15" hidden="false" customHeight="false" outlineLevel="0" collapsed="false">
      <c r="A40" s="52" t="e">
        <f aca="false">VLOOKUP(#REF!,'[1]Listas Desplegables'!$H$3:$J$7,2,FALSE())</f>
        <v>#VALUE!</v>
      </c>
      <c r="B40" s="52" t="e">
        <f aca="false">VLOOKUP(#REF!,'[1]Listas Desplegables'!$H$3:$J$7,3,FALSE())</f>
        <v>#VALUE!</v>
      </c>
      <c r="C40" s="69" t="n">
        <v>35</v>
      </c>
      <c r="D40" s="78"/>
      <c r="E40" s="78"/>
      <c r="F40" s="79"/>
      <c r="G40" s="79"/>
      <c r="H40" s="79"/>
      <c r="I40" s="78"/>
      <c r="J40" s="71"/>
      <c r="K40" s="72"/>
      <c r="L40" s="73"/>
      <c r="M40" s="73"/>
      <c r="N40" s="72"/>
      <c r="O40" s="75"/>
    </row>
    <row r="41" customFormat="false" ht="15" hidden="false" customHeight="false" outlineLevel="0" collapsed="false">
      <c r="A41" s="52" t="e">
        <f aca="false">VLOOKUP(#REF!,'[1]Listas Desplegables'!$H$3:$J$7,2,FALSE())</f>
        <v>#VALUE!</v>
      </c>
      <c r="B41" s="52" t="e">
        <f aca="false">VLOOKUP(#REF!,'[1]Listas Desplegables'!$H$3:$J$7,3,FALSE())</f>
        <v>#VALUE!</v>
      </c>
      <c r="C41" s="69" t="n">
        <v>36</v>
      </c>
      <c r="D41" s="78"/>
      <c r="E41" s="78"/>
      <c r="F41" s="79"/>
      <c r="G41" s="79"/>
      <c r="H41" s="79"/>
      <c r="I41" s="78"/>
      <c r="J41" s="71"/>
      <c r="K41" s="72"/>
      <c r="L41" s="73"/>
      <c r="M41" s="73"/>
      <c r="N41" s="72"/>
      <c r="O41" s="75"/>
    </row>
    <row r="42" customFormat="false" ht="15" hidden="false" customHeight="false" outlineLevel="0" collapsed="false">
      <c r="A42" s="52" t="e">
        <f aca="false">VLOOKUP(#REF!,'[1]Listas Desplegables'!$H$3:$J$7,2,FALSE())</f>
        <v>#VALUE!</v>
      </c>
      <c r="B42" s="52" t="e">
        <f aca="false">VLOOKUP(#REF!,'[1]Listas Desplegables'!$H$3:$J$7,3,FALSE())</f>
        <v>#VALUE!</v>
      </c>
      <c r="C42" s="69" t="n">
        <v>37</v>
      </c>
      <c r="D42" s="78"/>
      <c r="E42" s="78"/>
      <c r="F42" s="79"/>
      <c r="G42" s="79"/>
      <c r="H42" s="79"/>
      <c r="I42" s="78"/>
      <c r="J42" s="71"/>
      <c r="K42" s="72"/>
      <c r="L42" s="73"/>
      <c r="M42" s="73"/>
      <c r="N42" s="72"/>
      <c r="O42" s="75"/>
    </row>
    <row r="43" customFormat="false" ht="15" hidden="false" customHeight="false" outlineLevel="0" collapsed="false">
      <c r="A43" s="52" t="e">
        <f aca="false">VLOOKUP(#REF!,'[1]Listas Desplegables'!$H$3:$J$7,2,FALSE())</f>
        <v>#VALUE!</v>
      </c>
      <c r="B43" s="52" t="e">
        <f aca="false">VLOOKUP(#REF!,'[1]Listas Desplegables'!$H$3:$J$7,3,FALSE())</f>
        <v>#VALUE!</v>
      </c>
      <c r="C43" s="69" t="n">
        <v>38</v>
      </c>
      <c r="D43" s="78"/>
      <c r="E43" s="78"/>
      <c r="F43" s="79"/>
      <c r="G43" s="79"/>
      <c r="H43" s="79"/>
      <c r="I43" s="78"/>
      <c r="J43" s="71"/>
      <c r="K43" s="72"/>
      <c r="L43" s="73"/>
      <c r="M43" s="73"/>
      <c r="N43" s="72"/>
      <c r="O43" s="75"/>
    </row>
    <row r="44" customFormat="false" ht="15" hidden="false" customHeight="false" outlineLevel="0" collapsed="false">
      <c r="A44" s="52" t="e">
        <f aca="false">VLOOKUP(#REF!,'[1]Listas Desplegables'!$H$3:$J$7,2,FALSE())</f>
        <v>#VALUE!</v>
      </c>
      <c r="B44" s="52" t="e">
        <f aca="false">VLOOKUP(#REF!,'[1]Listas Desplegables'!$H$3:$J$7,3,FALSE())</f>
        <v>#VALUE!</v>
      </c>
      <c r="C44" s="76" t="n">
        <v>39</v>
      </c>
      <c r="D44" s="78"/>
      <c r="E44" s="78"/>
      <c r="F44" s="79"/>
      <c r="G44" s="79"/>
      <c r="H44" s="79"/>
      <c r="I44" s="78"/>
      <c r="J44" s="71"/>
      <c r="K44" s="72"/>
      <c r="L44" s="73"/>
      <c r="M44" s="73"/>
      <c r="N44" s="72"/>
      <c r="O44" s="75"/>
    </row>
    <row r="45" customFormat="false" ht="15" hidden="false" customHeight="false" outlineLevel="0" collapsed="false">
      <c r="A45" s="52" t="e">
        <f aca="false">VLOOKUP(#REF!,'[1]Listas Desplegables'!$H$3:$J$7,2,FALSE())</f>
        <v>#VALUE!</v>
      </c>
      <c r="B45" s="52" t="e">
        <f aca="false">VLOOKUP(#REF!,'[1]Listas Desplegables'!$H$3:$J$7,3,FALSE())</f>
        <v>#VALUE!</v>
      </c>
      <c r="C45" s="77" t="n">
        <v>40</v>
      </c>
      <c r="D45" s="78"/>
      <c r="E45" s="78"/>
      <c r="F45" s="79"/>
      <c r="G45" s="79"/>
      <c r="H45" s="79"/>
      <c r="I45" s="78"/>
      <c r="J45" s="71"/>
      <c r="K45" s="72"/>
      <c r="L45" s="73"/>
      <c r="M45" s="73"/>
      <c r="N45" s="72"/>
      <c r="O45" s="75"/>
    </row>
    <row r="46" customFormat="false" ht="15" hidden="false" customHeight="false" outlineLevel="0" collapsed="false">
      <c r="A46" s="52" t="e">
        <f aca="false">VLOOKUP(#REF!,'[1]Listas Desplegables'!$H$3:$J$7,2,FALSE())</f>
        <v>#VALUE!</v>
      </c>
      <c r="B46" s="52" t="e">
        <f aca="false">VLOOKUP(#REF!,'[1]Listas Desplegables'!$H$3:$J$7,3,FALSE())</f>
        <v>#VALUE!</v>
      </c>
      <c r="C46" s="76" t="n">
        <v>41</v>
      </c>
      <c r="D46" s="78"/>
      <c r="E46" s="78"/>
      <c r="F46" s="79"/>
      <c r="G46" s="79"/>
      <c r="H46" s="79"/>
      <c r="I46" s="78"/>
      <c r="J46" s="71"/>
      <c r="K46" s="72"/>
      <c r="L46" s="73"/>
      <c r="M46" s="73"/>
      <c r="N46" s="72"/>
      <c r="O46" s="75"/>
    </row>
    <row r="47" customFormat="false" ht="15" hidden="false" customHeight="false" outlineLevel="0" collapsed="false">
      <c r="A47" s="52" t="e">
        <f aca="false">VLOOKUP(#REF!,'[1]Listas Desplegables'!$H$3:$J$7,2,FALSE())</f>
        <v>#VALUE!</v>
      </c>
      <c r="B47" s="52" t="e">
        <f aca="false">VLOOKUP(#REF!,'[1]Listas Desplegables'!$H$3:$J$7,3,FALSE())</f>
        <v>#VALUE!</v>
      </c>
      <c r="C47" s="69" t="n">
        <v>42</v>
      </c>
      <c r="D47" s="78"/>
      <c r="E47" s="78"/>
      <c r="F47" s="79"/>
      <c r="G47" s="79"/>
      <c r="H47" s="79"/>
      <c r="I47" s="78"/>
      <c r="J47" s="71"/>
      <c r="K47" s="72"/>
      <c r="L47" s="73"/>
      <c r="M47" s="73"/>
      <c r="N47" s="72"/>
      <c r="O47" s="75"/>
    </row>
    <row r="48" customFormat="false" ht="15" hidden="false" customHeight="false" outlineLevel="0" collapsed="false">
      <c r="A48" s="52" t="e">
        <f aca="false">VLOOKUP(#REF!,'[1]Listas Desplegables'!$H$3:$J$7,2,FALSE())</f>
        <v>#VALUE!</v>
      </c>
      <c r="B48" s="52" t="e">
        <f aca="false">VLOOKUP(#REF!,'[1]Listas Desplegables'!$H$3:$J$7,3,FALSE())</f>
        <v>#VALUE!</v>
      </c>
      <c r="C48" s="69" t="n">
        <v>43</v>
      </c>
      <c r="D48" s="78"/>
      <c r="E48" s="78"/>
      <c r="F48" s="79"/>
      <c r="G48" s="79"/>
      <c r="H48" s="79"/>
      <c r="I48" s="78"/>
      <c r="J48" s="71"/>
      <c r="K48" s="72"/>
      <c r="L48" s="73"/>
      <c r="M48" s="73"/>
      <c r="N48" s="72"/>
      <c r="O48" s="75"/>
    </row>
    <row r="49" customFormat="false" ht="15" hidden="false" customHeight="false" outlineLevel="0" collapsed="false">
      <c r="A49" s="52" t="e">
        <f aca="false">VLOOKUP(#REF!,'[1]Listas Desplegables'!$H$3:$J$7,2,FALSE())</f>
        <v>#VALUE!</v>
      </c>
      <c r="B49" s="52" t="e">
        <f aca="false">VLOOKUP(#REF!,'[1]Listas Desplegables'!$H$3:$J$7,3,FALSE())</f>
        <v>#VALUE!</v>
      </c>
      <c r="C49" s="69" t="n">
        <v>44</v>
      </c>
      <c r="D49" s="78"/>
      <c r="E49" s="78"/>
      <c r="F49" s="79"/>
      <c r="G49" s="79"/>
      <c r="H49" s="79"/>
      <c r="I49" s="78"/>
      <c r="J49" s="71"/>
      <c r="K49" s="72"/>
      <c r="L49" s="73"/>
      <c r="M49" s="73"/>
      <c r="N49" s="72"/>
      <c r="O49" s="75"/>
    </row>
    <row r="50" customFormat="false" ht="15" hidden="false" customHeight="false" outlineLevel="0" collapsed="false">
      <c r="A50" s="52" t="e">
        <f aca="false">VLOOKUP(#REF!,'[1]Listas Desplegables'!$H$3:$J$7,2,FALSE())</f>
        <v>#VALUE!</v>
      </c>
      <c r="B50" s="52" t="e">
        <f aca="false">VLOOKUP(#REF!,'[1]Listas Desplegables'!$H$3:$J$7,3,FALSE())</f>
        <v>#VALUE!</v>
      </c>
      <c r="C50" s="69" t="n">
        <v>45</v>
      </c>
      <c r="D50" s="78"/>
      <c r="E50" s="78"/>
      <c r="F50" s="79"/>
      <c r="G50" s="79"/>
      <c r="H50" s="79"/>
      <c r="I50" s="78"/>
      <c r="J50" s="71"/>
      <c r="K50" s="72"/>
      <c r="L50" s="73"/>
      <c r="M50" s="73"/>
      <c r="N50" s="72"/>
      <c r="O50" s="75"/>
    </row>
    <row r="51" customFormat="false" ht="15" hidden="false" customHeight="false" outlineLevel="0" collapsed="false">
      <c r="A51" s="52" t="e">
        <f aca="false">VLOOKUP(#REF!,'[1]Listas Desplegables'!$H$3:$J$7,2,FALSE())</f>
        <v>#VALUE!</v>
      </c>
      <c r="B51" s="52" t="e">
        <f aca="false">VLOOKUP(#REF!,'[1]Listas Desplegables'!$H$3:$J$7,3,FALSE())</f>
        <v>#VALUE!</v>
      </c>
      <c r="C51" s="69" t="n">
        <v>46</v>
      </c>
      <c r="D51" s="78"/>
      <c r="E51" s="78"/>
      <c r="F51" s="79"/>
      <c r="G51" s="79"/>
      <c r="H51" s="79"/>
      <c r="I51" s="78"/>
      <c r="J51" s="71"/>
      <c r="K51" s="72"/>
      <c r="L51" s="73"/>
      <c r="M51" s="73"/>
      <c r="N51" s="72"/>
      <c r="O51" s="75"/>
    </row>
    <row r="52" customFormat="false" ht="15" hidden="false" customHeight="false" outlineLevel="0" collapsed="false">
      <c r="A52" s="52" t="e">
        <f aca="false">VLOOKUP(#REF!,'[1]Listas Desplegables'!$H$3:$J$7,2,FALSE())</f>
        <v>#VALUE!</v>
      </c>
      <c r="B52" s="52" t="e">
        <f aca="false">VLOOKUP(#REF!,'[1]Listas Desplegables'!$H$3:$J$7,3,FALSE())</f>
        <v>#VALUE!</v>
      </c>
      <c r="C52" s="69" t="n">
        <v>47</v>
      </c>
      <c r="D52" s="78"/>
      <c r="E52" s="78"/>
      <c r="F52" s="79"/>
      <c r="G52" s="79"/>
      <c r="H52" s="79"/>
      <c r="I52" s="78"/>
      <c r="J52" s="71"/>
      <c r="K52" s="72"/>
      <c r="L52" s="73"/>
      <c r="M52" s="73"/>
      <c r="N52" s="72"/>
      <c r="O52" s="75"/>
    </row>
    <row r="53" customFormat="false" ht="15" hidden="false" customHeight="false" outlineLevel="0" collapsed="false">
      <c r="A53" s="52" t="e">
        <f aca="false">VLOOKUP(#REF!,'[1]Listas Desplegables'!$H$3:$J$7,2,FALSE())</f>
        <v>#VALUE!</v>
      </c>
      <c r="B53" s="52" t="e">
        <f aca="false">VLOOKUP(#REF!,'[1]Listas Desplegables'!$H$3:$J$7,3,FALSE())</f>
        <v>#VALUE!</v>
      </c>
      <c r="C53" s="69" t="n">
        <v>48</v>
      </c>
      <c r="D53" s="78"/>
      <c r="E53" s="78"/>
      <c r="F53" s="79"/>
      <c r="G53" s="79"/>
      <c r="H53" s="79"/>
      <c r="I53" s="78"/>
      <c r="J53" s="71"/>
      <c r="K53" s="72"/>
      <c r="L53" s="73"/>
      <c r="M53" s="73"/>
      <c r="N53" s="72"/>
      <c r="O53" s="75"/>
    </row>
    <row r="54" customFormat="false" ht="15" hidden="false" customHeight="false" outlineLevel="0" collapsed="false">
      <c r="A54" s="52" t="e">
        <f aca="false">VLOOKUP(#REF!,'[1]Listas Desplegables'!$H$3:$J$7,2,FALSE())</f>
        <v>#VALUE!</v>
      </c>
      <c r="B54" s="52" t="e">
        <f aca="false">VLOOKUP(#REF!,'[1]Listas Desplegables'!$H$3:$J$7,3,FALSE())</f>
        <v>#VALUE!</v>
      </c>
      <c r="C54" s="69" t="n">
        <v>49</v>
      </c>
      <c r="D54" s="78"/>
      <c r="E54" s="78"/>
      <c r="F54" s="79"/>
      <c r="G54" s="79"/>
      <c r="H54" s="79"/>
      <c r="I54" s="78"/>
      <c r="J54" s="71"/>
      <c r="K54" s="72"/>
      <c r="L54" s="73"/>
      <c r="M54" s="73"/>
      <c r="N54" s="72"/>
      <c r="O54" s="75"/>
    </row>
    <row r="55" customFormat="false" ht="15" hidden="false" customHeight="false" outlineLevel="0" collapsed="false">
      <c r="A55" s="52" t="e">
        <f aca="false">VLOOKUP(#REF!,'[1]Listas Desplegables'!$H$3:$J$7,2,FALSE())</f>
        <v>#VALUE!</v>
      </c>
      <c r="B55" s="52" t="e">
        <f aca="false">VLOOKUP(#REF!,'[1]Listas Desplegables'!$H$3:$J$7,3,FALSE())</f>
        <v>#VALUE!</v>
      </c>
      <c r="C55" s="76" t="n">
        <v>50</v>
      </c>
      <c r="D55" s="78"/>
      <c r="E55" s="78"/>
      <c r="F55" s="79"/>
      <c r="G55" s="79"/>
      <c r="H55" s="79"/>
      <c r="I55" s="78"/>
      <c r="J55" s="71"/>
      <c r="K55" s="72"/>
      <c r="L55" s="73"/>
      <c r="M55" s="73"/>
      <c r="N55" s="72"/>
      <c r="O55" s="75"/>
    </row>
    <row r="56" customFormat="false" ht="15" hidden="false" customHeight="false" outlineLevel="0" collapsed="false">
      <c r="A56" s="52" t="e">
        <f aca="false">VLOOKUP(#REF!,'[1]Listas Desplegables'!$H$3:$J$7,2,FALSE())</f>
        <v>#VALUE!</v>
      </c>
      <c r="B56" s="52" t="e">
        <f aca="false">VLOOKUP(#REF!,'[1]Listas Desplegables'!$H$3:$J$7,3,FALSE())</f>
        <v>#VALUE!</v>
      </c>
      <c r="C56" s="69" t="n">
        <v>51</v>
      </c>
      <c r="D56" s="78"/>
      <c r="E56" s="78"/>
      <c r="F56" s="79"/>
      <c r="G56" s="79"/>
      <c r="H56" s="79"/>
      <c r="I56" s="78"/>
      <c r="J56" s="71"/>
      <c r="K56" s="72"/>
      <c r="L56" s="73"/>
      <c r="M56" s="73"/>
      <c r="N56" s="72"/>
      <c r="O56" s="75"/>
    </row>
    <row r="57" customFormat="false" ht="15.75" hidden="false" customHeight="false" outlineLevel="0" collapsed="false">
      <c r="A57" s="52" t="e">
        <f aca="false">VLOOKUP(#REF!,'[1]Listas Desplegables'!$H$3:$J$7,2,FALSE())</f>
        <v>#VALUE!</v>
      </c>
      <c r="B57" s="52" t="e">
        <f aca="false">VLOOKUP(#REF!,'[1]Listas Desplegables'!$H$3:$J$7,3,FALSE())</f>
        <v>#VALUE!</v>
      </c>
      <c r="C57" s="84" t="s">
        <v>842</v>
      </c>
      <c r="D57" s="85"/>
      <c r="E57" s="85"/>
      <c r="F57" s="85"/>
      <c r="G57" s="85"/>
      <c r="H57" s="85"/>
      <c r="I57" s="85"/>
      <c r="J57" s="85"/>
      <c r="K57" s="86"/>
      <c r="L57" s="86"/>
      <c r="M57" s="86"/>
      <c r="N57" s="86"/>
      <c r="O57" s="88"/>
    </row>
  </sheetData>
  <mergeCells count="14">
    <mergeCell ref="C3:O3"/>
    <mergeCell ref="C4:C5"/>
    <mergeCell ref="D4:D5"/>
    <mergeCell ref="E4:E5"/>
    <mergeCell ref="F4:F5"/>
    <mergeCell ref="G4:G5"/>
    <mergeCell ref="H4:H5"/>
    <mergeCell ref="I4:I5"/>
    <mergeCell ref="J4:J5"/>
    <mergeCell ref="K4:K5"/>
    <mergeCell ref="L4:L5"/>
    <mergeCell ref="M4:M5"/>
    <mergeCell ref="N4:N5"/>
    <mergeCell ref="O4:O5"/>
  </mergeCells>
  <dataValidations count="6">
    <dataValidation allowBlank="true" errorStyle="stop" operator="greaterThan" showDropDown="false" showErrorMessage="true" showInputMessage="true" sqref="H6:H1057" type="date">
      <formula1>36526</formula1>
      <formula2>0</formula2>
    </dataValidation>
    <dataValidation allowBlank="true" errorStyle="stop" operator="between" showDropDown="false" showErrorMessage="true" showInputMessage="true" sqref="J6:K1057" type="decimal">
      <formula1>-1000000000</formula1>
      <formula2>10000000000000</formula2>
    </dataValidation>
    <dataValidation allowBlank="true" errorStyle="stop" operator="between" showDropDown="false" showErrorMessage="true" showInputMessage="true" sqref="F6:F1057" type="decimal">
      <formula1>-10000000</formula1>
      <formula2>1000000000</formula2>
    </dataValidation>
    <dataValidation allowBlank="true" errorStyle="stop" operator="between" showDropDown="false" showErrorMessage="true" showInputMessage="true" sqref="I58:I1057" type="list">
      <formula1>'c:\users\aacosta\downloads\[circular_002_anexo.xlsx]listas desplegables'!#ref!</formula1>
      <formula2>0</formula2>
    </dataValidation>
    <dataValidation allowBlank="true" errorStyle="stop" operator="between" showDropDown="false" showErrorMessage="true" showInputMessage="true" sqref="G6:G1057" type="list">
      <formula1>'Listas Desplegables'!$B$86:$B$87</formula1>
      <formula2>0</formula2>
    </dataValidation>
    <dataValidation allowBlank="true" errorStyle="stop" operator="between" showDropDown="false" showErrorMessage="true" showInputMessage="true" sqref="N6:N57" type="list">
      <formula1>'Listas Desplegables'!$B$90:$B$93</formula1>
      <formula2>0</formula2>
    </dataValidation>
  </dataValidation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93"/>
  <sheetViews>
    <sheetView showFormulas="false" showGridLines="false" showRowColHeaders="true" showZeros="true" rightToLeft="false" tabSelected="false" showOutlineSymbols="true" defaultGridColor="true" view="normal" topLeftCell="A70" colorId="64" zoomScale="100" zoomScaleNormal="100" zoomScalePageLayoutView="100" workbookViewId="0">
      <selection pane="topLeft" activeCell="B90" activeCellId="0" sqref="B90"/>
    </sheetView>
  </sheetViews>
  <sheetFormatPr defaultColWidth="11.57421875" defaultRowHeight="15" zeroHeight="false" outlineLevelRow="0" outlineLevelCol="0"/>
  <cols>
    <col collapsed="false" customWidth="true" hidden="false" outlineLevel="0" max="1" min="1" style="1" width="3.72"/>
    <col collapsed="false" customWidth="true" hidden="false" outlineLevel="0" max="2" min="2" style="1" width="49.14"/>
    <col collapsed="false" customWidth="true" hidden="false" outlineLevel="0" max="3" min="3" style="1" width="4.86"/>
    <col collapsed="false" customWidth="true" hidden="false" outlineLevel="0" max="5" min="5" style="52" width="20.29"/>
    <col collapsed="false" customWidth="true" hidden="false" outlineLevel="0" max="7" min="6" style="52" width="11.43"/>
    <col collapsed="false" customWidth="true" hidden="false" outlineLevel="0" max="8" min="8" style="52" width="32.57"/>
    <col collapsed="false" customWidth="true" hidden="false" outlineLevel="0" max="9" min="9" style="52" width="12.43"/>
    <col collapsed="false" customWidth="true" hidden="false" outlineLevel="0" max="10" min="10" style="52" width="22.14"/>
    <col collapsed="false" customWidth="true" hidden="false" outlineLevel="0" max="19" min="11" style="52" width="11.43"/>
  </cols>
  <sheetData>
    <row r="2" customFormat="false" ht="15" hidden="false" customHeight="false" outlineLevel="0" collapsed="false">
      <c r="B2" s="104" t="s">
        <v>1781</v>
      </c>
    </row>
    <row r="3" customFormat="false" ht="15" hidden="false" customHeight="false" outlineLevel="0" collapsed="false">
      <c r="B3" s="105" t="s">
        <v>1782</v>
      </c>
      <c r="E3" s="106" t="s">
        <v>1783</v>
      </c>
      <c r="F3" s="52" t="n">
        <v>0</v>
      </c>
      <c r="G3" s="52" t="n">
        <v>100</v>
      </c>
    </row>
    <row r="4" customFormat="false" ht="15" hidden="false" customHeight="false" outlineLevel="0" collapsed="false">
      <c r="B4" s="107" t="s">
        <v>199</v>
      </c>
      <c r="E4" s="52" t="s">
        <v>1784</v>
      </c>
      <c r="F4" s="52" t="n">
        <v>0</v>
      </c>
      <c r="G4" s="52" t="n">
        <v>1000</v>
      </c>
    </row>
    <row r="5" customFormat="false" ht="15" hidden="false" customHeight="false" outlineLevel="0" collapsed="false">
      <c r="B5" s="108" t="s">
        <v>210</v>
      </c>
      <c r="E5" s="52" t="s">
        <v>1785</v>
      </c>
      <c r="F5" s="52" t="n">
        <v>0</v>
      </c>
      <c r="G5" s="52" t="n">
        <v>1000</v>
      </c>
    </row>
    <row r="6" s="52" customFormat="true" ht="15" hidden="false" customHeight="false" outlineLevel="0" collapsed="false">
      <c r="B6" s="108" t="s">
        <v>233</v>
      </c>
    </row>
    <row r="7" s="52" customFormat="true" ht="15" hidden="false" customHeight="false" outlineLevel="0" collapsed="false">
      <c r="B7" s="109" t="s">
        <v>1786</v>
      </c>
      <c r="E7" s="52" t="s">
        <v>1787</v>
      </c>
    </row>
    <row r="8" s="52" customFormat="true" ht="15" hidden="false" customHeight="false" outlineLevel="0" collapsed="false">
      <c r="B8" s="110" t="s">
        <v>200</v>
      </c>
      <c r="E8" s="52" t="s">
        <v>1788</v>
      </c>
      <c r="F8" s="52" t="s">
        <v>1789</v>
      </c>
      <c r="G8" s="52" t="s">
        <v>1790</v>
      </c>
      <c r="H8" s="52" t="s">
        <v>1791</v>
      </c>
      <c r="I8" s="52" t="s">
        <v>1792</v>
      </c>
      <c r="J8" s="52" t="s">
        <v>1793</v>
      </c>
    </row>
    <row r="9" s="52" customFormat="true" ht="15" hidden="false" customHeight="false" outlineLevel="0" collapsed="false">
      <c r="B9" s="110" t="s">
        <v>1794</v>
      </c>
      <c r="E9" s="52" t="s">
        <v>1795</v>
      </c>
      <c r="F9" s="52" t="s">
        <v>1796</v>
      </c>
      <c r="G9" s="52" t="s">
        <v>1797</v>
      </c>
      <c r="H9" s="52" t="s">
        <v>1798</v>
      </c>
      <c r="I9" s="52" t="s">
        <v>1799</v>
      </c>
      <c r="J9" s="52" t="s">
        <v>1800</v>
      </c>
    </row>
    <row r="10" s="52" customFormat="true" ht="15" hidden="false" customHeight="false" outlineLevel="0" collapsed="false">
      <c r="B10" s="109" t="s">
        <v>42</v>
      </c>
      <c r="H10" s="52" t="s">
        <v>1801</v>
      </c>
    </row>
    <row r="11" s="52" customFormat="true" ht="15" hidden="false" customHeight="false" outlineLevel="0" collapsed="false">
      <c r="B11" s="110" t="s">
        <v>201</v>
      </c>
    </row>
    <row r="12" s="52" customFormat="true" ht="15" hidden="false" customHeight="false" outlineLevel="0" collapsed="false">
      <c r="B12" s="110" t="s">
        <v>355</v>
      </c>
    </row>
    <row r="13" s="52" customFormat="true" ht="15" hidden="false" customHeight="false" outlineLevel="0" collapsed="false"/>
    <row r="14" customFormat="false" ht="15" hidden="false" customHeight="false" outlineLevel="0" collapsed="false">
      <c r="B14" s="104" t="s">
        <v>1802</v>
      </c>
    </row>
    <row r="15" customFormat="false" ht="15" hidden="false" customHeight="false" outlineLevel="0" collapsed="false">
      <c r="B15" s="105" t="s">
        <v>42</v>
      </c>
    </row>
    <row r="16" customFormat="false" ht="15" hidden="false" customHeight="false" outlineLevel="0" collapsed="false">
      <c r="B16" s="110" t="s">
        <v>201</v>
      </c>
    </row>
    <row r="17" customFormat="false" ht="15" hidden="false" customHeight="false" outlineLevel="0" collapsed="false">
      <c r="B17" s="110" t="s">
        <v>355</v>
      </c>
    </row>
    <row r="18" customFormat="false" ht="15" hidden="false" customHeight="false" outlineLevel="0" collapsed="false">
      <c r="B18" s="105" t="s">
        <v>1803</v>
      </c>
    </row>
    <row r="19" customFormat="false" ht="15" hidden="false" customHeight="false" outlineLevel="0" collapsed="false">
      <c r="B19" s="110" t="s">
        <v>199</v>
      </c>
    </row>
    <row r="20" customFormat="false" ht="15" hidden="false" customHeight="false" outlineLevel="0" collapsed="false">
      <c r="B20" s="110" t="s">
        <v>210</v>
      </c>
    </row>
    <row r="21" customFormat="false" ht="15" hidden="false" customHeight="false" outlineLevel="0" collapsed="false">
      <c r="B21" s="110" t="s">
        <v>233</v>
      </c>
    </row>
    <row r="23" customFormat="false" ht="15" hidden="false" customHeight="false" outlineLevel="0" collapsed="false">
      <c r="B23" s="104" t="s">
        <v>1804</v>
      </c>
    </row>
    <row r="24" customFormat="false" ht="15" hidden="false" customHeight="false" outlineLevel="0" collapsed="false">
      <c r="B24" s="105" t="s">
        <v>42</v>
      </c>
    </row>
    <row r="25" customFormat="false" ht="15" hidden="false" customHeight="false" outlineLevel="0" collapsed="false">
      <c r="B25" s="110" t="s">
        <v>201</v>
      </c>
    </row>
    <row r="26" customFormat="false" ht="15" hidden="false" customHeight="false" outlineLevel="0" collapsed="false">
      <c r="B26" s="110" t="s">
        <v>355</v>
      </c>
    </row>
    <row r="27" customFormat="false" ht="15" hidden="false" customHeight="false" outlineLevel="0" collapsed="false">
      <c r="B27" s="105" t="s">
        <v>1803</v>
      </c>
    </row>
    <row r="28" customFormat="false" ht="15" hidden="false" customHeight="false" outlineLevel="0" collapsed="false">
      <c r="B28" s="110" t="s">
        <v>199</v>
      </c>
    </row>
    <row r="29" customFormat="false" ht="15" hidden="false" customHeight="false" outlineLevel="0" collapsed="false">
      <c r="B29" s="110" t="s">
        <v>210</v>
      </c>
    </row>
    <row r="30" customFormat="false" ht="15" hidden="false" customHeight="false" outlineLevel="0" collapsed="false">
      <c r="B30" s="110" t="s">
        <v>233</v>
      </c>
    </row>
    <row r="32" customFormat="false" ht="15" hidden="false" customHeight="false" outlineLevel="0" collapsed="false">
      <c r="B32" s="104" t="s">
        <v>1805</v>
      </c>
    </row>
    <row r="33" customFormat="false" ht="15" hidden="false" customHeight="false" outlineLevel="0" collapsed="false">
      <c r="B33" s="105" t="s">
        <v>131</v>
      </c>
    </row>
    <row r="34" customFormat="false" ht="15" hidden="false" customHeight="false" outlineLevel="0" collapsed="false">
      <c r="B34" s="110" t="s">
        <v>1056</v>
      </c>
    </row>
    <row r="35" customFormat="false" ht="15" hidden="false" customHeight="false" outlineLevel="0" collapsed="false">
      <c r="B35" s="110" t="s">
        <v>1048</v>
      </c>
    </row>
    <row r="36" customFormat="false" ht="15" hidden="false" customHeight="false" outlineLevel="0" collapsed="false">
      <c r="B36" s="110" t="s">
        <v>1806</v>
      </c>
    </row>
    <row r="37" customFormat="false" ht="15" hidden="false" customHeight="false" outlineLevel="0" collapsed="false">
      <c r="B37" s="110" t="s">
        <v>1807</v>
      </c>
    </row>
    <row r="38" customFormat="false" ht="15" hidden="false" customHeight="false" outlineLevel="0" collapsed="false">
      <c r="B38" s="110" t="s">
        <v>1808</v>
      </c>
    </row>
    <row r="39" customFormat="false" ht="15" hidden="false" customHeight="false" outlineLevel="0" collapsed="false">
      <c r="B39" s="110" t="s">
        <v>1297</v>
      </c>
    </row>
    <row r="40" customFormat="false" ht="15" hidden="false" customHeight="false" outlineLevel="0" collapsed="false">
      <c r="B40" s="110" t="s">
        <v>1062</v>
      </c>
    </row>
    <row r="41" customFormat="false" ht="15" hidden="false" customHeight="false" outlineLevel="0" collapsed="false">
      <c r="B41" s="110" t="s">
        <v>1074</v>
      </c>
    </row>
    <row r="42" customFormat="false" ht="15" hidden="false" customHeight="false" outlineLevel="0" collapsed="false">
      <c r="B42" s="110" t="s">
        <v>1809</v>
      </c>
    </row>
    <row r="43" customFormat="false" ht="15" hidden="false" customHeight="false" outlineLevel="0" collapsed="false">
      <c r="B43" s="105" t="s">
        <v>40</v>
      </c>
    </row>
    <row r="44" customFormat="false" ht="15" hidden="false" customHeight="false" outlineLevel="0" collapsed="false">
      <c r="B44" s="110" t="s">
        <v>1049</v>
      </c>
    </row>
    <row r="45" customFormat="false" ht="15" hidden="false" customHeight="false" outlineLevel="0" collapsed="false">
      <c r="B45" s="110" t="s">
        <v>1059</v>
      </c>
    </row>
    <row r="46" customFormat="false" ht="15" hidden="false" customHeight="false" outlineLevel="0" collapsed="false">
      <c r="B46" s="110" t="s">
        <v>1810</v>
      </c>
    </row>
    <row r="47" customFormat="false" ht="15" hidden="false" customHeight="false" outlineLevel="0" collapsed="false">
      <c r="B47" s="105" t="s">
        <v>42</v>
      </c>
    </row>
    <row r="48" customFormat="false" ht="15" hidden="false" customHeight="false" outlineLevel="0" collapsed="false">
      <c r="B48" s="110" t="s">
        <v>201</v>
      </c>
    </row>
    <row r="49" customFormat="false" ht="15" hidden="false" customHeight="false" outlineLevel="0" collapsed="false">
      <c r="B49" s="110" t="s">
        <v>355</v>
      </c>
    </row>
    <row r="51" customFormat="false" ht="15" hidden="false" customHeight="false" outlineLevel="0" collapsed="false">
      <c r="B51" s="104" t="s">
        <v>1811</v>
      </c>
    </row>
    <row r="52" customFormat="false" ht="15" hidden="false" customHeight="false" outlineLevel="0" collapsed="false">
      <c r="B52" s="105" t="s">
        <v>40</v>
      </c>
    </row>
    <row r="53" customFormat="false" ht="15" hidden="false" customHeight="false" outlineLevel="0" collapsed="false">
      <c r="B53" s="110" t="s">
        <v>1698</v>
      </c>
    </row>
    <row r="54" customFormat="false" ht="15" hidden="false" customHeight="false" outlineLevel="0" collapsed="false">
      <c r="B54" s="110" t="s">
        <v>1812</v>
      </c>
    </row>
    <row r="55" customFormat="false" ht="15" hidden="false" customHeight="false" outlineLevel="0" collapsed="false">
      <c r="B55" s="110" t="s">
        <v>1813</v>
      </c>
    </row>
    <row r="56" customFormat="false" ht="15" hidden="false" customHeight="false" outlineLevel="0" collapsed="false">
      <c r="B56" s="110" t="s">
        <v>1814</v>
      </c>
    </row>
    <row r="57" customFormat="false" ht="15" hidden="false" customHeight="false" outlineLevel="0" collapsed="false">
      <c r="B57" s="105" t="s">
        <v>42</v>
      </c>
    </row>
    <row r="58" customFormat="false" ht="15" hidden="false" customHeight="false" outlineLevel="0" collapsed="false">
      <c r="B58" s="110" t="s">
        <v>201</v>
      </c>
    </row>
    <row r="59" customFormat="false" ht="15" hidden="false" customHeight="false" outlineLevel="0" collapsed="false">
      <c r="B59" s="110" t="s">
        <v>355</v>
      </c>
    </row>
    <row r="61" customFormat="false" ht="15" hidden="false" customHeight="false" outlineLevel="0" collapsed="false">
      <c r="B61" s="104" t="s">
        <v>1815</v>
      </c>
    </row>
    <row r="62" customFormat="false" ht="15" hidden="false" customHeight="false" outlineLevel="0" collapsed="false">
      <c r="B62" s="105" t="s">
        <v>1816</v>
      </c>
    </row>
    <row r="63" customFormat="false" ht="15" hidden="false" customHeight="false" outlineLevel="0" collapsed="false">
      <c r="B63" s="110" t="s">
        <v>1817</v>
      </c>
    </row>
    <row r="64" customFormat="false" ht="15" hidden="false" customHeight="false" outlineLevel="0" collapsed="false">
      <c r="B64" s="110" t="s">
        <v>1775</v>
      </c>
    </row>
    <row r="65" customFormat="false" ht="15" hidden="false" customHeight="false" outlineLevel="0" collapsed="false">
      <c r="B65" s="105" t="s">
        <v>169</v>
      </c>
    </row>
    <row r="66" customFormat="false" ht="15" hidden="false" customHeight="false" outlineLevel="0" collapsed="false">
      <c r="B66" s="110" t="s">
        <v>1818</v>
      </c>
    </row>
    <row r="67" customFormat="false" ht="15" hidden="false" customHeight="false" outlineLevel="0" collapsed="false">
      <c r="B67" s="110" t="s">
        <v>1776</v>
      </c>
    </row>
    <row r="68" customFormat="false" ht="15" hidden="false" customHeight="false" outlineLevel="0" collapsed="false">
      <c r="B68" s="105" t="s">
        <v>1819</v>
      </c>
    </row>
    <row r="69" customFormat="false" ht="15" hidden="false" customHeight="false" outlineLevel="0" collapsed="false">
      <c r="B69" s="110" t="s">
        <v>201</v>
      </c>
    </row>
    <row r="70" customFormat="false" ht="15" hidden="false" customHeight="false" outlineLevel="0" collapsed="false">
      <c r="B70" s="110" t="s">
        <v>355</v>
      </c>
    </row>
    <row r="71" customFormat="false" ht="15" hidden="false" customHeight="false" outlineLevel="0" collapsed="false">
      <c r="B71" s="105" t="s">
        <v>163</v>
      </c>
    </row>
    <row r="72" customFormat="false" ht="15" hidden="false" customHeight="false" outlineLevel="0" collapsed="false">
      <c r="B72" s="110" t="s">
        <v>1774</v>
      </c>
    </row>
    <row r="73" customFormat="false" ht="15" hidden="false" customHeight="false" outlineLevel="0" collapsed="false">
      <c r="B73" s="110" t="s">
        <v>1820</v>
      </c>
    </row>
    <row r="75" customFormat="false" ht="15" hidden="false" customHeight="false" outlineLevel="0" collapsed="false">
      <c r="B75" s="104" t="s">
        <v>1821</v>
      </c>
    </row>
    <row r="76" customFormat="false" ht="15" hidden="false" customHeight="false" outlineLevel="0" collapsed="false">
      <c r="B76" s="105" t="s">
        <v>174</v>
      </c>
    </row>
    <row r="77" customFormat="false" ht="15" hidden="false" customHeight="false" outlineLevel="0" collapsed="false">
      <c r="B77" s="110" t="s">
        <v>1822</v>
      </c>
    </row>
    <row r="78" customFormat="false" ht="15" hidden="false" customHeight="false" outlineLevel="0" collapsed="false">
      <c r="B78" s="110" t="s">
        <v>1823</v>
      </c>
    </row>
    <row r="79" customFormat="false" ht="15" hidden="false" customHeight="false" outlineLevel="0" collapsed="false">
      <c r="B79" s="110" t="s">
        <v>1824</v>
      </c>
    </row>
    <row r="80" customFormat="false" ht="15" hidden="false" customHeight="false" outlineLevel="0" collapsed="false">
      <c r="B80" s="105" t="s">
        <v>1819</v>
      </c>
    </row>
    <row r="81" customFormat="false" ht="15" hidden="false" customHeight="false" outlineLevel="0" collapsed="false">
      <c r="B81" s="110" t="s">
        <v>201</v>
      </c>
    </row>
    <row r="82" customFormat="false" ht="15" hidden="false" customHeight="false" outlineLevel="0" collapsed="false">
      <c r="B82" s="110" t="s">
        <v>355</v>
      </c>
    </row>
    <row r="84" customFormat="false" ht="15" hidden="false" customHeight="false" outlineLevel="0" collapsed="false">
      <c r="B84" s="104" t="s">
        <v>1825</v>
      </c>
    </row>
    <row r="85" customFormat="false" ht="15" hidden="false" customHeight="false" outlineLevel="0" collapsed="false">
      <c r="B85" s="105" t="s">
        <v>1819</v>
      </c>
    </row>
    <row r="86" customFormat="false" ht="15" hidden="false" customHeight="false" outlineLevel="0" collapsed="false">
      <c r="B86" s="110" t="s">
        <v>1826</v>
      </c>
    </row>
    <row r="87" customFormat="false" ht="15" hidden="false" customHeight="false" outlineLevel="0" collapsed="false">
      <c r="B87" s="110" t="s">
        <v>355</v>
      </c>
    </row>
    <row r="89" customFormat="false" ht="15" hidden="false" customHeight="false" outlineLevel="0" collapsed="false">
      <c r="B89" s="104" t="s">
        <v>60</v>
      </c>
    </row>
    <row r="90" customFormat="false" ht="15" hidden="false" customHeight="false" outlineLevel="0" collapsed="false">
      <c r="B90" s="110" t="s">
        <v>44</v>
      </c>
    </row>
    <row r="91" customFormat="false" ht="15" hidden="false" customHeight="false" outlineLevel="0" collapsed="false">
      <c r="B91" s="110" t="s">
        <v>47</v>
      </c>
    </row>
    <row r="92" customFormat="false" ht="15" hidden="false" customHeight="false" outlineLevel="0" collapsed="false">
      <c r="B92" s="110" t="s">
        <v>50</v>
      </c>
    </row>
    <row r="93" customFormat="false" ht="15" hidden="false" customHeight="false" outlineLevel="0" collapsed="false">
      <c r="B93" s="110" t="s">
        <v>53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Metadata/LabelInfo.xml><?xml version="1.0" encoding="utf-8"?>
<clbl:labelList xmlns:clbl="http://schemas.microsoft.com/office/2020/mipLabelMetadata">
  <clbl:label id="{6ebbfa72-b3b6-4c1f-8b23-058d4f67f013}" enabled="1" method="Privileged" siteId="{bf1ce8b5-5d39-4bc5-ad6e-07b3e4d7d67a}" contentBits="0" removed="0"/>
</clbl:labelList>
</file>

<file path=docProps/app.xml><?xml version="1.0" encoding="utf-8"?>
<Properties xmlns="http://schemas.openxmlformats.org/officeDocument/2006/extended-properties" xmlns:vt="http://schemas.openxmlformats.org/officeDocument/2006/docPropsVTypes">
  <Template/>
  <TotalTime>604</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2021-11-10T19:20:41Z</dcterms:created>
  <dc:creator>Carlos Andrés Torres</dc:creator>
  <dc:description/>
  <dc:language>en-GB</dc:language>
  <cp:lastModifiedBy/>
  <dcterms:modified xsi:type="dcterms:W3CDTF">2026-03-31T16:54:40Z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