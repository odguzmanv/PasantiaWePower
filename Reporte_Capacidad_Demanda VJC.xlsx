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Subestaciones" sheetId="1" state="visible" r:id="rId2"/>
    <sheet name="Detalle Transformadores" sheetId="2" state="visible" r:id="rId3"/>
  </sheets>
  <definedNames>
    <definedName function="false" hidden="true" localSheetId="1" name="_xlnm._FilterDatabase" vbProcedure="false">'Detalle Transformadores'!$A$1:$E$260</definedName>
    <definedName function="false" hidden="true" localSheetId="0" name="_xlnm._FilterDatabase" vbProcedure="false">'Resumen Subestaciones'!$A$1:$K$307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<sst xmlns="http://schemas.openxmlformats.org/spreadsheetml/2006/main" count="1689" uniqueCount="242">
  <si>
    <t xml:space="preserve">SE</t>
  </si>
  <si>
    <t xml:space="preserve">Subestación</t>
  </si>
  <si>
    <t xml:space="preserve">HV_kV</t>
  </si>
  <si>
    <t xml:space="preserve">LV_kV</t>
  </si>
  <si>
    <t xml:space="preserve">Capacidad_MVA</t>
  </si>
  <si>
    <t xml:space="preserve">SE NT3</t>
  </si>
  <si>
    <t xml:space="preserve">Demanda_MW</t>
  </si>
  <si>
    <t xml:space="preserve">Bogotá?</t>
  </si>
  <si>
    <t xml:space="preserve">Dda + trafo</t>
  </si>
  <si>
    <t xml:space="preserve">Localidad</t>
  </si>
  <si>
    <t xml:space="preserve">Comentario</t>
  </si>
  <si>
    <t xml:space="preserve">MOSQUERA</t>
  </si>
  <si>
    <t xml:space="preserve">EL_ROSAL</t>
  </si>
  <si>
    <t xml:space="preserve">Mosquera</t>
  </si>
  <si>
    <t xml:space="preserve">N/A</t>
  </si>
  <si>
    <t xml:space="preserve">FONTIBON</t>
  </si>
  <si>
    <t xml:space="preserve">AAA</t>
  </si>
  <si>
    <t xml:space="preserve">Fontibón</t>
  </si>
  <si>
    <t xml:space="preserve">SALITRE</t>
  </si>
  <si>
    <t xml:space="preserve">Engativá</t>
  </si>
  <si>
    <t xml:space="preserve">CALERA</t>
  </si>
  <si>
    <t xml:space="preserve">La Calera</t>
  </si>
  <si>
    <t xml:space="preserve">LA_PAZ</t>
  </si>
  <si>
    <t xml:space="preserve">Kennedy</t>
  </si>
  <si>
    <t xml:space="preserve">GORGONZOLA</t>
  </si>
  <si>
    <t xml:space="preserve">Puente Aranda</t>
  </si>
  <si>
    <t xml:space="preserve">BOSA</t>
  </si>
  <si>
    <t xml:space="preserve">PAVCO</t>
  </si>
  <si>
    <t xml:space="preserve">Bosa</t>
  </si>
  <si>
    <t xml:space="preserve">pavco aparece en el unifilar BOSA como línea y solamente como subestación en la pestaña 5. demanda</t>
  </si>
  <si>
    <t xml:space="preserve">FLORIDA</t>
  </si>
  <si>
    <t xml:space="preserve">SIBERIA</t>
  </si>
  <si>
    <t xml:space="preserve">AEROPU_TP</t>
  </si>
  <si>
    <t xml:space="preserve">Activo en construcción</t>
  </si>
  <si>
    <t xml:space="preserve">NOROESTE</t>
  </si>
  <si>
    <t xml:space="preserve">Cota</t>
  </si>
  <si>
    <t xml:space="preserve">CHICALA</t>
  </si>
  <si>
    <t xml:space="preserve">MUZU</t>
  </si>
  <si>
    <t xml:space="preserve">Antonio Nariño</t>
  </si>
  <si>
    <t xml:space="preserve">TECHO</t>
  </si>
  <si>
    <t xml:space="preserve">VERAGUAS</t>
  </si>
  <si>
    <t xml:space="preserve">CASTELLANA</t>
  </si>
  <si>
    <t xml:space="preserve">Barrios Unidos</t>
  </si>
  <si>
    <t xml:space="preserve">CALLE_67</t>
  </si>
  <si>
    <t xml:space="preserve">AUTOPISTA</t>
  </si>
  <si>
    <t xml:space="preserve">Usaquén</t>
  </si>
  <si>
    <t xml:space="preserve">SUBA</t>
  </si>
  <si>
    <t xml:space="preserve">Suba</t>
  </si>
  <si>
    <t xml:space="preserve">MORATO</t>
  </si>
  <si>
    <t xml:space="preserve">USME</t>
  </si>
  <si>
    <t xml:space="preserve">Usme</t>
  </si>
  <si>
    <t xml:space="preserve">EL_SOL</t>
  </si>
  <si>
    <t xml:space="preserve">CAJICA</t>
  </si>
  <si>
    <t xml:space="preserve">Cajica</t>
  </si>
  <si>
    <t xml:space="preserve">EL_PEÑON</t>
  </si>
  <si>
    <t xml:space="preserve">FERRERIA</t>
  </si>
  <si>
    <t xml:space="preserve">NEL_ALONSO</t>
  </si>
  <si>
    <t xml:space="preserve">TABIO</t>
  </si>
  <si>
    <t xml:space="preserve">VILLAGOMEZ</t>
  </si>
  <si>
    <t xml:space="preserve">REFISAL</t>
  </si>
  <si>
    <t xml:space="preserve">FAMILIA</t>
  </si>
  <si>
    <t xml:space="preserve">Tr2 dice que el sol solo tiene estas 3 transformadores pero demanda dice que es la subestación nt IV de las otras 8 SE.</t>
  </si>
  <si>
    <t xml:space="preserve">USAQUEN</t>
  </si>
  <si>
    <t xml:space="preserve">TERMOZIPA</t>
  </si>
  <si>
    <t xml:space="preserve">DIACO</t>
  </si>
  <si>
    <t xml:space="preserve">Tocancipa</t>
  </si>
  <si>
    <t xml:space="preserve">TOCANCIPA</t>
  </si>
  <si>
    <t xml:space="preserve">TIBABUYES</t>
  </si>
  <si>
    <t xml:space="preserve">BOLIVIA</t>
  </si>
  <si>
    <t xml:space="preserve">SESQUILE</t>
  </si>
  <si>
    <t xml:space="preserve">CHOCONTA</t>
  </si>
  <si>
    <t xml:space="preserve">Sesquile</t>
  </si>
  <si>
    <t xml:space="preserve">NEMOCON</t>
  </si>
  <si>
    <t xml:space="preserve">QUIN_PEREZ</t>
  </si>
  <si>
    <t xml:space="preserve">SUESCA</t>
  </si>
  <si>
    <t xml:space="preserve">VILLAPINZO</t>
  </si>
  <si>
    <t xml:space="preserve">13,8 /11,4</t>
  </si>
  <si>
    <t xml:space="preserve">Tr2 dice que el sol solo tiene estas 3 transformadores pero demanda dice que es la subestación nt IV de las otras 5 SE.</t>
  </si>
  <si>
    <t xml:space="preserve">TORCA</t>
  </si>
  <si>
    <t xml:space="preserve">VICTORIA</t>
  </si>
  <si>
    <t xml:space="preserve">SANTA_ROSA</t>
  </si>
  <si>
    <t xml:space="preserve">San Cristóbal</t>
  </si>
  <si>
    <t xml:space="preserve">ARANJUEZ</t>
  </si>
  <si>
    <t xml:space="preserve">CHIA</t>
  </si>
  <si>
    <t xml:space="preserve">CACIQUE</t>
  </si>
  <si>
    <t xml:space="preserve">Chia</t>
  </si>
  <si>
    <t xml:space="preserve">CENTROCHIA</t>
  </si>
  <si>
    <t xml:space="preserve">COTA</t>
  </si>
  <si>
    <t xml:space="preserve">SINDAMANOY</t>
  </si>
  <si>
    <t xml:space="preserve">Tr2 dice que el sol solo tiene estas 3 transformadores pero demanda dice que es la subestación nt IV de las otras 4 SE.</t>
  </si>
  <si>
    <t xml:space="preserve">CALLE_51</t>
  </si>
  <si>
    <t xml:space="preserve">Chapinero</t>
  </si>
  <si>
    <t xml:space="preserve">FACA</t>
  </si>
  <si>
    <t xml:space="preserve">ALBAN</t>
  </si>
  <si>
    <t xml:space="preserve">Facatativa</t>
  </si>
  <si>
    <t xml:space="preserve">ANOLAIMA</t>
  </si>
  <si>
    <t xml:space="preserve">ARBOLEDA</t>
  </si>
  <si>
    <t xml:space="preserve">CARTAGENIT</t>
  </si>
  <si>
    <t xml:space="preserve">CORZO</t>
  </si>
  <si>
    <t xml:space="preserve">VL_MANJUI</t>
  </si>
  <si>
    <t xml:space="preserve">Tr2 dice que el sol solo tiene estas 3 transformadores pero demanda dice que es la subestación nt IV de las otras 7 SE.</t>
  </si>
  <si>
    <t xml:space="preserve">SAN_FACON</t>
  </si>
  <si>
    <t xml:space="preserve">Los Mártires</t>
  </si>
  <si>
    <t xml:space="preserve">SAN_CARLOS</t>
  </si>
  <si>
    <t xml:space="preserve">Rafael Uribe Uribe</t>
  </si>
  <si>
    <t xml:space="preserve">CONCORDIA</t>
  </si>
  <si>
    <t xml:space="preserve">La Candelaria</t>
  </si>
  <si>
    <t xml:space="preserve">UBATE</t>
  </si>
  <si>
    <t xml:space="preserve">CUCUNUBA</t>
  </si>
  <si>
    <t xml:space="preserve">Ubate</t>
  </si>
  <si>
    <t xml:space="preserve">GUACHETA</t>
  </si>
  <si>
    <t xml:space="preserve">RABANAL</t>
  </si>
  <si>
    <t xml:space="preserve">S_CAYETANO</t>
  </si>
  <si>
    <t xml:space="preserve">TAUSA</t>
  </si>
  <si>
    <t xml:space="preserve">ZIPAQUIRA</t>
  </si>
  <si>
    <t xml:space="preserve">PELDAR</t>
  </si>
  <si>
    <t xml:space="preserve">Zipaquira</t>
  </si>
  <si>
    <t xml:space="preserve">PELDAR no aparece en tr2</t>
  </si>
  <si>
    <t xml:space="preserve">SAUCES</t>
  </si>
  <si>
    <t xml:space="preserve">ARBELAEZ</t>
  </si>
  <si>
    <t xml:space="preserve">Fusagasuga</t>
  </si>
  <si>
    <t xml:space="preserve">BALMORAL</t>
  </si>
  <si>
    <t xml:space="preserve">BELLAVISTA</t>
  </si>
  <si>
    <t xml:space="preserve">BOQUERON</t>
  </si>
  <si>
    <t xml:space="preserve">CABRERA</t>
  </si>
  <si>
    <t xml:space="preserve">CHINAUTA</t>
  </si>
  <si>
    <t xml:space="preserve">LA_UNION</t>
  </si>
  <si>
    <t xml:space="preserve">MOVIL_FUSA</t>
  </si>
  <si>
    <t xml:space="preserve">SAN_JORGE</t>
  </si>
  <si>
    <t xml:space="preserve">SAN_JOSE</t>
  </si>
  <si>
    <t xml:space="preserve">VILLETA</t>
  </si>
  <si>
    <t xml:space="preserve">ALTO_TRIGO</t>
  </si>
  <si>
    <t xml:space="preserve">Villeta</t>
  </si>
  <si>
    <t xml:space="preserve">CAPARRAPI</t>
  </si>
  <si>
    <t xml:space="preserve">CAYUNDA</t>
  </si>
  <si>
    <t xml:space="preserve">GUADUAS</t>
  </si>
  <si>
    <t xml:space="preserve">LA_PALMA</t>
  </si>
  <si>
    <t xml:space="preserve">TERRAZAS</t>
  </si>
  <si>
    <t xml:space="preserve">UTICA</t>
  </si>
  <si>
    <t xml:space="preserve">YACOPI</t>
  </si>
  <si>
    <t xml:space="preserve">CRA_QUINTA</t>
  </si>
  <si>
    <t xml:space="preserve">Santa Fe</t>
  </si>
  <si>
    <t xml:space="preserve">GRANSABANA</t>
  </si>
  <si>
    <t xml:space="preserve">LEOAGA_1</t>
  </si>
  <si>
    <t xml:space="preserve">LEOAGA_1 no aparece en el tr2</t>
  </si>
  <si>
    <t xml:space="preserve">TUNAL</t>
  </si>
  <si>
    <t xml:space="preserve">Tunjuelito</t>
  </si>
  <si>
    <t xml:space="preserve">En tr2 hay un tunal y en demanda hay 2</t>
  </si>
  <si>
    <t xml:space="preserve">TENJO</t>
  </si>
  <si>
    <t xml:space="preserve">SABANILLA</t>
  </si>
  <si>
    <t xml:space="preserve">Tenjo</t>
  </si>
  <si>
    <t xml:space="preserve">SUBACHOQUE</t>
  </si>
  <si>
    <t xml:space="preserve">TABACAL</t>
  </si>
  <si>
    <t xml:space="preserve">TORIBA</t>
  </si>
  <si>
    <t xml:space="preserve">PORTUGAL</t>
  </si>
  <si>
    <t xml:space="preserve">pertenece a el sol</t>
  </si>
  <si>
    <t xml:space="preserve">Madrid</t>
  </si>
  <si>
    <t xml:space="preserve">pertenece a faca</t>
  </si>
  <si>
    <t xml:space="preserve">pertenece a florida</t>
  </si>
  <si>
    <t xml:space="preserve">Subachoque</t>
  </si>
  <si>
    <t xml:space="preserve">pertenece a mosquera</t>
  </si>
  <si>
    <t xml:space="preserve">TERMINAL</t>
  </si>
  <si>
    <t xml:space="preserve">pertenece a sauces</t>
  </si>
  <si>
    <t xml:space="preserve">INDUMIL</t>
  </si>
  <si>
    <t xml:space="preserve">Soacha</t>
  </si>
  <si>
    <t xml:space="preserve">Tausa</t>
  </si>
  <si>
    <t xml:space="preserve">pertenece a ubate</t>
  </si>
  <si>
    <t xml:space="preserve">MESITAS</t>
  </si>
  <si>
    <t xml:space="preserve">El Colegio</t>
  </si>
  <si>
    <t xml:space="preserve">pertenece a el colegio</t>
  </si>
  <si>
    <t xml:space="preserve">TAMARINDO</t>
  </si>
  <si>
    <t xml:space="preserve">La Mesa</t>
  </si>
  <si>
    <t xml:space="preserve">pertenece a la guaca</t>
  </si>
  <si>
    <t xml:space="preserve">BARZALOSA</t>
  </si>
  <si>
    <t xml:space="preserve">Girardot</t>
  </si>
  <si>
    <t xml:space="preserve">pertenece a chia</t>
  </si>
  <si>
    <t xml:space="preserve">Nemocon</t>
  </si>
  <si>
    <t xml:space="preserve">pertenece a sesquile</t>
  </si>
  <si>
    <t xml:space="preserve">pertenece a tenjo</t>
  </si>
  <si>
    <t xml:space="preserve">Caparrapi</t>
  </si>
  <si>
    <t xml:space="preserve">pertenece a villeta</t>
  </si>
  <si>
    <t xml:space="preserve">pertenece a termozipa</t>
  </si>
  <si>
    <t xml:space="preserve">Guacheta</t>
  </si>
  <si>
    <t xml:space="preserve">Villapinzon</t>
  </si>
  <si>
    <t xml:space="preserve">BALSILLAS</t>
  </si>
  <si>
    <t xml:space="preserve">Pacho</t>
  </si>
  <si>
    <t xml:space="preserve">Choconta</t>
  </si>
  <si>
    <t xml:space="preserve">CHARQUITO</t>
  </si>
  <si>
    <t xml:space="preserve">Charquito</t>
  </si>
  <si>
    <t xml:space="preserve">pertenece a muña</t>
  </si>
  <si>
    <t xml:space="preserve">Cucunuba</t>
  </si>
  <si>
    <t xml:space="preserve">Guatavita</t>
  </si>
  <si>
    <t xml:space="preserve">EL_BOSQUE</t>
  </si>
  <si>
    <t xml:space="preserve">Silvania</t>
  </si>
  <si>
    <t xml:space="preserve">COLEGIO</t>
  </si>
  <si>
    <t xml:space="preserve">MESA</t>
  </si>
  <si>
    <t xml:space="preserve">QUIPILE</t>
  </si>
  <si>
    <t xml:space="preserve">LA_VIRGEN</t>
  </si>
  <si>
    <t xml:space="preserve">EL_HATO</t>
  </si>
  <si>
    <t xml:space="preserve">ESPERANZA</t>
  </si>
  <si>
    <t xml:space="preserve">Tr2 dice que el sol solo tiene estas 3 transformadores pero demanda dice que es la subestación nt IV de las otras 6 SE.</t>
  </si>
  <si>
    <t xml:space="preserve">SIMIJACA</t>
  </si>
  <si>
    <t xml:space="preserve">Simijaca</t>
  </si>
  <si>
    <t xml:space="preserve">TOCAIMA</t>
  </si>
  <si>
    <t xml:space="preserve">Tocaima</t>
  </si>
  <si>
    <t xml:space="preserve">T_ESQUINAS</t>
  </si>
  <si>
    <t xml:space="preserve">Guasca</t>
  </si>
  <si>
    <t xml:space="preserve">pertenece a la calera</t>
  </si>
  <si>
    <t xml:space="preserve">Anolaima</t>
  </si>
  <si>
    <t xml:space="preserve">FOMEQUE</t>
  </si>
  <si>
    <t xml:space="preserve">Fomeque</t>
  </si>
  <si>
    <t xml:space="preserve">pertenece a caqueza</t>
  </si>
  <si>
    <t xml:space="preserve">UBALA</t>
  </si>
  <si>
    <t xml:space="preserve">Ubala</t>
  </si>
  <si>
    <t xml:space="preserve">QUETAME</t>
  </si>
  <si>
    <t xml:space="preserve">Quetame</t>
  </si>
  <si>
    <t xml:space="preserve">APULO</t>
  </si>
  <si>
    <t xml:space="preserve">Apulo</t>
  </si>
  <si>
    <t xml:space="preserve">Quipile</t>
  </si>
  <si>
    <t xml:space="preserve">Alban</t>
  </si>
  <si>
    <t xml:space="preserve">JUNIN</t>
  </si>
  <si>
    <t xml:space="preserve">Gacheta</t>
  </si>
  <si>
    <t xml:space="preserve">Guaduas</t>
  </si>
  <si>
    <t xml:space="preserve">Arbelaez</t>
  </si>
  <si>
    <t xml:space="preserve">Utica</t>
  </si>
  <si>
    <t xml:space="preserve">Tibacuy</t>
  </si>
  <si>
    <t xml:space="preserve">San Francisco</t>
  </si>
  <si>
    <t xml:space="preserve">CHOACHI</t>
  </si>
  <si>
    <t xml:space="preserve">Choachi</t>
  </si>
  <si>
    <t xml:space="preserve">RESGUARDO</t>
  </si>
  <si>
    <t xml:space="preserve">Caqueza</t>
  </si>
  <si>
    <t xml:space="preserve">Cabrera</t>
  </si>
  <si>
    <t xml:space="preserve">La Palma</t>
  </si>
  <si>
    <t xml:space="preserve">Yacopi</t>
  </si>
  <si>
    <t xml:space="preserve">San Juan De La Vega</t>
  </si>
  <si>
    <t xml:space="preserve">Tabio</t>
  </si>
  <si>
    <t xml:space="preserve">VIOTA</t>
  </si>
  <si>
    <t xml:space="preserve">Viota</t>
  </si>
  <si>
    <t xml:space="preserve">LA_SALADA</t>
  </si>
  <si>
    <t xml:space="preserve">MAMBITA</t>
  </si>
  <si>
    <t xml:space="preserve">Gachalá</t>
  </si>
  <si>
    <t xml:space="preserve">La suma de dda de Gorgonzola da 292 MW, por qyue en la petaña "Resumen Subestaciones" da 130 MW?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</si>
</sst>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08" activeCellId="0" sqref="J308"/>
    </sheetView>
  </sheetViews>
  <sheetFormatPr defaultColWidth="8.73046875" defaultRowHeight="13.8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1" width="14.13"/>
    <col collapsed="false" customWidth="true" hidden="false" outlineLevel="0" max="3" min="3" style="1" width="9.22"/>
    <col collapsed="false" customWidth="true" hidden="false" outlineLevel="0" max="4" min="4" style="1" width="10.2"/>
    <col collapsed="false" customWidth="true" hidden="false" outlineLevel="0" max="5" min="5" style="1" width="17.31"/>
    <col collapsed="false" customWidth="true" hidden="false" outlineLevel="0" max="6" min="6" style="1" width="16.33"/>
    <col collapsed="false" customWidth="true" hidden="false" outlineLevel="0" max="7" min="7" style="1" width="7.35"/>
    <col collapsed="false" customWidth="true" hidden="false" outlineLevel="0" max="8" min="8" style="1" width="16.33"/>
    <col collapsed="false" customWidth="true" hidden="false" outlineLevel="0" max="9" min="9" style="1" width="18.54"/>
    <col collapsed="false" customWidth="true" hidden="false" outlineLevel="0" max="10" min="10" style="1" width="10.16"/>
    <col collapsed="false" customWidth="true" hidden="false" outlineLevel="0" max="11" min="11" style="1" width="16.82"/>
    <col collapsed="false" customWidth="true" hidden="false" outlineLevel="0" max="12" min="12" style="2" width="18.54"/>
    <col collapsed="false" customWidth="true" hidden="false" outlineLevel="0" max="13" min="13" style="0" width="10.16"/>
    <col collapsed="false" customWidth="true" hidden="false" outlineLevel="0" max="14" min="14" style="0" width="16.82"/>
  </cols>
  <sheetData>
    <row r="1" customFormat="false" ht="13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/>
      <c r="H1" s="4" t="s">
        <v>6</v>
      </c>
      <c r="I1" s="4" t="s">
        <v>7</v>
      </c>
      <c r="J1" s="4" t="s">
        <v>8</v>
      </c>
      <c r="K1" s="6" t="s">
        <v>9</v>
      </c>
      <c r="L1" s="7" t="s">
        <v>10</v>
      </c>
    </row>
    <row r="2" s="7" customFormat="true" ht="13.8" hidden="false" customHeight="false" outlineLevel="0" collapsed="false">
      <c r="A2" s="8" t="s">
        <v>11</v>
      </c>
      <c r="B2" s="9" t="s">
        <v>11</v>
      </c>
      <c r="C2" s="9" t="n">
        <v>115</v>
      </c>
      <c r="D2" s="9" t="n">
        <v>11.4</v>
      </c>
      <c r="E2" s="9" t="n">
        <v>35</v>
      </c>
      <c r="F2" s="9" t="s">
        <v>12</v>
      </c>
      <c r="G2" s="9"/>
      <c r="H2" s="9" t="n">
        <v>95.45</v>
      </c>
      <c r="I2" s="9" t="s">
        <v>13</v>
      </c>
      <c r="J2" s="9" t="n">
        <f aca="false">SUM(E2:E6)+H2</f>
        <v>280.45</v>
      </c>
      <c r="K2" s="10" t="s">
        <v>14</v>
      </c>
    </row>
    <row r="3" customFormat="false" ht="13.8" hidden="false" customHeight="false" outlineLevel="0" collapsed="false">
      <c r="A3" s="8"/>
      <c r="B3" s="11" t="s">
        <v>11</v>
      </c>
      <c r="C3" s="11" t="n">
        <v>115</v>
      </c>
      <c r="D3" s="11" t="n">
        <v>11.4</v>
      </c>
      <c r="E3" s="11" t="n">
        <v>40</v>
      </c>
      <c r="F3" s="11" t="s">
        <v>12</v>
      </c>
      <c r="G3" s="11" t="n">
        <v>9.01</v>
      </c>
      <c r="H3" s="11"/>
      <c r="I3" s="11" t="s">
        <v>13</v>
      </c>
      <c r="J3" s="11"/>
      <c r="K3" s="12" t="s">
        <v>14</v>
      </c>
      <c r="L3" s="7"/>
      <c r="XFD3" s="7"/>
    </row>
    <row r="4" customFormat="false" ht="13.8" hidden="false" customHeight="false" outlineLevel="0" collapsed="false">
      <c r="A4" s="8"/>
      <c r="B4" s="11" t="s">
        <v>11</v>
      </c>
      <c r="C4" s="11" t="n">
        <v>115</v>
      </c>
      <c r="D4" s="11" t="n">
        <v>11.4</v>
      </c>
      <c r="E4" s="11" t="n">
        <v>40</v>
      </c>
      <c r="F4" s="13" t="s">
        <v>11</v>
      </c>
      <c r="G4" s="11"/>
      <c r="H4" s="11"/>
      <c r="I4" s="11" t="s">
        <v>13</v>
      </c>
      <c r="J4" s="11"/>
      <c r="K4" s="12" t="s">
        <v>14</v>
      </c>
      <c r="L4" s="7"/>
      <c r="XFD4" s="7"/>
    </row>
    <row r="5" customFormat="false" ht="13.8" hidden="false" customHeight="false" outlineLevel="0" collapsed="false">
      <c r="A5" s="8"/>
      <c r="B5" s="11" t="s">
        <v>11</v>
      </c>
      <c r="C5" s="11" t="n">
        <v>115</v>
      </c>
      <c r="D5" s="11" t="n">
        <v>34.5</v>
      </c>
      <c r="E5" s="11" t="n">
        <v>40</v>
      </c>
      <c r="F5" s="13" t="s">
        <v>11</v>
      </c>
      <c r="G5" s="11"/>
      <c r="H5" s="11"/>
      <c r="I5" s="11" t="s">
        <v>13</v>
      </c>
      <c r="J5" s="11"/>
      <c r="K5" s="12" t="s">
        <v>14</v>
      </c>
      <c r="L5" s="7"/>
      <c r="XFD5" s="7"/>
    </row>
    <row r="6" s="7" customFormat="true" ht="13.8" hidden="false" customHeight="false" outlineLevel="0" collapsed="false">
      <c r="A6" s="8"/>
      <c r="B6" s="14" t="s">
        <v>11</v>
      </c>
      <c r="C6" s="14" t="n">
        <v>115</v>
      </c>
      <c r="D6" s="14" t="n">
        <v>34.5</v>
      </c>
      <c r="E6" s="14" t="n">
        <v>30</v>
      </c>
      <c r="F6" s="15" t="s">
        <v>11</v>
      </c>
      <c r="G6" s="16" t="n">
        <f aca="false">H2-G3</f>
        <v>86.44</v>
      </c>
      <c r="H6" s="14"/>
      <c r="I6" s="14" t="s">
        <v>13</v>
      </c>
      <c r="J6" s="14"/>
      <c r="K6" s="17" t="s">
        <v>14</v>
      </c>
    </row>
    <row r="7" s="7" customFormat="true" ht="13.8" hidden="false" customHeight="false" outlineLevel="0" collapsed="false">
      <c r="A7" s="8" t="s">
        <v>15</v>
      </c>
      <c r="B7" s="9" t="s">
        <v>15</v>
      </c>
      <c r="C7" s="9" t="n">
        <v>115</v>
      </c>
      <c r="D7" s="9" t="n">
        <v>11.4</v>
      </c>
      <c r="E7" s="9" t="n">
        <v>40</v>
      </c>
      <c r="F7" s="9" t="s">
        <v>15</v>
      </c>
      <c r="G7" s="18"/>
      <c r="H7" s="9" t="n">
        <v>89.86</v>
      </c>
      <c r="I7" s="9" t="s">
        <v>16</v>
      </c>
      <c r="J7" s="9" t="n">
        <f aca="false">SUM(E7:E12)+H7</f>
        <v>329.86</v>
      </c>
      <c r="K7" s="10" t="s">
        <v>17</v>
      </c>
    </row>
    <row r="8" customFormat="false" ht="13.8" hidden="false" customHeight="false" outlineLevel="0" collapsed="false">
      <c r="A8" s="8"/>
      <c r="B8" s="11" t="s">
        <v>15</v>
      </c>
      <c r="C8" s="11" t="n">
        <v>115</v>
      </c>
      <c r="D8" s="11" t="n">
        <v>11.4</v>
      </c>
      <c r="E8" s="11" t="n">
        <v>40</v>
      </c>
      <c r="F8" s="11" t="s">
        <v>15</v>
      </c>
      <c r="G8" s="11"/>
      <c r="H8" s="11"/>
      <c r="I8" s="11" t="s">
        <v>16</v>
      </c>
      <c r="J8" s="11"/>
      <c r="K8" s="12" t="s">
        <v>17</v>
      </c>
      <c r="L8" s="7"/>
      <c r="XFD8" s="7"/>
    </row>
    <row r="9" customFormat="false" ht="13.8" hidden="false" customHeight="false" outlineLevel="0" collapsed="false">
      <c r="A9" s="8"/>
      <c r="B9" s="11" t="s">
        <v>15</v>
      </c>
      <c r="C9" s="11" t="n">
        <v>115</v>
      </c>
      <c r="D9" s="11" t="n">
        <v>11.4</v>
      </c>
      <c r="E9" s="11" t="n">
        <v>40</v>
      </c>
      <c r="F9" s="11" t="s">
        <v>15</v>
      </c>
      <c r="G9" s="11"/>
      <c r="H9" s="11"/>
      <c r="I9" s="11" t="s">
        <v>16</v>
      </c>
      <c r="J9" s="11"/>
      <c r="K9" s="12" t="s">
        <v>17</v>
      </c>
      <c r="L9" s="7"/>
      <c r="XFD9" s="7"/>
    </row>
    <row r="10" customFormat="false" ht="13.8" hidden="false" customHeight="false" outlineLevel="0" collapsed="false">
      <c r="A10" s="8"/>
      <c r="B10" s="11" t="s">
        <v>15</v>
      </c>
      <c r="C10" s="11" t="n">
        <v>115</v>
      </c>
      <c r="D10" s="11" t="n">
        <v>34.5</v>
      </c>
      <c r="E10" s="11" t="n">
        <v>40</v>
      </c>
      <c r="F10" s="11" t="s">
        <v>15</v>
      </c>
      <c r="G10" s="11"/>
      <c r="H10" s="11"/>
      <c r="I10" s="11" t="s">
        <v>16</v>
      </c>
      <c r="J10" s="11"/>
      <c r="K10" s="12" t="s">
        <v>17</v>
      </c>
      <c r="L10" s="7"/>
      <c r="XFD10" s="7"/>
    </row>
    <row r="11" customFormat="false" ht="13.8" hidden="false" customHeight="false" outlineLevel="0" collapsed="false">
      <c r="A11" s="8"/>
      <c r="B11" s="11" t="s">
        <v>15</v>
      </c>
      <c r="C11" s="11" t="n">
        <v>115</v>
      </c>
      <c r="D11" s="11" t="n">
        <v>34.5</v>
      </c>
      <c r="E11" s="11" t="n">
        <v>40</v>
      </c>
      <c r="F11" s="11" t="s">
        <v>15</v>
      </c>
      <c r="G11" s="11"/>
      <c r="H11" s="11"/>
      <c r="I11" s="11" t="s">
        <v>16</v>
      </c>
      <c r="J11" s="11"/>
      <c r="K11" s="12" t="s">
        <v>17</v>
      </c>
      <c r="L11" s="7"/>
      <c r="XFD11" s="7"/>
    </row>
    <row r="12" s="7" customFormat="true" ht="13.8" hidden="false" customHeight="false" outlineLevel="0" collapsed="false">
      <c r="A12" s="8"/>
      <c r="B12" s="14" t="s">
        <v>15</v>
      </c>
      <c r="C12" s="14" t="n">
        <v>115</v>
      </c>
      <c r="D12" s="14" t="n">
        <v>34.5</v>
      </c>
      <c r="E12" s="14" t="n">
        <v>40</v>
      </c>
      <c r="F12" s="14" t="s">
        <v>15</v>
      </c>
      <c r="G12" s="16" t="n">
        <v>89.86</v>
      </c>
      <c r="H12" s="14"/>
      <c r="I12" s="14" t="s">
        <v>16</v>
      </c>
      <c r="J12" s="14"/>
      <c r="K12" s="17" t="s">
        <v>17</v>
      </c>
    </row>
    <row r="13" s="7" customFormat="true" ht="13.8" hidden="false" customHeight="false" outlineLevel="0" collapsed="false">
      <c r="A13" s="8" t="s">
        <v>18</v>
      </c>
      <c r="B13" s="9" t="s">
        <v>18</v>
      </c>
      <c r="C13" s="9" t="n">
        <v>115</v>
      </c>
      <c r="D13" s="9" t="n">
        <v>11.4</v>
      </c>
      <c r="E13" s="9" t="n">
        <v>40</v>
      </c>
      <c r="F13" s="9" t="s">
        <v>18</v>
      </c>
      <c r="G13" s="9"/>
      <c r="H13" s="9" t="n">
        <v>79.71</v>
      </c>
      <c r="I13" s="9" t="s">
        <v>16</v>
      </c>
      <c r="J13" s="9" t="n">
        <f aca="false">SUM(E13:E15)+H13</f>
        <v>199.71</v>
      </c>
      <c r="K13" s="10" t="s">
        <v>19</v>
      </c>
    </row>
    <row r="14" customFormat="false" ht="13.8" hidden="false" customHeight="false" outlineLevel="0" collapsed="false">
      <c r="A14" s="8"/>
      <c r="B14" s="11" t="s">
        <v>18</v>
      </c>
      <c r="C14" s="11" t="n">
        <v>115</v>
      </c>
      <c r="D14" s="11" t="n">
        <v>11.4</v>
      </c>
      <c r="E14" s="11" t="n">
        <v>40</v>
      </c>
      <c r="F14" s="11" t="s">
        <v>18</v>
      </c>
      <c r="G14" s="11"/>
      <c r="H14" s="11"/>
      <c r="I14" s="11" t="s">
        <v>16</v>
      </c>
      <c r="J14" s="11"/>
      <c r="K14" s="12" t="s">
        <v>19</v>
      </c>
      <c r="L14" s="7"/>
      <c r="XFD14" s="7"/>
    </row>
    <row r="15" s="7" customFormat="true" ht="13.8" hidden="false" customHeight="false" outlineLevel="0" collapsed="false">
      <c r="A15" s="8"/>
      <c r="B15" s="14" t="s">
        <v>18</v>
      </c>
      <c r="C15" s="14" t="n">
        <v>115</v>
      </c>
      <c r="D15" s="14" t="n">
        <v>11.4</v>
      </c>
      <c r="E15" s="14" t="n">
        <v>40</v>
      </c>
      <c r="F15" s="14" t="s">
        <v>18</v>
      </c>
      <c r="G15" s="16" t="n">
        <v>79.71</v>
      </c>
      <c r="H15" s="14"/>
      <c r="I15" s="14" t="s">
        <v>16</v>
      </c>
      <c r="J15" s="14"/>
      <c r="K15" s="17" t="s">
        <v>19</v>
      </c>
    </row>
    <row r="16" s="7" customFormat="true" ht="13.8" hidden="false" customHeight="false" outlineLevel="0" collapsed="false">
      <c r="A16" s="8" t="s">
        <v>20</v>
      </c>
      <c r="B16" s="9" t="s">
        <v>20</v>
      </c>
      <c r="C16" s="9" t="n">
        <v>115</v>
      </c>
      <c r="D16" s="9" t="n">
        <v>11.4</v>
      </c>
      <c r="E16" s="9" t="n">
        <v>15</v>
      </c>
      <c r="F16" s="9" t="s">
        <v>20</v>
      </c>
      <c r="G16" s="9"/>
      <c r="H16" s="9" t="n">
        <v>75.39</v>
      </c>
      <c r="I16" s="9" t="s">
        <v>21</v>
      </c>
      <c r="J16" s="9" t="n">
        <f aca="false">SUM(E16:E17)+H16</f>
        <v>110.39</v>
      </c>
      <c r="K16" s="10" t="s">
        <v>14</v>
      </c>
    </row>
    <row r="17" s="7" customFormat="true" ht="13.8" hidden="false" customHeight="false" outlineLevel="0" collapsed="false">
      <c r="A17" s="8"/>
      <c r="B17" s="14" t="s">
        <v>20</v>
      </c>
      <c r="C17" s="14" t="n">
        <v>115</v>
      </c>
      <c r="D17" s="14" t="n">
        <v>34.5</v>
      </c>
      <c r="E17" s="14" t="n">
        <v>20</v>
      </c>
      <c r="F17" s="14" t="s">
        <v>20</v>
      </c>
      <c r="G17" s="16" t="n">
        <v>75.39</v>
      </c>
      <c r="H17" s="14"/>
      <c r="I17" s="14" t="s">
        <v>21</v>
      </c>
      <c r="J17" s="14"/>
      <c r="K17" s="17" t="s">
        <v>14</v>
      </c>
    </row>
    <row r="18" s="7" customFormat="true" ht="13.8" hidden="false" customHeight="false" outlineLevel="0" collapsed="false">
      <c r="A18" s="8" t="s">
        <v>22</v>
      </c>
      <c r="B18" s="9" t="s">
        <v>22</v>
      </c>
      <c r="C18" s="9" t="n">
        <v>115</v>
      </c>
      <c r="D18" s="9" t="n">
        <v>11.4</v>
      </c>
      <c r="E18" s="9" t="n">
        <v>30</v>
      </c>
      <c r="F18" s="9" t="s">
        <v>22</v>
      </c>
      <c r="G18" s="9"/>
      <c r="H18" s="9" t="n">
        <v>74.74</v>
      </c>
      <c r="I18" s="9" t="s">
        <v>16</v>
      </c>
      <c r="J18" s="9" t="n">
        <f aca="false">SUM(E18:E21)+H18</f>
        <v>204.74</v>
      </c>
      <c r="K18" s="10" t="s">
        <v>23</v>
      </c>
    </row>
    <row r="19" customFormat="false" ht="13.8" hidden="false" customHeight="false" outlineLevel="0" collapsed="false">
      <c r="A19" s="8"/>
      <c r="B19" s="11" t="s">
        <v>22</v>
      </c>
      <c r="C19" s="11" t="n">
        <v>115</v>
      </c>
      <c r="D19" s="11" t="n">
        <v>11.4</v>
      </c>
      <c r="E19" s="11" t="n">
        <v>30</v>
      </c>
      <c r="F19" s="11" t="s">
        <v>22</v>
      </c>
      <c r="G19" s="11"/>
      <c r="H19" s="11"/>
      <c r="I19" s="11" t="s">
        <v>16</v>
      </c>
      <c r="J19" s="11"/>
      <c r="K19" s="12" t="s">
        <v>23</v>
      </c>
      <c r="L19" s="7"/>
      <c r="XFD19" s="7"/>
    </row>
    <row r="20" customFormat="false" ht="13.8" hidden="false" customHeight="false" outlineLevel="0" collapsed="false">
      <c r="A20" s="8"/>
      <c r="B20" s="11" t="s">
        <v>22</v>
      </c>
      <c r="C20" s="11" t="n">
        <v>115</v>
      </c>
      <c r="D20" s="11" t="n">
        <v>11.4</v>
      </c>
      <c r="E20" s="11" t="n">
        <v>40</v>
      </c>
      <c r="F20" s="11" t="s">
        <v>22</v>
      </c>
      <c r="G20" s="11"/>
      <c r="H20" s="11"/>
      <c r="I20" s="11" t="s">
        <v>16</v>
      </c>
      <c r="J20" s="11"/>
      <c r="K20" s="12" t="s">
        <v>23</v>
      </c>
      <c r="L20" s="7"/>
      <c r="XFD20" s="7"/>
    </row>
    <row r="21" s="7" customFormat="true" ht="13.8" hidden="false" customHeight="false" outlineLevel="0" collapsed="false">
      <c r="A21" s="8"/>
      <c r="B21" s="14" t="s">
        <v>22</v>
      </c>
      <c r="C21" s="14" t="n">
        <v>115</v>
      </c>
      <c r="D21" s="14" t="n">
        <v>34.5</v>
      </c>
      <c r="E21" s="14" t="n">
        <v>30</v>
      </c>
      <c r="F21" s="14" t="s">
        <v>22</v>
      </c>
      <c r="G21" s="16" t="n">
        <v>74.74</v>
      </c>
      <c r="H21" s="14"/>
      <c r="I21" s="14" t="s">
        <v>16</v>
      </c>
      <c r="J21" s="14"/>
      <c r="K21" s="17" t="s">
        <v>23</v>
      </c>
    </row>
    <row r="22" s="7" customFormat="true" ht="13.8" hidden="false" customHeight="false" outlineLevel="0" collapsed="false">
      <c r="A22" s="8" t="s">
        <v>24</v>
      </c>
      <c r="B22" s="9" t="s">
        <v>24</v>
      </c>
      <c r="C22" s="9" t="n">
        <v>57.5</v>
      </c>
      <c r="D22" s="9" t="n">
        <v>11.4</v>
      </c>
      <c r="E22" s="9" t="n">
        <v>30</v>
      </c>
      <c r="F22" s="9" t="s">
        <v>24</v>
      </c>
      <c r="G22" s="9"/>
      <c r="H22" s="9" t="n">
        <v>73</v>
      </c>
      <c r="I22" s="9" t="s">
        <v>16</v>
      </c>
      <c r="J22" s="9" t="n">
        <f aca="false">SUM(E22:E25)+H22</f>
        <v>203</v>
      </c>
      <c r="K22" s="10" t="s">
        <v>25</v>
      </c>
    </row>
    <row r="23" customFormat="false" ht="13.8" hidden="false" customHeight="false" outlineLevel="0" collapsed="false">
      <c r="A23" s="8"/>
      <c r="B23" s="11" t="s">
        <v>24</v>
      </c>
      <c r="C23" s="11" t="n">
        <v>57.5</v>
      </c>
      <c r="D23" s="11" t="n">
        <v>11.4</v>
      </c>
      <c r="E23" s="11" t="n">
        <v>30</v>
      </c>
      <c r="F23" s="11" t="s">
        <v>24</v>
      </c>
      <c r="G23" s="11"/>
      <c r="H23" s="11"/>
      <c r="I23" s="11" t="s">
        <v>16</v>
      </c>
      <c r="J23" s="11"/>
      <c r="K23" s="12" t="s">
        <v>25</v>
      </c>
      <c r="L23" s="7"/>
      <c r="XFD23" s="7"/>
    </row>
    <row r="24" customFormat="false" ht="13.8" hidden="false" customHeight="false" outlineLevel="0" collapsed="false">
      <c r="A24" s="8"/>
      <c r="B24" s="11" t="s">
        <v>24</v>
      </c>
      <c r="C24" s="11" t="n">
        <v>57.5</v>
      </c>
      <c r="D24" s="11" t="n">
        <v>11.4</v>
      </c>
      <c r="E24" s="11" t="n">
        <v>30</v>
      </c>
      <c r="F24" s="11" t="s">
        <v>24</v>
      </c>
      <c r="G24" s="11"/>
      <c r="H24" s="11"/>
      <c r="I24" s="11" t="s">
        <v>16</v>
      </c>
      <c r="J24" s="11"/>
      <c r="K24" s="12" t="s">
        <v>25</v>
      </c>
      <c r="L24" s="7"/>
      <c r="XFD24" s="7"/>
    </row>
    <row r="25" s="7" customFormat="true" ht="13.8" hidden="false" customHeight="false" outlineLevel="0" collapsed="false">
      <c r="A25" s="8"/>
      <c r="B25" s="14" t="s">
        <v>24</v>
      </c>
      <c r="C25" s="14" t="n">
        <v>57.5</v>
      </c>
      <c r="D25" s="14" t="n">
        <v>34.5</v>
      </c>
      <c r="E25" s="14" t="n">
        <v>40</v>
      </c>
      <c r="F25" s="14" t="s">
        <v>24</v>
      </c>
      <c r="G25" s="16" t="n">
        <v>73</v>
      </c>
      <c r="H25" s="14"/>
      <c r="I25" s="14" t="s">
        <v>16</v>
      </c>
      <c r="J25" s="14"/>
      <c r="K25" s="17" t="s">
        <v>25</v>
      </c>
    </row>
    <row r="26" s="7" customFormat="true" ht="13.8" hidden="false" customHeight="false" outlineLevel="0" collapsed="false">
      <c r="A26" s="19" t="s">
        <v>26</v>
      </c>
      <c r="B26" s="9" t="s">
        <v>26</v>
      </c>
      <c r="C26" s="9" t="n">
        <v>115</v>
      </c>
      <c r="D26" s="9" t="n">
        <v>11.4</v>
      </c>
      <c r="E26" s="9" t="n">
        <v>40</v>
      </c>
      <c r="F26" s="18" t="s">
        <v>27</v>
      </c>
      <c r="G26" s="18" t="n">
        <v>7.21</v>
      </c>
      <c r="H26" s="9" t="n">
        <v>72.38</v>
      </c>
      <c r="I26" s="9" t="s">
        <v>16</v>
      </c>
      <c r="J26" s="9" t="n">
        <f aca="false">SUM(E26:E30)+H26</f>
        <v>242.38</v>
      </c>
      <c r="K26" s="10" t="s">
        <v>28</v>
      </c>
      <c r="L26" s="7" t="s">
        <v>29</v>
      </c>
    </row>
    <row r="27" customFormat="false" ht="13.8" hidden="false" customHeight="false" outlineLevel="0" collapsed="false">
      <c r="A27" s="19"/>
      <c r="B27" s="11" t="s">
        <v>26</v>
      </c>
      <c r="C27" s="11" t="n">
        <v>115</v>
      </c>
      <c r="D27" s="11" t="n">
        <v>11.4</v>
      </c>
      <c r="E27" s="11" t="n">
        <v>40</v>
      </c>
      <c r="F27" s="11" t="s">
        <v>26</v>
      </c>
      <c r="G27" s="11"/>
      <c r="H27" s="11"/>
      <c r="I27" s="11" t="s">
        <v>16</v>
      </c>
      <c r="J27" s="11"/>
      <c r="K27" s="12" t="s">
        <v>28</v>
      </c>
      <c r="L27" s="7"/>
      <c r="XFD27" s="7"/>
    </row>
    <row r="28" customFormat="false" ht="13.8" hidden="false" customHeight="false" outlineLevel="0" collapsed="false">
      <c r="A28" s="19"/>
      <c r="B28" s="11" t="s">
        <v>26</v>
      </c>
      <c r="C28" s="11" t="n">
        <v>115</v>
      </c>
      <c r="D28" s="11" t="n">
        <v>11.4</v>
      </c>
      <c r="E28" s="11" t="n">
        <v>30</v>
      </c>
      <c r="F28" s="11" t="s">
        <v>26</v>
      </c>
      <c r="G28" s="11"/>
      <c r="H28" s="11"/>
      <c r="I28" s="11" t="s">
        <v>16</v>
      </c>
      <c r="J28" s="11"/>
      <c r="K28" s="12" t="s">
        <v>28</v>
      </c>
      <c r="L28" s="7"/>
      <c r="XFD28" s="7"/>
    </row>
    <row r="29" customFormat="false" ht="13.8" hidden="false" customHeight="false" outlineLevel="0" collapsed="false">
      <c r="A29" s="19"/>
      <c r="B29" s="11" t="s">
        <v>26</v>
      </c>
      <c r="C29" s="11" t="n">
        <v>115</v>
      </c>
      <c r="D29" s="11" t="n">
        <v>34.5</v>
      </c>
      <c r="E29" s="11" t="n">
        <v>30</v>
      </c>
      <c r="F29" s="11" t="s">
        <v>26</v>
      </c>
      <c r="G29" s="11"/>
      <c r="H29" s="11"/>
      <c r="I29" s="11" t="s">
        <v>16</v>
      </c>
      <c r="J29" s="11"/>
      <c r="K29" s="12" t="s">
        <v>28</v>
      </c>
      <c r="L29" s="7"/>
      <c r="XFD29" s="7"/>
    </row>
    <row r="30" s="7" customFormat="true" ht="13.8" hidden="false" customHeight="false" outlineLevel="0" collapsed="false">
      <c r="A30" s="19"/>
      <c r="B30" s="14" t="s">
        <v>26</v>
      </c>
      <c r="C30" s="14" t="n">
        <v>115</v>
      </c>
      <c r="D30" s="14" t="n">
        <v>34.5</v>
      </c>
      <c r="E30" s="14" t="n">
        <v>30</v>
      </c>
      <c r="F30" s="14" t="s">
        <v>26</v>
      </c>
      <c r="G30" s="16" t="n">
        <f aca="false">H26-G26</f>
        <v>65.17</v>
      </c>
      <c r="H30" s="14"/>
      <c r="I30" s="14" t="s">
        <v>16</v>
      </c>
      <c r="J30" s="14"/>
      <c r="K30" s="17" t="s">
        <v>28</v>
      </c>
    </row>
    <row r="31" s="7" customFormat="true" ht="13.8" hidden="false" customHeight="false" outlineLevel="0" collapsed="false">
      <c r="A31" s="19" t="s">
        <v>30</v>
      </c>
      <c r="B31" s="9" t="s">
        <v>30</v>
      </c>
      <c r="C31" s="9" t="n">
        <v>115</v>
      </c>
      <c r="D31" s="9" t="n">
        <v>11.4</v>
      </c>
      <c r="E31" s="9" t="n">
        <v>40</v>
      </c>
      <c r="F31" s="9" t="s">
        <v>30</v>
      </c>
      <c r="G31" s="18"/>
      <c r="H31" s="9" t="n">
        <v>69.59</v>
      </c>
      <c r="I31" s="9" t="s">
        <v>16</v>
      </c>
      <c r="J31" s="9" t="n">
        <f aca="false">SUM(E31:E34)+H31</f>
        <v>229.59</v>
      </c>
      <c r="K31" s="10" t="s">
        <v>19</v>
      </c>
    </row>
    <row r="32" customFormat="false" ht="13.8" hidden="false" customHeight="false" outlineLevel="0" collapsed="false">
      <c r="A32" s="19"/>
      <c r="B32" s="11" t="s">
        <v>30</v>
      </c>
      <c r="C32" s="11" t="n">
        <v>115</v>
      </c>
      <c r="D32" s="11" t="n">
        <v>34.5</v>
      </c>
      <c r="E32" s="11" t="n">
        <v>40</v>
      </c>
      <c r="F32" s="7" t="s">
        <v>31</v>
      </c>
      <c r="G32" s="2" t="n">
        <v>10.01</v>
      </c>
      <c r="H32" s="11"/>
      <c r="I32" s="11" t="s">
        <v>16</v>
      </c>
      <c r="J32" s="11"/>
      <c r="K32" s="12" t="s">
        <v>19</v>
      </c>
      <c r="L32" s="7"/>
      <c r="XFD32" s="7"/>
    </row>
    <row r="33" customFormat="false" ht="13.8" hidden="false" customHeight="false" outlineLevel="0" collapsed="false">
      <c r="A33" s="19"/>
      <c r="B33" s="11" t="s">
        <v>30</v>
      </c>
      <c r="C33" s="11" t="n">
        <v>115</v>
      </c>
      <c r="D33" s="11" t="n">
        <v>34.5</v>
      </c>
      <c r="E33" s="11" t="n">
        <v>40</v>
      </c>
      <c r="F33" s="7" t="s">
        <v>32</v>
      </c>
      <c r="G33" s="2" t="n">
        <v>3.31</v>
      </c>
      <c r="H33" s="11"/>
      <c r="I33" s="11" t="s">
        <v>16</v>
      </c>
      <c r="J33" s="11"/>
      <c r="K33" s="12" t="s">
        <v>19</v>
      </c>
      <c r="L33" s="7"/>
      <c r="XFD33" s="7"/>
    </row>
    <row r="34" s="7" customFormat="true" ht="13.8" hidden="false" customHeight="false" outlineLevel="0" collapsed="false">
      <c r="A34" s="19"/>
      <c r="B34" s="14" t="s">
        <v>30</v>
      </c>
      <c r="C34" s="14" t="n">
        <v>115</v>
      </c>
      <c r="D34" s="14" t="n">
        <v>11.4</v>
      </c>
      <c r="E34" s="14" t="n">
        <v>40</v>
      </c>
      <c r="F34" s="14" t="s">
        <v>30</v>
      </c>
      <c r="G34" s="16" t="n">
        <f aca="false">H31-G32-G33</f>
        <v>56.27</v>
      </c>
      <c r="H34" s="14"/>
      <c r="I34" s="14" t="s">
        <v>16</v>
      </c>
      <c r="J34" s="14"/>
      <c r="K34" s="17" t="s">
        <v>19</v>
      </c>
      <c r="L34" s="7" t="s">
        <v>33</v>
      </c>
    </row>
    <row r="35" s="7" customFormat="true" ht="13.8" hidden="false" customHeight="false" outlineLevel="0" collapsed="false">
      <c r="A35" s="8" t="s">
        <v>34</v>
      </c>
      <c r="B35" s="9" t="s">
        <v>34</v>
      </c>
      <c r="C35" s="9" t="n">
        <v>115</v>
      </c>
      <c r="D35" s="9" t="n">
        <v>11.4</v>
      </c>
      <c r="E35" s="9" t="n">
        <v>30</v>
      </c>
      <c r="F35" s="9" t="s">
        <v>34</v>
      </c>
      <c r="G35" s="9"/>
      <c r="H35" s="9" t="n">
        <v>69.06</v>
      </c>
      <c r="I35" s="9" t="s">
        <v>35</v>
      </c>
      <c r="J35" s="9" t="n">
        <f aca="false">SUM(E35:E40)+H35</f>
        <v>345.06</v>
      </c>
      <c r="K35" s="10" t="s">
        <v>14</v>
      </c>
    </row>
    <row r="36" customFormat="false" ht="13.8" hidden="false" customHeight="false" outlineLevel="0" collapsed="false">
      <c r="A36" s="8"/>
      <c r="B36" s="11" t="s">
        <v>34</v>
      </c>
      <c r="C36" s="11" t="n">
        <v>115</v>
      </c>
      <c r="D36" s="11" t="n">
        <v>34.5</v>
      </c>
      <c r="E36" s="11" t="n">
        <v>40</v>
      </c>
      <c r="F36" s="11" t="s">
        <v>34</v>
      </c>
      <c r="G36" s="11"/>
      <c r="H36" s="11"/>
      <c r="I36" s="11" t="s">
        <v>35</v>
      </c>
      <c r="J36" s="11"/>
      <c r="K36" s="12" t="s">
        <v>14</v>
      </c>
      <c r="L36" s="7"/>
      <c r="XFD36" s="7"/>
    </row>
    <row r="37" customFormat="false" ht="13.8" hidden="false" customHeight="false" outlineLevel="0" collapsed="false">
      <c r="A37" s="8"/>
      <c r="B37" s="11" t="s">
        <v>34</v>
      </c>
      <c r="C37" s="11" t="n">
        <v>115</v>
      </c>
      <c r="D37" s="11" t="n">
        <v>34.5</v>
      </c>
      <c r="E37" s="11" t="n">
        <v>40</v>
      </c>
      <c r="F37" s="11" t="s">
        <v>34</v>
      </c>
      <c r="G37" s="11"/>
      <c r="H37" s="11"/>
      <c r="I37" s="11" t="s">
        <v>35</v>
      </c>
      <c r="J37" s="11"/>
      <c r="K37" s="12" t="s">
        <v>14</v>
      </c>
      <c r="L37" s="7"/>
      <c r="XFD37" s="7"/>
    </row>
    <row r="38" customFormat="false" ht="13.8" hidden="false" customHeight="false" outlineLevel="0" collapsed="false">
      <c r="A38" s="8"/>
      <c r="B38" s="11" t="s">
        <v>34</v>
      </c>
      <c r="C38" s="11" t="n">
        <v>115</v>
      </c>
      <c r="D38" s="11" t="n">
        <v>11.4</v>
      </c>
      <c r="E38" s="11" t="n">
        <v>40</v>
      </c>
      <c r="F38" s="11" t="s">
        <v>34</v>
      </c>
      <c r="G38" s="11"/>
      <c r="H38" s="11"/>
      <c r="I38" s="11" t="s">
        <v>35</v>
      </c>
      <c r="J38" s="11"/>
      <c r="K38" s="12" t="s">
        <v>14</v>
      </c>
      <c r="L38" s="7"/>
      <c r="XFD38" s="7"/>
    </row>
    <row r="39" customFormat="false" ht="13.8" hidden="false" customHeight="false" outlineLevel="0" collapsed="false">
      <c r="A39" s="8"/>
      <c r="B39" s="11" t="s">
        <v>34</v>
      </c>
      <c r="C39" s="11" t="n">
        <v>115</v>
      </c>
      <c r="D39" s="11" t="n">
        <v>11.4</v>
      </c>
      <c r="E39" s="11" t="n">
        <v>63</v>
      </c>
      <c r="F39" s="11" t="s">
        <v>34</v>
      </c>
      <c r="G39" s="11"/>
      <c r="H39" s="11"/>
      <c r="I39" s="11" t="s">
        <v>35</v>
      </c>
      <c r="J39" s="11"/>
      <c r="K39" s="12" t="s">
        <v>14</v>
      </c>
      <c r="L39" s="7" t="s">
        <v>33</v>
      </c>
      <c r="XFD39" s="7"/>
    </row>
    <row r="40" s="7" customFormat="true" ht="13.8" hidden="false" customHeight="false" outlineLevel="0" collapsed="false">
      <c r="A40" s="8"/>
      <c r="B40" s="14" t="s">
        <v>34</v>
      </c>
      <c r="C40" s="14" t="n">
        <v>115</v>
      </c>
      <c r="D40" s="14" t="n">
        <v>11.4</v>
      </c>
      <c r="E40" s="14" t="n">
        <v>63</v>
      </c>
      <c r="F40" s="14" t="s">
        <v>34</v>
      </c>
      <c r="G40" s="16" t="n">
        <v>69.06</v>
      </c>
      <c r="H40" s="14"/>
      <c r="I40" s="14" t="s">
        <v>35</v>
      </c>
      <c r="J40" s="14"/>
      <c r="K40" s="17" t="s">
        <v>14</v>
      </c>
      <c r="L40" s="7" t="s">
        <v>33</v>
      </c>
    </row>
    <row r="41" s="7" customFormat="true" ht="13.8" hidden="false" customHeight="false" outlineLevel="0" collapsed="false">
      <c r="A41" s="8" t="s">
        <v>36</v>
      </c>
      <c r="B41" s="9" t="s">
        <v>36</v>
      </c>
      <c r="C41" s="9" t="n">
        <v>115</v>
      </c>
      <c r="D41" s="9" t="n">
        <v>11.4</v>
      </c>
      <c r="E41" s="9" t="n">
        <v>56</v>
      </c>
      <c r="F41" s="9" t="s">
        <v>36</v>
      </c>
      <c r="G41" s="9"/>
      <c r="H41" s="9" t="n">
        <v>65.34</v>
      </c>
      <c r="I41" s="9" t="s">
        <v>16</v>
      </c>
      <c r="J41" s="9" t="n">
        <f aca="false">SUM(E41:E42)+H41</f>
        <v>177.34</v>
      </c>
      <c r="K41" s="10" t="s">
        <v>23</v>
      </c>
    </row>
    <row r="42" s="7" customFormat="true" ht="13.8" hidden="false" customHeight="false" outlineLevel="0" collapsed="false">
      <c r="A42" s="8"/>
      <c r="B42" s="14" t="s">
        <v>36</v>
      </c>
      <c r="C42" s="14" t="n">
        <v>115</v>
      </c>
      <c r="D42" s="14" t="n">
        <v>11.4</v>
      </c>
      <c r="E42" s="14" t="n">
        <v>56</v>
      </c>
      <c r="F42" s="14" t="s">
        <v>36</v>
      </c>
      <c r="G42" s="16" t="n">
        <v>65.34</v>
      </c>
      <c r="H42" s="14"/>
      <c r="I42" s="14" t="s">
        <v>16</v>
      </c>
      <c r="J42" s="14"/>
      <c r="K42" s="17" t="s">
        <v>23</v>
      </c>
    </row>
    <row r="43" s="7" customFormat="true" ht="13.8" hidden="false" customHeight="false" outlineLevel="0" collapsed="false">
      <c r="A43" s="8" t="s">
        <v>37</v>
      </c>
      <c r="B43" s="9" t="s">
        <v>37</v>
      </c>
      <c r="C43" s="9" t="n">
        <v>115</v>
      </c>
      <c r="D43" s="9" t="n">
        <v>11.4</v>
      </c>
      <c r="E43" s="9" t="n">
        <v>30</v>
      </c>
      <c r="F43" s="9" t="s">
        <v>37</v>
      </c>
      <c r="G43" s="9"/>
      <c r="H43" s="9" t="n">
        <v>65.22</v>
      </c>
      <c r="I43" s="9" t="s">
        <v>16</v>
      </c>
      <c r="J43" s="9" t="n">
        <f aca="false">SUM(E43:E45)+H43</f>
        <v>155.22</v>
      </c>
      <c r="K43" s="10" t="s">
        <v>38</v>
      </c>
    </row>
    <row r="44" customFormat="false" ht="13.8" hidden="false" customHeight="false" outlineLevel="0" collapsed="false">
      <c r="A44" s="8"/>
      <c r="B44" s="11" t="s">
        <v>37</v>
      </c>
      <c r="C44" s="11" t="n">
        <v>115</v>
      </c>
      <c r="D44" s="11" t="n">
        <v>11.4</v>
      </c>
      <c r="E44" s="11" t="n">
        <v>30</v>
      </c>
      <c r="F44" s="11" t="s">
        <v>37</v>
      </c>
      <c r="G44" s="11"/>
      <c r="H44" s="11"/>
      <c r="I44" s="11" t="s">
        <v>16</v>
      </c>
      <c r="J44" s="11"/>
      <c r="K44" s="12" t="s">
        <v>38</v>
      </c>
      <c r="L44" s="7"/>
      <c r="XFD44" s="7"/>
    </row>
    <row r="45" s="7" customFormat="true" ht="13.8" hidden="false" customHeight="false" outlineLevel="0" collapsed="false">
      <c r="A45" s="8"/>
      <c r="B45" s="14" t="s">
        <v>37</v>
      </c>
      <c r="C45" s="14" t="n">
        <v>115</v>
      </c>
      <c r="D45" s="14" t="n">
        <v>11.4</v>
      </c>
      <c r="E45" s="14" t="n">
        <v>30</v>
      </c>
      <c r="F45" s="14" t="s">
        <v>37</v>
      </c>
      <c r="G45" s="16" t="n">
        <v>65.22</v>
      </c>
      <c r="H45" s="14"/>
      <c r="I45" s="14" t="s">
        <v>16</v>
      </c>
      <c r="J45" s="14"/>
      <c r="K45" s="17" t="s">
        <v>38</v>
      </c>
    </row>
    <row r="46" s="7" customFormat="true" ht="13.8" hidden="false" customHeight="false" outlineLevel="0" collapsed="false">
      <c r="A46" s="8" t="s">
        <v>39</v>
      </c>
      <c r="B46" s="9" t="s">
        <v>39</v>
      </c>
      <c r="C46" s="9" t="n">
        <v>115</v>
      </c>
      <c r="D46" s="9" t="n">
        <v>13.8</v>
      </c>
      <c r="E46" s="9" t="n">
        <v>30</v>
      </c>
      <c r="F46" s="9" t="s">
        <v>39</v>
      </c>
      <c r="G46" s="9"/>
      <c r="H46" s="9" t="n">
        <v>65.22</v>
      </c>
      <c r="I46" s="9" t="s">
        <v>16</v>
      </c>
      <c r="J46" s="9" t="n">
        <f aca="false">SUM(E46:E48)+H46</f>
        <v>155.22</v>
      </c>
      <c r="K46" s="10" t="s">
        <v>23</v>
      </c>
    </row>
    <row r="47" customFormat="false" ht="13.8" hidden="false" customHeight="false" outlineLevel="0" collapsed="false">
      <c r="A47" s="8"/>
      <c r="B47" s="11" t="s">
        <v>39</v>
      </c>
      <c r="C47" s="11" t="n">
        <v>115</v>
      </c>
      <c r="D47" s="11" t="n">
        <v>11.4</v>
      </c>
      <c r="E47" s="11" t="n">
        <v>30</v>
      </c>
      <c r="F47" s="11" t="s">
        <v>39</v>
      </c>
      <c r="G47" s="11"/>
      <c r="H47" s="11"/>
      <c r="I47" s="11" t="s">
        <v>16</v>
      </c>
      <c r="J47" s="11"/>
      <c r="K47" s="12" t="s">
        <v>23</v>
      </c>
      <c r="L47" s="7"/>
      <c r="XFD47" s="7"/>
    </row>
    <row r="48" s="7" customFormat="true" ht="13.8" hidden="false" customHeight="false" outlineLevel="0" collapsed="false">
      <c r="A48" s="8"/>
      <c r="B48" s="14" t="s">
        <v>39</v>
      </c>
      <c r="C48" s="14" t="n">
        <v>115</v>
      </c>
      <c r="D48" s="14" t="n">
        <v>11.4</v>
      </c>
      <c r="E48" s="14" t="n">
        <v>30</v>
      </c>
      <c r="F48" s="14" t="s">
        <v>39</v>
      </c>
      <c r="G48" s="16" t="n">
        <v>65.22</v>
      </c>
      <c r="H48" s="14"/>
      <c r="I48" s="14" t="s">
        <v>16</v>
      </c>
      <c r="J48" s="14"/>
      <c r="K48" s="17" t="s">
        <v>23</v>
      </c>
    </row>
    <row r="49" s="7" customFormat="true" ht="13.8" hidden="false" customHeight="false" outlineLevel="0" collapsed="false">
      <c r="A49" s="8" t="s">
        <v>40</v>
      </c>
      <c r="B49" s="9" t="s">
        <v>40</v>
      </c>
      <c r="C49" s="9" t="n">
        <v>115</v>
      </c>
      <c r="D49" s="9" t="n">
        <v>11.4</v>
      </c>
      <c r="E49" s="9" t="n">
        <v>30</v>
      </c>
      <c r="F49" s="9" t="s">
        <v>40</v>
      </c>
      <c r="G49" s="9"/>
      <c r="H49" s="9" t="n">
        <v>63.78</v>
      </c>
      <c r="I49" s="9" t="s">
        <v>16</v>
      </c>
      <c r="J49" s="20" t="n">
        <f aca="false">SUM(E49:E51)+H49</f>
        <v>158.78</v>
      </c>
      <c r="K49" s="10" t="s">
        <v>25</v>
      </c>
    </row>
    <row r="50" customFormat="false" ht="13.8" hidden="false" customHeight="false" outlineLevel="0" collapsed="false">
      <c r="A50" s="8"/>
      <c r="B50" s="11" t="s">
        <v>40</v>
      </c>
      <c r="C50" s="11" t="n">
        <v>115</v>
      </c>
      <c r="D50" s="11" t="n">
        <v>11.4</v>
      </c>
      <c r="E50" s="11" t="n">
        <v>30</v>
      </c>
      <c r="F50" s="11" t="s">
        <v>40</v>
      </c>
      <c r="G50" s="11"/>
      <c r="H50" s="11"/>
      <c r="I50" s="11" t="s">
        <v>16</v>
      </c>
      <c r="J50" s="11"/>
      <c r="K50" s="12" t="s">
        <v>25</v>
      </c>
      <c r="L50" s="7"/>
      <c r="XFD50" s="7"/>
    </row>
    <row r="51" s="7" customFormat="true" ht="13.8" hidden="false" customHeight="false" outlineLevel="0" collapsed="false">
      <c r="A51" s="8"/>
      <c r="B51" s="14" t="s">
        <v>40</v>
      </c>
      <c r="C51" s="14" t="n">
        <v>115</v>
      </c>
      <c r="D51" s="14" t="n">
        <v>11.4</v>
      </c>
      <c r="E51" s="14" t="n">
        <v>35</v>
      </c>
      <c r="F51" s="14" t="s">
        <v>40</v>
      </c>
      <c r="G51" s="16" t="n">
        <v>63.78</v>
      </c>
      <c r="H51" s="14"/>
      <c r="I51" s="14" t="s">
        <v>16</v>
      </c>
      <c r="J51" s="14"/>
      <c r="K51" s="17" t="s">
        <v>25</v>
      </c>
    </row>
    <row r="52" s="7" customFormat="true" ht="13.8" hidden="false" customHeight="false" outlineLevel="0" collapsed="false">
      <c r="A52" s="8" t="s">
        <v>41</v>
      </c>
      <c r="B52" s="9" t="s">
        <v>41</v>
      </c>
      <c r="C52" s="9" t="n">
        <v>115</v>
      </c>
      <c r="D52" s="9" t="n">
        <v>11.4</v>
      </c>
      <c r="E52" s="9" t="n">
        <v>30</v>
      </c>
      <c r="F52" s="9" t="s">
        <v>41</v>
      </c>
      <c r="G52" s="9"/>
      <c r="H52" s="9" t="n">
        <v>62.95</v>
      </c>
      <c r="I52" s="9" t="s">
        <v>16</v>
      </c>
      <c r="J52" s="9" t="n">
        <f aca="false">SUM(E52:E54)+H52</f>
        <v>162.95</v>
      </c>
      <c r="K52" s="10" t="s">
        <v>42</v>
      </c>
    </row>
    <row r="53" customFormat="false" ht="13.8" hidden="false" customHeight="false" outlineLevel="0" collapsed="false">
      <c r="A53" s="8"/>
      <c r="B53" s="11" t="s">
        <v>41</v>
      </c>
      <c r="C53" s="11" t="n">
        <v>115</v>
      </c>
      <c r="D53" s="11" t="n">
        <v>11.4</v>
      </c>
      <c r="E53" s="11" t="n">
        <v>40</v>
      </c>
      <c r="F53" s="11" t="s">
        <v>41</v>
      </c>
      <c r="G53" s="11"/>
      <c r="H53" s="11"/>
      <c r="I53" s="11" t="s">
        <v>16</v>
      </c>
      <c r="J53" s="11"/>
      <c r="K53" s="12" t="s">
        <v>42</v>
      </c>
      <c r="L53" s="7"/>
      <c r="XFD53" s="7"/>
    </row>
    <row r="54" s="7" customFormat="true" ht="13.8" hidden="false" customHeight="false" outlineLevel="0" collapsed="false">
      <c r="A54" s="8"/>
      <c r="B54" s="14" t="s">
        <v>41</v>
      </c>
      <c r="C54" s="14" t="n">
        <v>115</v>
      </c>
      <c r="D54" s="14" t="n">
        <v>11.4</v>
      </c>
      <c r="E54" s="14" t="n">
        <v>30</v>
      </c>
      <c r="F54" s="14" t="s">
        <v>41</v>
      </c>
      <c r="G54" s="16" t="n">
        <v>62.95</v>
      </c>
      <c r="H54" s="14"/>
      <c r="I54" s="14" t="s">
        <v>16</v>
      </c>
      <c r="J54" s="14"/>
      <c r="K54" s="17" t="s">
        <v>42</v>
      </c>
    </row>
    <row r="55" s="7" customFormat="true" ht="13.8" hidden="false" customHeight="false" outlineLevel="0" collapsed="false">
      <c r="A55" s="8" t="s">
        <v>43</v>
      </c>
      <c r="B55" s="9" t="s">
        <v>43</v>
      </c>
      <c r="C55" s="9" t="n">
        <v>115</v>
      </c>
      <c r="D55" s="9" t="n">
        <v>11.4</v>
      </c>
      <c r="E55" s="9" t="n">
        <v>40</v>
      </c>
      <c r="F55" s="9" t="s">
        <v>43</v>
      </c>
      <c r="G55" s="9"/>
      <c r="H55" s="9" t="n">
        <v>55.71</v>
      </c>
      <c r="I55" s="9" t="s">
        <v>16</v>
      </c>
      <c r="J55" s="9" t="n">
        <f aca="false">SUM(E55:E57)+H55</f>
        <v>165.71</v>
      </c>
      <c r="K55" s="10" t="s">
        <v>42</v>
      </c>
    </row>
    <row r="56" customFormat="false" ht="13.8" hidden="false" customHeight="false" outlineLevel="0" collapsed="false">
      <c r="A56" s="8"/>
      <c r="B56" s="11" t="s">
        <v>43</v>
      </c>
      <c r="C56" s="11" t="n">
        <v>115</v>
      </c>
      <c r="D56" s="11" t="n">
        <v>11.4</v>
      </c>
      <c r="E56" s="11" t="n">
        <v>40</v>
      </c>
      <c r="F56" s="11" t="s">
        <v>43</v>
      </c>
      <c r="G56" s="11"/>
      <c r="H56" s="11"/>
      <c r="I56" s="11" t="s">
        <v>16</v>
      </c>
      <c r="J56" s="11"/>
      <c r="K56" s="12" t="s">
        <v>42</v>
      </c>
      <c r="L56" s="7"/>
      <c r="XFD56" s="7"/>
    </row>
    <row r="57" s="7" customFormat="true" ht="13.8" hidden="false" customHeight="false" outlineLevel="0" collapsed="false">
      <c r="A57" s="8"/>
      <c r="B57" s="14" t="s">
        <v>43</v>
      </c>
      <c r="C57" s="14" t="n">
        <v>115</v>
      </c>
      <c r="D57" s="14" t="n">
        <v>11.4</v>
      </c>
      <c r="E57" s="14" t="n">
        <v>30</v>
      </c>
      <c r="F57" s="14" t="s">
        <v>43</v>
      </c>
      <c r="G57" s="16" t="n">
        <v>55.71</v>
      </c>
      <c r="H57" s="14"/>
      <c r="I57" s="14" t="s">
        <v>16</v>
      </c>
      <c r="J57" s="14"/>
      <c r="K57" s="17" t="s">
        <v>42</v>
      </c>
    </row>
    <row r="58" s="7" customFormat="true" ht="13.8" hidden="false" customHeight="false" outlineLevel="0" collapsed="false">
      <c r="A58" s="8" t="s">
        <v>44</v>
      </c>
      <c r="B58" s="9" t="s">
        <v>44</v>
      </c>
      <c r="C58" s="9" t="n">
        <v>115</v>
      </c>
      <c r="D58" s="9" t="n">
        <v>11.4</v>
      </c>
      <c r="E58" s="9" t="n">
        <v>30</v>
      </c>
      <c r="F58" s="9" t="s">
        <v>44</v>
      </c>
      <c r="G58" s="9"/>
      <c r="H58" s="9" t="n">
        <v>53.32</v>
      </c>
      <c r="I58" s="9" t="s">
        <v>16</v>
      </c>
      <c r="J58" s="9" t="n">
        <f aca="false">SUM(E58:E60)+H58</f>
        <v>143.32</v>
      </c>
      <c r="K58" s="10" t="s">
        <v>45</v>
      </c>
    </row>
    <row r="59" customFormat="false" ht="13.8" hidden="false" customHeight="false" outlineLevel="0" collapsed="false">
      <c r="A59" s="8"/>
      <c r="B59" s="11" t="s">
        <v>44</v>
      </c>
      <c r="C59" s="11" t="n">
        <v>115</v>
      </c>
      <c r="D59" s="11" t="n">
        <v>11.4</v>
      </c>
      <c r="E59" s="11" t="n">
        <v>30</v>
      </c>
      <c r="F59" s="11" t="s">
        <v>44</v>
      </c>
      <c r="G59" s="11"/>
      <c r="H59" s="11"/>
      <c r="I59" s="11" t="s">
        <v>16</v>
      </c>
      <c r="J59" s="11"/>
      <c r="K59" s="12" t="s">
        <v>45</v>
      </c>
      <c r="L59" s="7"/>
      <c r="XFD59" s="7"/>
    </row>
    <row r="60" s="7" customFormat="true" ht="13.8" hidden="false" customHeight="false" outlineLevel="0" collapsed="false">
      <c r="A60" s="8"/>
      <c r="B60" s="14" t="s">
        <v>44</v>
      </c>
      <c r="C60" s="14" t="n">
        <v>115</v>
      </c>
      <c r="D60" s="14" t="n">
        <v>11.4</v>
      </c>
      <c r="E60" s="14" t="n">
        <v>30</v>
      </c>
      <c r="F60" s="14" t="s">
        <v>44</v>
      </c>
      <c r="G60" s="16" t="n">
        <v>53.32</v>
      </c>
      <c r="H60" s="14"/>
      <c r="I60" s="14" t="s">
        <v>16</v>
      </c>
      <c r="J60" s="14"/>
      <c r="K60" s="17" t="s">
        <v>45</v>
      </c>
    </row>
    <row r="61" s="7" customFormat="true" ht="13.8" hidden="false" customHeight="false" outlineLevel="0" collapsed="false">
      <c r="A61" s="8" t="s">
        <v>46</v>
      </c>
      <c r="B61" s="9" t="s">
        <v>46</v>
      </c>
      <c r="C61" s="9" t="n">
        <v>115</v>
      </c>
      <c r="D61" s="9" t="n">
        <v>11.4</v>
      </c>
      <c r="E61" s="9" t="n">
        <v>30</v>
      </c>
      <c r="F61" s="9" t="s">
        <v>46</v>
      </c>
      <c r="G61" s="9"/>
      <c r="H61" s="9" t="n">
        <v>52.49</v>
      </c>
      <c r="I61" s="9" t="s">
        <v>16</v>
      </c>
      <c r="J61" s="9" t="n">
        <f aca="false">SUM(E61:E63)+H61</f>
        <v>152.49</v>
      </c>
      <c r="K61" s="10" t="s">
        <v>47</v>
      </c>
    </row>
    <row r="62" customFormat="false" ht="13.8" hidden="false" customHeight="false" outlineLevel="0" collapsed="false">
      <c r="A62" s="8"/>
      <c r="B62" s="11" t="s">
        <v>46</v>
      </c>
      <c r="C62" s="11" t="n">
        <v>115</v>
      </c>
      <c r="D62" s="11" t="n">
        <v>11.4</v>
      </c>
      <c r="E62" s="11" t="n">
        <v>30</v>
      </c>
      <c r="F62" s="11" t="s">
        <v>46</v>
      </c>
      <c r="G62" s="11"/>
      <c r="H62" s="11"/>
      <c r="I62" s="11" t="s">
        <v>16</v>
      </c>
      <c r="J62" s="11"/>
      <c r="K62" s="12" t="s">
        <v>47</v>
      </c>
      <c r="L62" s="7"/>
      <c r="XFD62" s="7"/>
    </row>
    <row r="63" s="7" customFormat="true" ht="13.8" hidden="false" customHeight="false" outlineLevel="0" collapsed="false">
      <c r="A63" s="8"/>
      <c r="B63" s="14" t="s">
        <v>46</v>
      </c>
      <c r="C63" s="14" t="n">
        <v>115</v>
      </c>
      <c r="D63" s="14" t="n">
        <v>11.4</v>
      </c>
      <c r="E63" s="14" t="n">
        <v>40</v>
      </c>
      <c r="F63" s="14" t="s">
        <v>46</v>
      </c>
      <c r="G63" s="16" t="n">
        <v>52.49</v>
      </c>
      <c r="H63" s="14"/>
      <c r="I63" s="14" t="s">
        <v>16</v>
      </c>
      <c r="J63" s="14"/>
      <c r="K63" s="17" t="s">
        <v>47</v>
      </c>
    </row>
    <row r="64" s="7" customFormat="true" ht="13.8" hidden="false" customHeight="false" outlineLevel="0" collapsed="false">
      <c r="A64" s="8" t="s">
        <v>48</v>
      </c>
      <c r="B64" s="9" t="s">
        <v>48</v>
      </c>
      <c r="C64" s="9" t="n">
        <v>115</v>
      </c>
      <c r="D64" s="9" t="n">
        <v>11.4</v>
      </c>
      <c r="E64" s="9" t="n">
        <v>40</v>
      </c>
      <c r="F64" s="9" t="s">
        <v>48</v>
      </c>
      <c r="G64" s="9"/>
      <c r="H64" s="9" t="n">
        <v>48.05</v>
      </c>
      <c r="I64" s="9" t="s">
        <v>16</v>
      </c>
      <c r="J64" s="9" t="n">
        <f aca="false">SUM(E64:E66)+H64</f>
        <v>168.05</v>
      </c>
      <c r="K64" s="10" t="s">
        <v>47</v>
      </c>
    </row>
    <row r="65" customFormat="false" ht="13.8" hidden="false" customHeight="false" outlineLevel="0" collapsed="false">
      <c r="A65" s="8"/>
      <c r="B65" s="11" t="s">
        <v>48</v>
      </c>
      <c r="C65" s="11" t="n">
        <v>115</v>
      </c>
      <c r="D65" s="11" t="n">
        <v>11.4</v>
      </c>
      <c r="E65" s="11" t="n">
        <v>40</v>
      </c>
      <c r="F65" s="11" t="s">
        <v>48</v>
      </c>
      <c r="G65" s="11"/>
      <c r="H65" s="11"/>
      <c r="I65" s="11" t="s">
        <v>16</v>
      </c>
      <c r="J65" s="11"/>
      <c r="K65" s="12" t="s">
        <v>47</v>
      </c>
      <c r="L65" s="7"/>
      <c r="XFD65" s="7"/>
    </row>
    <row r="66" s="7" customFormat="true" ht="13.8" hidden="false" customHeight="false" outlineLevel="0" collapsed="false">
      <c r="A66" s="8"/>
      <c r="B66" s="14" t="s">
        <v>48</v>
      </c>
      <c r="C66" s="14" t="n">
        <v>115</v>
      </c>
      <c r="D66" s="14" t="n">
        <v>11.4</v>
      </c>
      <c r="E66" s="14" t="n">
        <v>40</v>
      </c>
      <c r="F66" s="14" t="s">
        <v>48</v>
      </c>
      <c r="G66" s="16" t="n">
        <v>48.05</v>
      </c>
      <c r="H66" s="14"/>
      <c r="I66" s="14" t="s">
        <v>16</v>
      </c>
      <c r="J66" s="14"/>
      <c r="K66" s="17" t="s">
        <v>47</v>
      </c>
    </row>
    <row r="67" s="7" customFormat="true" ht="13.8" hidden="false" customHeight="false" outlineLevel="0" collapsed="false">
      <c r="A67" s="8" t="s">
        <v>49</v>
      </c>
      <c r="B67" s="9" t="s">
        <v>49</v>
      </c>
      <c r="C67" s="9" t="n">
        <v>115</v>
      </c>
      <c r="D67" s="9" t="n">
        <v>34.5</v>
      </c>
      <c r="E67" s="9" t="n">
        <v>40</v>
      </c>
      <c r="F67" s="9" t="s">
        <v>49</v>
      </c>
      <c r="G67" s="9"/>
      <c r="H67" s="9" t="n">
        <v>45.44</v>
      </c>
      <c r="I67" s="9" t="s">
        <v>16</v>
      </c>
      <c r="J67" s="9" t="n">
        <f aca="false">SUM(E67:E70)+H67</f>
        <v>175.44</v>
      </c>
      <c r="K67" s="10" t="s">
        <v>50</v>
      </c>
    </row>
    <row r="68" customFormat="false" ht="13.8" hidden="false" customHeight="false" outlineLevel="0" collapsed="false">
      <c r="A68" s="8"/>
      <c r="B68" s="11" t="s">
        <v>49</v>
      </c>
      <c r="C68" s="11" t="n">
        <v>115</v>
      </c>
      <c r="D68" s="11" t="n">
        <v>34.5</v>
      </c>
      <c r="E68" s="11" t="n">
        <v>30</v>
      </c>
      <c r="F68" s="11" t="s">
        <v>49</v>
      </c>
      <c r="G68" s="11"/>
      <c r="H68" s="11"/>
      <c r="I68" s="11" t="s">
        <v>16</v>
      </c>
      <c r="J68" s="11"/>
      <c r="K68" s="12" t="s">
        <v>50</v>
      </c>
      <c r="L68" s="7"/>
      <c r="XFD68" s="7"/>
    </row>
    <row r="69" customFormat="false" ht="13.8" hidden="false" customHeight="false" outlineLevel="0" collapsed="false">
      <c r="A69" s="8"/>
      <c r="B69" s="11" t="s">
        <v>49</v>
      </c>
      <c r="C69" s="11" t="n">
        <v>115</v>
      </c>
      <c r="D69" s="11" t="n">
        <v>11.4</v>
      </c>
      <c r="E69" s="11" t="n">
        <v>30</v>
      </c>
      <c r="F69" s="11" t="s">
        <v>49</v>
      </c>
      <c r="G69" s="11"/>
      <c r="H69" s="11"/>
      <c r="I69" s="11" t="s">
        <v>16</v>
      </c>
      <c r="J69" s="11"/>
      <c r="K69" s="12" t="s">
        <v>50</v>
      </c>
      <c r="L69" s="7"/>
      <c r="XFD69" s="7"/>
    </row>
    <row r="70" s="7" customFormat="true" ht="13.8" hidden="false" customHeight="false" outlineLevel="0" collapsed="false">
      <c r="A70" s="8"/>
      <c r="B70" s="14" t="s">
        <v>49</v>
      </c>
      <c r="C70" s="14" t="n">
        <v>115</v>
      </c>
      <c r="D70" s="14" t="n">
        <v>11.4</v>
      </c>
      <c r="E70" s="14" t="n">
        <v>30</v>
      </c>
      <c r="F70" s="14" t="s">
        <v>49</v>
      </c>
      <c r="G70" s="16" t="n">
        <v>45.44</v>
      </c>
      <c r="H70" s="14"/>
      <c r="I70" s="14" t="s">
        <v>16</v>
      </c>
      <c r="J70" s="14"/>
      <c r="K70" s="17" t="s">
        <v>50</v>
      </c>
    </row>
    <row r="71" s="7" customFormat="true" ht="13.8" hidden="false" customHeight="false" outlineLevel="0" collapsed="false">
      <c r="A71" s="19" t="s">
        <v>51</v>
      </c>
      <c r="B71" s="9" t="s">
        <v>51</v>
      </c>
      <c r="C71" s="18"/>
      <c r="D71" s="18"/>
      <c r="E71" s="18"/>
      <c r="F71" s="21" t="s">
        <v>52</v>
      </c>
      <c r="G71" s="18" t="n">
        <v>13.06</v>
      </c>
      <c r="H71" s="9" t="n">
        <v>45.25</v>
      </c>
      <c r="I71" s="9" t="s">
        <v>53</v>
      </c>
      <c r="J71" s="9" t="n">
        <f aca="false">SUM(E79:E81)+H71</f>
        <v>145.25</v>
      </c>
      <c r="K71" s="10" t="s">
        <v>14</v>
      </c>
    </row>
    <row r="72" customFormat="false" ht="13.8" hidden="false" customHeight="false" outlineLevel="0" collapsed="false">
      <c r="A72" s="19"/>
      <c r="B72" s="11" t="s">
        <v>51</v>
      </c>
      <c r="C72" s="0"/>
      <c r="D72" s="0"/>
      <c r="E72" s="0"/>
      <c r="F72" s="7" t="s">
        <v>54</v>
      </c>
      <c r="G72" s="2" t="n">
        <v>1.09</v>
      </c>
      <c r="H72" s="11"/>
      <c r="I72" s="11" t="s">
        <v>53</v>
      </c>
      <c r="J72" s="11"/>
      <c r="K72" s="12" t="s">
        <v>14</v>
      </c>
      <c r="L72" s="7"/>
      <c r="XFD72" s="7"/>
    </row>
    <row r="73" customFormat="false" ht="13.8" hidden="false" customHeight="false" outlineLevel="0" collapsed="false">
      <c r="A73" s="19"/>
      <c r="B73" s="11" t="s">
        <v>51</v>
      </c>
      <c r="C73" s="0"/>
      <c r="D73" s="0"/>
      <c r="E73" s="0"/>
      <c r="F73" s="7" t="s">
        <v>55</v>
      </c>
      <c r="G73" s="2" t="n">
        <v>4.07</v>
      </c>
      <c r="H73" s="11"/>
      <c r="I73" s="11" t="s">
        <v>53</v>
      </c>
      <c r="J73" s="11"/>
      <c r="K73" s="12" t="s">
        <v>14</v>
      </c>
      <c r="L73" s="7"/>
      <c r="XFD73" s="7"/>
    </row>
    <row r="74" customFormat="false" ht="13.8" hidden="false" customHeight="false" outlineLevel="0" collapsed="false">
      <c r="A74" s="19"/>
      <c r="B74" s="11" t="s">
        <v>51</v>
      </c>
      <c r="C74" s="11"/>
      <c r="D74" s="11"/>
      <c r="E74" s="11"/>
      <c r="F74" s="7" t="s">
        <v>56</v>
      </c>
      <c r="G74" s="2" t="n">
        <v>1.07</v>
      </c>
      <c r="H74" s="11"/>
      <c r="I74" s="11" t="s">
        <v>53</v>
      </c>
      <c r="J74" s="11"/>
      <c r="K74" s="12" t="s">
        <v>14</v>
      </c>
      <c r="L74" s="7"/>
      <c r="XFD74" s="7"/>
    </row>
    <row r="75" customFormat="false" ht="13.8" hidden="false" customHeight="false" outlineLevel="0" collapsed="false">
      <c r="A75" s="19"/>
      <c r="B75" s="11" t="s">
        <v>51</v>
      </c>
      <c r="C75" s="11"/>
      <c r="D75" s="11"/>
      <c r="E75" s="11"/>
      <c r="F75" s="7" t="s">
        <v>57</v>
      </c>
      <c r="G75" s="2" t="n">
        <v>0.39</v>
      </c>
      <c r="H75" s="11"/>
      <c r="I75" s="11" t="s">
        <v>53</v>
      </c>
      <c r="J75" s="11"/>
      <c r="K75" s="12" t="s">
        <v>14</v>
      </c>
      <c r="L75" s="7"/>
      <c r="XFD75" s="7"/>
    </row>
    <row r="76" customFormat="false" ht="13.8" hidden="false" customHeight="false" outlineLevel="0" collapsed="false">
      <c r="A76" s="19"/>
      <c r="B76" s="11" t="s">
        <v>51</v>
      </c>
      <c r="C76" s="11"/>
      <c r="D76" s="11"/>
      <c r="E76" s="11"/>
      <c r="F76" s="7" t="s">
        <v>58</v>
      </c>
      <c r="G76" s="2" t="n">
        <v>3.14</v>
      </c>
      <c r="H76" s="11"/>
      <c r="I76" s="11" t="s">
        <v>53</v>
      </c>
      <c r="J76" s="11"/>
      <c r="K76" s="12" t="s">
        <v>14</v>
      </c>
      <c r="L76" s="7"/>
      <c r="XFD76" s="7"/>
    </row>
    <row r="77" customFormat="false" ht="13.8" hidden="false" customHeight="false" outlineLevel="0" collapsed="false">
      <c r="A77" s="19"/>
      <c r="B77" s="11" t="s">
        <v>51</v>
      </c>
      <c r="C77" s="11"/>
      <c r="D77" s="11"/>
      <c r="E77" s="11"/>
      <c r="F77" s="7" t="s">
        <v>59</v>
      </c>
      <c r="G77" s="2" t="n">
        <v>7.33</v>
      </c>
      <c r="H77" s="11"/>
      <c r="I77" s="11" t="s">
        <v>53</v>
      </c>
      <c r="J77" s="11"/>
      <c r="K77" s="12" t="s">
        <v>14</v>
      </c>
      <c r="L77" s="7"/>
      <c r="XFD77" s="7"/>
    </row>
    <row r="78" customFormat="false" ht="13.8" hidden="false" customHeight="false" outlineLevel="0" collapsed="false">
      <c r="A78" s="19"/>
      <c r="B78" s="11" t="s">
        <v>51</v>
      </c>
      <c r="C78" s="11"/>
      <c r="D78" s="11"/>
      <c r="E78" s="11"/>
      <c r="F78" s="7" t="s">
        <v>60</v>
      </c>
      <c r="G78" s="2" t="n">
        <v>14.57</v>
      </c>
      <c r="H78" s="11"/>
      <c r="I78" s="11" t="s">
        <v>53</v>
      </c>
      <c r="J78" s="11"/>
      <c r="K78" s="12" t="s">
        <v>14</v>
      </c>
      <c r="L78" s="7"/>
      <c r="XFD78" s="7"/>
    </row>
    <row r="79" customFormat="false" ht="13.8" hidden="false" customHeight="false" outlineLevel="0" collapsed="false">
      <c r="A79" s="19"/>
      <c r="B79" s="11" t="s">
        <v>51</v>
      </c>
      <c r="C79" s="11" t="n">
        <v>115</v>
      </c>
      <c r="D79" s="11" t="n">
        <v>11.4</v>
      </c>
      <c r="E79" s="11" t="n">
        <v>30</v>
      </c>
      <c r="F79" s="11" t="s">
        <v>51</v>
      </c>
      <c r="G79" s="0"/>
      <c r="H79" s="11"/>
      <c r="I79" s="11" t="s">
        <v>53</v>
      </c>
      <c r="J79" s="11"/>
      <c r="K79" s="12" t="s">
        <v>14</v>
      </c>
      <c r="L79" s="7" t="s">
        <v>61</v>
      </c>
      <c r="XFD79" s="7"/>
    </row>
    <row r="80" customFormat="false" ht="13.8" hidden="false" customHeight="false" outlineLevel="0" collapsed="false">
      <c r="A80" s="19"/>
      <c r="B80" s="11" t="s">
        <v>51</v>
      </c>
      <c r="C80" s="11" t="n">
        <v>115</v>
      </c>
      <c r="D80" s="11" t="n">
        <v>34.5</v>
      </c>
      <c r="E80" s="11" t="n">
        <v>30</v>
      </c>
      <c r="F80" s="11" t="s">
        <v>51</v>
      </c>
      <c r="G80" s="0"/>
      <c r="H80" s="11"/>
      <c r="I80" s="11" t="s">
        <v>53</v>
      </c>
      <c r="J80" s="11"/>
      <c r="K80" s="12" t="s">
        <v>14</v>
      </c>
      <c r="L80" s="7"/>
      <c r="XFD80" s="7"/>
    </row>
    <row r="81" s="7" customFormat="true" ht="13.8" hidden="false" customHeight="false" outlineLevel="0" collapsed="false">
      <c r="A81" s="19"/>
      <c r="B81" s="14" t="s">
        <v>51</v>
      </c>
      <c r="C81" s="14" t="n">
        <v>115</v>
      </c>
      <c r="D81" s="14" t="n">
        <v>34.5</v>
      </c>
      <c r="E81" s="14" t="n">
        <v>40</v>
      </c>
      <c r="F81" s="14" t="s">
        <v>51</v>
      </c>
      <c r="G81" s="22" t="n">
        <f aca="false">H71-G71-G72-G73-G74-G75-G76-G77-G78</f>
        <v>0.529999999999996</v>
      </c>
      <c r="H81" s="14"/>
      <c r="I81" s="14" t="s">
        <v>53</v>
      </c>
      <c r="J81" s="14"/>
      <c r="K81" s="17" t="s">
        <v>14</v>
      </c>
    </row>
    <row r="82" s="7" customFormat="true" ht="13.8" hidden="false" customHeight="false" outlineLevel="0" collapsed="false">
      <c r="A82" s="8" t="s">
        <v>62</v>
      </c>
      <c r="B82" s="9" t="s">
        <v>62</v>
      </c>
      <c r="C82" s="9" t="n">
        <v>115</v>
      </c>
      <c r="D82" s="9" t="n">
        <v>13.8</v>
      </c>
      <c r="E82" s="9" t="n">
        <v>30</v>
      </c>
      <c r="F82" s="9" t="s">
        <v>62</v>
      </c>
      <c r="G82" s="18"/>
      <c r="H82" s="9" t="n">
        <v>44.63</v>
      </c>
      <c r="I82" s="9" t="s">
        <v>16</v>
      </c>
      <c r="J82" s="9" t="n">
        <f aca="false">SUM(E82:E84)+H82</f>
        <v>144.63</v>
      </c>
      <c r="K82" s="10" t="s">
        <v>45</v>
      </c>
    </row>
    <row r="83" customFormat="false" ht="13.8" hidden="false" customHeight="false" outlineLevel="0" collapsed="false">
      <c r="A83" s="8"/>
      <c r="B83" s="11" t="s">
        <v>62</v>
      </c>
      <c r="C83" s="11" t="n">
        <v>115</v>
      </c>
      <c r="D83" s="11" t="n">
        <v>11.4</v>
      </c>
      <c r="E83" s="11" t="n">
        <v>30</v>
      </c>
      <c r="F83" s="11" t="s">
        <v>62</v>
      </c>
      <c r="G83" s="0"/>
      <c r="H83" s="11"/>
      <c r="I83" s="11" t="s">
        <v>16</v>
      </c>
      <c r="J83" s="11"/>
      <c r="K83" s="12" t="s">
        <v>45</v>
      </c>
      <c r="L83" s="7"/>
      <c r="XFD83" s="7"/>
    </row>
    <row r="84" s="7" customFormat="true" ht="13.8" hidden="false" customHeight="false" outlineLevel="0" collapsed="false">
      <c r="A84" s="8"/>
      <c r="B84" s="14" t="s">
        <v>62</v>
      </c>
      <c r="C84" s="14" t="n">
        <v>115</v>
      </c>
      <c r="D84" s="14" t="n">
        <v>11.4</v>
      </c>
      <c r="E84" s="14" t="n">
        <v>40</v>
      </c>
      <c r="F84" s="14" t="s">
        <v>62</v>
      </c>
      <c r="G84" s="16" t="n">
        <v>44.63</v>
      </c>
      <c r="H84" s="14"/>
      <c r="I84" s="14" t="s">
        <v>16</v>
      </c>
      <c r="J84" s="14"/>
      <c r="K84" s="17" t="s">
        <v>45</v>
      </c>
    </row>
    <row r="85" s="7" customFormat="true" ht="13.8" hidden="false" customHeight="false" outlineLevel="0" collapsed="false">
      <c r="A85" s="19" t="s">
        <v>63</v>
      </c>
      <c r="B85" s="9" t="s">
        <v>63</v>
      </c>
      <c r="C85" s="9" t="n">
        <v>115</v>
      </c>
      <c r="D85" s="9" t="n">
        <v>34.5</v>
      </c>
      <c r="E85" s="9" t="n">
        <v>40</v>
      </c>
      <c r="F85" s="21" t="s">
        <v>64</v>
      </c>
      <c r="G85" s="18" t="n">
        <v>0.14</v>
      </c>
      <c r="H85" s="9" t="n">
        <v>43.08</v>
      </c>
      <c r="I85" s="9" t="s">
        <v>65</v>
      </c>
      <c r="J85" s="9" t="n">
        <f aca="false">SUM(E85:E87)+H85</f>
        <v>163.08</v>
      </c>
      <c r="K85" s="10" t="s">
        <v>14</v>
      </c>
    </row>
    <row r="86" customFormat="false" ht="13.8" hidden="false" customHeight="false" outlineLevel="0" collapsed="false">
      <c r="A86" s="19"/>
      <c r="B86" s="11" t="s">
        <v>63</v>
      </c>
      <c r="C86" s="11" t="n">
        <v>115</v>
      </c>
      <c r="D86" s="11" t="n">
        <v>34.5</v>
      </c>
      <c r="E86" s="11" t="n">
        <v>40</v>
      </c>
      <c r="F86" s="7" t="s">
        <v>66</v>
      </c>
      <c r="G86" s="2" t="n">
        <v>4.27</v>
      </c>
      <c r="H86" s="11"/>
      <c r="I86" s="11" t="s">
        <v>65</v>
      </c>
      <c r="J86" s="11"/>
      <c r="K86" s="12" t="s">
        <v>14</v>
      </c>
      <c r="L86" s="7"/>
      <c r="XFD86" s="7"/>
    </row>
    <row r="87" s="7" customFormat="true" ht="13.8" hidden="false" customHeight="false" outlineLevel="0" collapsed="false">
      <c r="A87" s="19"/>
      <c r="B87" s="14" t="s">
        <v>63</v>
      </c>
      <c r="C87" s="14" t="n">
        <v>115</v>
      </c>
      <c r="D87" s="14" t="n">
        <v>34.5</v>
      </c>
      <c r="E87" s="14" t="n">
        <v>40</v>
      </c>
      <c r="F87" s="14" t="s">
        <v>63</v>
      </c>
      <c r="G87" s="22" t="n">
        <f aca="false">H85-G85-G86</f>
        <v>38.67</v>
      </c>
      <c r="H87" s="14"/>
      <c r="I87" s="14" t="s">
        <v>65</v>
      </c>
      <c r="J87" s="14"/>
      <c r="K87" s="17" t="s">
        <v>14</v>
      </c>
    </row>
    <row r="88" s="7" customFormat="true" ht="13.8" hidden="false" customHeight="false" outlineLevel="0" collapsed="false">
      <c r="A88" s="8" t="s">
        <v>67</v>
      </c>
      <c r="B88" s="9" t="s">
        <v>67</v>
      </c>
      <c r="C88" s="9" t="n">
        <v>115</v>
      </c>
      <c r="D88" s="9" t="n">
        <v>11.4</v>
      </c>
      <c r="E88" s="9" t="n">
        <v>30</v>
      </c>
      <c r="F88" s="9" t="s">
        <v>67</v>
      </c>
      <c r="G88" s="18"/>
      <c r="H88" s="9" t="n">
        <v>42.46</v>
      </c>
      <c r="I88" s="9" t="s">
        <v>16</v>
      </c>
      <c r="J88" s="9" t="n">
        <f aca="false">SUM(E88:E90)+H88</f>
        <v>152.46</v>
      </c>
      <c r="K88" s="10" t="s">
        <v>47</v>
      </c>
    </row>
    <row r="89" customFormat="false" ht="13.8" hidden="false" customHeight="false" outlineLevel="0" collapsed="false">
      <c r="A89" s="8"/>
      <c r="B89" s="11" t="s">
        <v>67</v>
      </c>
      <c r="C89" s="11" t="n">
        <v>115</v>
      </c>
      <c r="D89" s="11" t="n">
        <v>11.4</v>
      </c>
      <c r="E89" s="11" t="n">
        <v>40</v>
      </c>
      <c r="F89" s="11" t="s">
        <v>67</v>
      </c>
      <c r="G89" s="0"/>
      <c r="H89" s="11"/>
      <c r="I89" s="11" t="s">
        <v>16</v>
      </c>
      <c r="J89" s="11"/>
      <c r="K89" s="12" t="s">
        <v>47</v>
      </c>
      <c r="L89" s="7"/>
      <c r="XFD89" s="7"/>
    </row>
    <row r="90" s="7" customFormat="true" ht="13.8" hidden="false" customHeight="false" outlineLevel="0" collapsed="false">
      <c r="A90" s="8"/>
      <c r="B90" s="14" t="s">
        <v>67</v>
      </c>
      <c r="C90" s="14" t="n">
        <v>115</v>
      </c>
      <c r="D90" s="14" t="n">
        <v>11.4</v>
      </c>
      <c r="E90" s="14" t="n">
        <v>40</v>
      </c>
      <c r="F90" s="14" t="s">
        <v>67</v>
      </c>
      <c r="G90" s="16" t="n">
        <v>42.46</v>
      </c>
      <c r="H90" s="14"/>
      <c r="I90" s="14" t="s">
        <v>16</v>
      </c>
      <c r="J90" s="14"/>
      <c r="K90" s="17" t="s">
        <v>47</v>
      </c>
    </row>
    <row r="91" s="7" customFormat="true" ht="13.8" hidden="false" customHeight="false" outlineLevel="0" collapsed="false">
      <c r="A91" s="8" t="s">
        <v>68</v>
      </c>
      <c r="B91" s="9" t="s">
        <v>68</v>
      </c>
      <c r="C91" s="9" t="n">
        <v>115</v>
      </c>
      <c r="D91" s="9" t="n">
        <v>13.8</v>
      </c>
      <c r="E91" s="9" t="n">
        <v>30</v>
      </c>
      <c r="F91" s="9" t="s">
        <v>68</v>
      </c>
      <c r="G91" s="18"/>
      <c r="H91" s="9" t="n">
        <v>41.93</v>
      </c>
      <c r="I91" s="9" t="s">
        <v>16</v>
      </c>
      <c r="J91" s="9" t="n">
        <f aca="false">SUM(E91:E93)+H91</f>
        <v>151.93</v>
      </c>
      <c r="K91" s="10" t="s">
        <v>19</v>
      </c>
    </row>
    <row r="92" customFormat="false" ht="13.8" hidden="false" customHeight="false" outlineLevel="0" collapsed="false">
      <c r="A92" s="8"/>
      <c r="B92" s="11" t="s">
        <v>68</v>
      </c>
      <c r="C92" s="11" t="n">
        <v>115</v>
      </c>
      <c r="D92" s="11" t="n">
        <v>11.4</v>
      </c>
      <c r="E92" s="11" t="n">
        <v>40</v>
      </c>
      <c r="F92" s="11" t="s">
        <v>68</v>
      </c>
      <c r="G92" s="0"/>
      <c r="H92" s="11"/>
      <c r="I92" s="11" t="s">
        <v>16</v>
      </c>
      <c r="J92" s="11"/>
      <c r="K92" s="12" t="s">
        <v>19</v>
      </c>
      <c r="L92" s="7"/>
      <c r="XFD92" s="7"/>
    </row>
    <row r="93" s="7" customFormat="true" ht="13.8" hidden="false" customHeight="false" outlineLevel="0" collapsed="false">
      <c r="A93" s="8"/>
      <c r="B93" s="14" t="s">
        <v>68</v>
      </c>
      <c r="C93" s="14" t="n">
        <v>115</v>
      </c>
      <c r="D93" s="14" t="n">
        <v>11.4</v>
      </c>
      <c r="E93" s="14" t="n">
        <v>40</v>
      </c>
      <c r="F93" s="14" t="s">
        <v>68</v>
      </c>
      <c r="G93" s="16" t="n">
        <v>41.93</v>
      </c>
      <c r="H93" s="14"/>
      <c r="I93" s="14" t="s">
        <v>16</v>
      </c>
      <c r="J93" s="14"/>
      <c r="K93" s="17" t="s">
        <v>19</v>
      </c>
    </row>
    <row r="94" s="2" customFormat="true" ht="13.8" hidden="false" customHeight="false" outlineLevel="0" collapsed="false">
      <c r="A94" s="19" t="s">
        <v>69</v>
      </c>
      <c r="B94" s="9" t="s">
        <v>69</v>
      </c>
      <c r="C94" s="9"/>
      <c r="D94" s="9"/>
      <c r="E94" s="18"/>
      <c r="F94" s="21" t="s">
        <v>70</v>
      </c>
      <c r="G94" s="18" t="n">
        <v>4.02</v>
      </c>
      <c r="H94" s="9" t="n">
        <v>40.91</v>
      </c>
      <c r="I94" s="9" t="s">
        <v>71</v>
      </c>
      <c r="J94" s="9" t="n">
        <f aca="false">SUM(E99:E101)+H94</f>
        <v>112.635</v>
      </c>
      <c r="K94" s="10" t="s">
        <v>14</v>
      </c>
    </row>
    <row r="95" customFormat="false" ht="13.8" hidden="false" customHeight="false" outlineLevel="0" collapsed="false">
      <c r="A95" s="19"/>
      <c r="B95" s="1" t="s">
        <v>69</v>
      </c>
      <c r="E95" s="0"/>
      <c r="F95" s="7" t="s">
        <v>72</v>
      </c>
      <c r="G95" s="2" t="n">
        <v>5.72</v>
      </c>
      <c r="I95" s="1" t="s">
        <v>71</v>
      </c>
      <c r="K95" s="12" t="s">
        <v>14</v>
      </c>
      <c r="XFD95" s="2"/>
    </row>
    <row r="96" customFormat="false" ht="13.8" hidden="false" customHeight="false" outlineLevel="0" collapsed="false">
      <c r="A96" s="19"/>
      <c r="B96" s="1" t="s">
        <v>69</v>
      </c>
      <c r="F96" s="7" t="s">
        <v>73</v>
      </c>
      <c r="G96" s="2" t="n">
        <v>3.41</v>
      </c>
      <c r="I96" s="1" t="s">
        <v>71</v>
      </c>
      <c r="K96" s="12" t="s">
        <v>14</v>
      </c>
      <c r="XFD96" s="2"/>
    </row>
    <row r="97" customFormat="false" ht="13.8" hidden="false" customHeight="false" outlineLevel="0" collapsed="false">
      <c r="A97" s="19"/>
      <c r="B97" s="1" t="s">
        <v>69</v>
      </c>
      <c r="F97" s="7" t="s">
        <v>74</v>
      </c>
      <c r="G97" s="2" t="n">
        <v>5.03</v>
      </c>
      <c r="I97" s="1" t="s">
        <v>71</v>
      </c>
      <c r="K97" s="12" t="s">
        <v>14</v>
      </c>
      <c r="XFD97" s="2"/>
    </row>
    <row r="98" customFormat="false" ht="13.8" hidden="false" customHeight="false" outlineLevel="0" collapsed="false">
      <c r="A98" s="19"/>
      <c r="B98" s="1" t="s">
        <v>69</v>
      </c>
      <c r="F98" s="7" t="s">
        <v>75</v>
      </c>
      <c r="G98" s="2" t="n">
        <v>4.18</v>
      </c>
      <c r="I98" s="1" t="s">
        <v>71</v>
      </c>
      <c r="K98" s="12" t="s">
        <v>14</v>
      </c>
      <c r="XFD98" s="2"/>
    </row>
    <row r="99" customFormat="false" ht="13.8" hidden="false" customHeight="false" outlineLevel="0" collapsed="false">
      <c r="A99" s="19"/>
      <c r="B99" s="1" t="s">
        <v>69</v>
      </c>
      <c r="C99" s="1" t="n">
        <v>115</v>
      </c>
      <c r="D99" s="11" t="n">
        <v>34.5</v>
      </c>
      <c r="E99" s="11" t="n">
        <v>30</v>
      </c>
      <c r="F99" s="1" t="s">
        <v>69</v>
      </c>
      <c r="G99" s="2"/>
      <c r="I99" s="1" t="s">
        <v>71</v>
      </c>
      <c r="K99" s="12" t="s">
        <v>14</v>
      </c>
      <c r="XFD99" s="2"/>
    </row>
    <row r="100" customFormat="false" ht="13.8" hidden="false" customHeight="false" outlineLevel="0" collapsed="false">
      <c r="A100" s="19"/>
      <c r="B100" s="1" t="s">
        <v>69</v>
      </c>
      <c r="C100" s="1" t="n">
        <v>115</v>
      </c>
      <c r="D100" s="11" t="n">
        <v>34.5</v>
      </c>
      <c r="E100" s="11" t="n">
        <v>40</v>
      </c>
      <c r="F100" s="1" t="s">
        <v>69</v>
      </c>
      <c r="G100" s="0"/>
      <c r="I100" s="1" t="s">
        <v>71</v>
      </c>
      <c r="K100" s="12" t="s">
        <v>14</v>
      </c>
      <c r="XFD100" s="2"/>
    </row>
    <row r="101" s="2" customFormat="true" ht="13.8" hidden="false" customHeight="false" outlineLevel="0" collapsed="false">
      <c r="A101" s="19"/>
      <c r="B101" s="14" t="s">
        <v>69</v>
      </c>
      <c r="C101" s="14" t="n">
        <v>115</v>
      </c>
      <c r="D101" s="23" t="s">
        <v>76</v>
      </c>
      <c r="E101" s="24" t="n">
        <v>1.725</v>
      </c>
      <c r="F101" s="14" t="s">
        <v>69</v>
      </c>
      <c r="G101" s="22" t="n">
        <f aca="false">H94-SUM(G94:G98)</f>
        <v>18.55</v>
      </c>
      <c r="H101" s="14"/>
      <c r="I101" s="14" t="s">
        <v>71</v>
      </c>
      <c r="J101" s="14"/>
      <c r="K101" s="17" t="s">
        <v>14</v>
      </c>
      <c r="L101" s="7" t="s">
        <v>77</v>
      </c>
    </row>
    <row r="102" s="2" customFormat="true" ht="13.8" hidden="false" customHeight="false" outlineLevel="0" collapsed="false">
      <c r="A102" s="8" t="s">
        <v>78</v>
      </c>
      <c r="B102" s="9" t="s">
        <v>78</v>
      </c>
      <c r="C102" s="9" t="n">
        <v>115</v>
      </c>
      <c r="D102" s="9" t="n">
        <v>11.4</v>
      </c>
      <c r="E102" s="9" t="n">
        <v>30</v>
      </c>
      <c r="F102" s="9" t="s">
        <v>78</v>
      </c>
      <c r="G102" s="18"/>
      <c r="H102" s="9" t="n">
        <v>39.55</v>
      </c>
      <c r="I102" s="9" t="s">
        <v>16</v>
      </c>
      <c r="J102" s="9" t="n">
        <f aca="false">SUM(E102:E103)+H102</f>
        <v>109.55</v>
      </c>
      <c r="K102" s="10" t="s">
        <v>45</v>
      </c>
    </row>
    <row r="103" s="2" customFormat="true" ht="13.8" hidden="false" customHeight="false" outlineLevel="0" collapsed="false">
      <c r="A103" s="8"/>
      <c r="B103" s="14" t="s">
        <v>78</v>
      </c>
      <c r="C103" s="14" t="n">
        <v>115</v>
      </c>
      <c r="D103" s="14" t="n">
        <v>11.4</v>
      </c>
      <c r="E103" s="14" t="n">
        <v>40</v>
      </c>
      <c r="F103" s="14" t="s">
        <v>78</v>
      </c>
      <c r="G103" s="16" t="n">
        <v>39.55</v>
      </c>
      <c r="H103" s="14"/>
      <c r="I103" s="14" t="s">
        <v>16</v>
      </c>
      <c r="J103" s="14"/>
      <c r="K103" s="17" t="s">
        <v>45</v>
      </c>
    </row>
    <row r="104" s="7" customFormat="true" ht="13.8" hidden="false" customHeight="false" outlineLevel="0" collapsed="false">
      <c r="A104" s="19" t="s">
        <v>79</v>
      </c>
      <c r="B104" s="9" t="s">
        <v>79</v>
      </c>
      <c r="C104" s="9" t="n">
        <v>115</v>
      </c>
      <c r="D104" s="9" t="n">
        <v>11.4</v>
      </c>
      <c r="E104" s="9" t="n">
        <v>40</v>
      </c>
      <c r="F104" s="9" t="s">
        <v>80</v>
      </c>
      <c r="G104" s="18" t="n">
        <v>0.75</v>
      </c>
      <c r="H104" s="9" t="n">
        <v>38.73</v>
      </c>
      <c r="I104" s="9" t="s">
        <v>16</v>
      </c>
      <c r="J104" s="9" t="n">
        <f aca="false">SUM(E104:E109)+H104</f>
        <v>248.73</v>
      </c>
      <c r="K104" s="10" t="s">
        <v>81</v>
      </c>
      <c r="L104" s="2"/>
      <c r="M104" s="2"/>
      <c r="N104" s="2"/>
      <c r="O104" s="2"/>
      <c r="P104" s="2"/>
      <c r="Q104" s="2"/>
    </row>
    <row r="105" customFormat="false" ht="13.8" hidden="false" customHeight="false" outlineLevel="0" collapsed="false">
      <c r="A105" s="19"/>
      <c r="B105" s="1" t="s">
        <v>79</v>
      </c>
      <c r="C105" s="1" t="n">
        <v>115</v>
      </c>
      <c r="D105" s="1" t="n">
        <v>11.4</v>
      </c>
      <c r="E105" s="1" t="n">
        <v>40</v>
      </c>
      <c r="F105" s="11" t="s">
        <v>79</v>
      </c>
      <c r="G105" s="0"/>
      <c r="I105" s="1" t="s">
        <v>16</v>
      </c>
      <c r="K105" s="12" t="s">
        <v>81</v>
      </c>
      <c r="XFD105" s="7"/>
    </row>
    <row r="106" customFormat="false" ht="13.8" hidden="false" customHeight="false" outlineLevel="0" collapsed="false">
      <c r="A106" s="19"/>
      <c r="B106" s="1" t="s">
        <v>79</v>
      </c>
      <c r="C106" s="1" t="n">
        <v>115</v>
      </c>
      <c r="D106" s="1" t="n">
        <v>11.4</v>
      </c>
      <c r="E106" s="1" t="n">
        <v>30</v>
      </c>
      <c r="F106" s="11" t="s">
        <v>79</v>
      </c>
      <c r="G106" s="0"/>
      <c r="I106" s="1" t="s">
        <v>16</v>
      </c>
      <c r="K106" s="12" t="s">
        <v>81</v>
      </c>
      <c r="XFD106" s="7"/>
    </row>
    <row r="107" customFormat="false" ht="13.8" hidden="false" customHeight="false" outlineLevel="0" collapsed="false">
      <c r="A107" s="19"/>
      <c r="B107" s="1" t="s">
        <v>79</v>
      </c>
      <c r="C107" s="1" t="n">
        <v>115</v>
      </c>
      <c r="D107" s="1" t="n">
        <v>11.4</v>
      </c>
      <c r="E107" s="1" t="n">
        <v>30</v>
      </c>
      <c r="F107" s="11" t="s">
        <v>79</v>
      </c>
      <c r="G107" s="0"/>
      <c r="I107" s="1" t="s">
        <v>16</v>
      </c>
      <c r="K107" s="12" t="s">
        <v>81</v>
      </c>
      <c r="XFD107" s="7"/>
    </row>
    <row r="108" customFormat="false" ht="13.8" hidden="false" customHeight="false" outlineLevel="0" collapsed="false">
      <c r="A108" s="19"/>
      <c r="B108" s="1" t="s">
        <v>79</v>
      </c>
      <c r="C108" s="1" t="n">
        <v>115</v>
      </c>
      <c r="D108" s="1" t="n">
        <v>11.4</v>
      </c>
      <c r="E108" s="1" t="n">
        <v>30</v>
      </c>
      <c r="F108" s="11" t="s">
        <v>79</v>
      </c>
      <c r="G108" s="0"/>
      <c r="I108" s="1" t="s">
        <v>16</v>
      </c>
      <c r="K108" s="12" t="s">
        <v>81</v>
      </c>
      <c r="XFD108" s="7"/>
    </row>
    <row r="109" s="7" customFormat="true" ht="13.8" hidden="false" customHeight="false" outlineLevel="0" collapsed="false">
      <c r="A109" s="19"/>
      <c r="B109" s="14" t="s">
        <v>79</v>
      </c>
      <c r="C109" s="14" t="n">
        <v>115</v>
      </c>
      <c r="D109" s="14" t="n">
        <v>11.4</v>
      </c>
      <c r="E109" s="14" t="n">
        <v>40</v>
      </c>
      <c r="F109" s="14" t="s">
        <v>79</v>
      </c>
      <c r="G109" s="22" t="n">
        <f aca="false">H104-G104</f>
        <v>37.98</v>
      </c>
      <c r="H109" s="14"/>
      <c r="I109" s="14" t="s">
        <v>16</v>
      </c>
      <c r="J109" s="14"/>
      <c r="K109" s="17" t="s">
        <v>81</v>
      </c>
      <c r="L109" s="7" t="s">
        <v>33</v>
      </c>
      <c r="M109" s="2"/>
      <c r="N109" s="2"/>
      <c r="O109" s="2"/>
      <c r="P109" s="2"/>
      <c r="Q109" s="2"/>
    </row>
    <row r="110" s="2" customFormat="true" ht="13.8" hidden="false" customHeight="false" outlineLevel="0" collapsed="false">
      <c r="A110" s="8" t="s">
        <v>82</v>
      </c>
      <c r="B110" s="9" t="s">
        <v>82</v>
      </c>
      <c r="C110" s="9" t="n">
        <v>115</v>
      </c>
      <c r="D110" s="9" t="n">
        <v>11.4</v>
      </c>
      <c r="E110" s="9" t="n">
        <v>30</v>
      </c>
      <c r="F110" s="9" t="s">
        <v>82</v>
      </c>
      <c r="G110" s="18"/>
      <c r="H110" s="9" t="n">
        <v>37.49</v>
      </c>
      <c r="I110" s="9" t="s">
        <v>16</v>
      </c>
      <c r="J110" s="9" t="n">
        <f aca="false">SUM(E110:E111)+H110</f>
        <v>97.49</v>
      </c>
      <c r="K110" s="10" t="s">
        <v>45</v>
      </c>
    </row>
    <row r="111" s="2" customFormat="true" ht="13.8" hidden="false" customHeight="false" outlineLevel="0" collapsed="false">
      <c r="A111" s="8"/>
      <c r="B111" s="14" t="s">
        <v>82</v>
      </c>
      <c r="C111" s="14" t="n">
        <v>115</v>
      </c>
      <c r="D111" s="14" t="n">
        <v>11.4</v>
      </c>
      <c r="E111" s="14" t="n">
        <v>30</v>
      </c>
      <c r="F111" s="14" t="s">
        <v>82</v>
      </c>
      <c r="G111" s="16" t="n">
        <v>37.49</v>
      </c>
      <c r="H111" s="14"/>
      <c r="I111" s="14" t="s">
        <v>16</v>
      </c>
      <c r="J111" s="14"/>
      <c r="K111" s="17" t="s">
        <v>45</v>
      </c>
    </row>
    <row r="112" s="2" customFormat="true" ht="13.8" hidden="false" customHeight="false" outlineLevel="0" collapsed="false">
      <c r="A112" s="19" t="s">
        <v>83</v>
      </c>
      <c r="B112" s="9" t="s">
        <v>83</v>
      </c>
      <c r="C112" s="18"/>
      <c r="D112" s="18"/>
      <c r="E112" s="18"/>
      <c r="F112" s="21" t="s">
        <v>84</v>
      </c>
      <c r="G112" s="18" t="n">
        <v>5.83</v>
      </c>
      <c r="H112" s="9" t="n">
        <v>36.35</v>
      </c>
      <c r="I112" s="9" t="s">
        <v>85</v>
      </c>
      <c r="J112" s="9" t="n">
        <f aca="false">SUM(E116:E119)+H112</f>
        <v>176.35</v>
      </c>
      <c r="K112" s="10" t="s">
        <v>14</v>
      </c>
    </row>
    <row r="113" customFormat="false" ht="13.8" hidden="false" customHeight="false" outlineLevel="0" collapsed="false">
      <c r="A113" s="19"/>
      <c r="B113" s="1" t="s">
        <v>83</v>
      </c>
      <c r="F113" s="7" t="s">
        <v>86</v>
      </c>
      <c r="G113" s="2" t="n">
        <v>0.5</v>
      </c>
      <c r="K113" s="10" t="s">
        <v>14</v>
      </c>
      <c r="XFD113" s="2"/>
    </row>
    <row r="114" customFormat="false" ht="13.8" hidden="false" customHeight="false" outlineLevel="0" collapsed="false">
      <c r="A114" s="19"/>
      <c r="B114" s="1" t="s">
        <v>83</v>
      </c>
      <c r="F114" s="7" t="s">
        <v>87</v>
      </c>
      <c r="G114" s="2" t="n">
        <v>0.47</v>
      </c>
      <c r="K114" s="10" t="s">
        <v>14</v>
      </c>
      <c r="XFD114" s="2"/>
    </row>
    <row r="115" customFormat="false" ht="13.8" hidden="false" customHeight="false" outlineLevel="0" collapsed="false">
      <c r="A115" s="19"/>
      <c r="B115" s="1" t="s">
        <v>83</v>
      </c>
      <c r="F115" s="7" t="s">
        <v>88</v>
      </c>
      <c r="G115" s="2" t="n">
        <v>2.54</v>
      </c>
      <c r="K115" s="10" t="s">
        <v>14</v>
      </c>
      <c r="XFD115" s="2"/>
    </row>
    <row r="116" customFormat="false" ht="13.8" hidden="false" customHeight="false" outlineLevel="0" collapsed="false">
      <c r="A116" s="19"/>
      <c r="B116" s="1" t="s">
        <v>83</v>
      </c>
      <c r="C116" s="1" t="n">
        <v>115</v>
      </c>
      <c r="D116" s="11" t="n">
        <v>11.4</v>
      </c>
      <c r="E116" s="11" t="n">
        <v>30</v>
      </c>
      <c r="F116" s="11" t="s">
        <v>83</v>
      </c>
      <c r="K116" s="10" t="s">
        <v>14</v>
      </c>
      <c r="XFD116" s="2"/>
    </row>
    <row r="117" customFormat="false" ht="13.8" hidden="false" customHeight="false" outlineLevel="0" collapsed="false">
      <c r="A117" s="19"/>
      <c r="B117" s="1" t="s">
        <v>83</v>
      </c>
      <c r="C117" s="1" t="n">
        <v>115</v>
      </c>
      <c r="D117" s="11" t="n">
        <v>34.5</v>
      </c>
      <c r="E117" s="1" t="n">
        <v>30</v>
      </c>
      <c r="F117" s="11" t="s">
        <v>83</v>
      </c>
      <c r="K117" s="10" t="s">
        <v>14</v>
      </c>
      <c r="XFD117" s="2"/>
    </row>
    <row r="118" customFormat="false" ht="13.8" hidden="false" customHeight="false" outlineLevel="0" collapsed="false">
      <c r="A118" s="19"/>
      <c r="B118" s="1" t="s">
        <v>83</v>
      </c>
      <c r="C118" s="1" t="n">
        <v>115</v>
      </c>
      <c r="D118" s="11" t="n">
        <v>11.4</v>
      </c>
      <c r="E118" s="1" t="n">
        <v>40</v>
      </c>
      <c r="F118" s="11" t="s">
        <v>83</v>
      </c>
      <c r="K118" s="10" t="s">
        <v>14</v>
      </c>
      <c r="XFD118" s="2"/>
    </row>
    <row r="119" s="2" customFormat="true" ht="13.8" hidden="false" customHeight="false" outlineLevel="0" collapsed="false">
      <c r="A119" s="19"/>
      <c r="B119" s="14" t="s">
        <v>83</v>
      </c>
      <c r="C119" s="14" t="n">
        <v>115</v>
      </c>
      <c r="D119" s="14" t="n">
        <v>34.5</v>
      </c>
      <c r="E119" s="14" t="n">
        <v>40</v>
      </c>
      <c r="F119" s="14" t="s">
        <v>83</v>
      </c>
      <c r="G119" s="16" t="n">
        <f aca="false">H112-SUM(G112:G115)</f>
        <v>27.01</v>
      </c>
      <c r="H119" s="14"/>
      <c r="I119" s="14"/>
      <c r="J119" s="14"/>
      <c r="K119" s="10" t="s">
        <v>14</v>
      </c>
      <c r="L119" s="7" t="s">
        <v>89</v>
      </c>
    </row>
    <row r="120" s="2" customFormat="true" ht="13.8" hidden="false" customHeight="false" outlineLevel="0" collapsed="false">
      <c r="A120" s="8" t="s">
        <v>90</v>
      </c>
      <c r="B120" s="9" t="s">
        <v>90</v>
      </c>
      <c r="C120" s="9" t="n">
        <v>115</v>
      </c>
      <c r="D120" s="9" t="n">
        <v>11.4</v>
      </c>
      <c r="E120" s="9" t="n">
        <v>30</v>
      </c>
      <c r="F120" s="9" t="s">
        <v>90</v>
      </c>
      <c r="G120" s="9"/>
      <c r="H120" s="9" t="n">
        <v>33.55</v>
      </c>
      <c r="I120" s="9" t="s">
        <v>16</v>
      </c>
      <c r="J120" s="9" t="n">
        <f aca="false">SUM(E120:E121)+H120</f>
        <v>93.55</v>
      </c>
      <c r="K120" s="10" t="s">
        <v>91</v>
      </c>
    </row>
    <row r="121" s="2" customFormat="true" ht="13.8" hidden="false" customHeight="false" outlineLevel="0" collapsed="false">
      <c r="A121" s="8"/>
      <c r="B121" s="14" t="s">
        <v>90</v>
      </c>
      <c r="C121" s="14" t="n">
        <v>115</v>
      </c>
      <c r="D121" s="14" t="n">
        <v>11.4</v>
      </c>
      <c r="E121" s="14" t="n">
        <v>30</v>
      </c>
      <c r="F121" s="14" t="s">
        <v>90</v>
      </c>
      <c r="G121" s="16" t="n">
        <v>33.55</v>
      </c>
      <c r="H121" s="14"/>
      <c r="I121" s="14"/>
      <c r="J121" s="14"/>
      <c r="K121" s="10" t="s">
        <v>91</v>
      </c>
    </row>
    <row r="122" s="2" customFormat="true" ht="13.8" hidden="false" customHeight="false" outlineLevel="0" collapsed="false">
      <c r="A122" s="19" t="s">
        <v>92</v>
      </c>
      <c r="B122" s="9" t="s">
        <v>92</v>
      </c>
      <c r="C122" s="18"/>
      <c r="D122" s="18"/>
      <c r="E122" s="18"/>
      <c r="F122" s="21" t="s">
        <v>93</v>
      </c>
      <c r="G122" s="18" t="n">
        <v>1.32</v>
      </c>
      <c r="H122" s="9" t="n">
        <v>31.95</v>
      </c>
      <c r="I122" s="9" t="s">
        <v>94</v>
      </c>
      <c r="J122" s="9" t="n">
        <f aca="false">SUM(E129:E132)+H122</f>
        <v>129.45</v>
      </c>
      <c r="K122" s="10" t="s">
        <v>14</v>
      </c>
    </row>
    <row r="123" customFormat="false" ht="13.8" hidden="false" customHeight="false" outlineLevel="0" collapsed="false">
      <c r="A123" s="19"/>
      <c r="B123" s="1" t="s">
        <v>92</v>
      </c>
      <c r="F123" s="7" t="s">
        <v>95</v>
      </c>
      <c r="G123" s="2" t="n">
        <v>2.38</v>
      </c>
      <c r="I123" s="1" t="s">
        <v>94</v>
      </c>
      <c r="K123" s="12" t="s">
        <v>14</v>
      </c>
      <c r="XFD123" s="2"/>
    </row>
    <row r="124" customFormat="false" ht="13.8" hidden="false" customHeight="false" outlineLevel="0" collapsed="false">
      <c r="A124" s="19"/>
      <c r="B124" s="1" t="s">
        <v>92</v>
      </c>
      <c r="F124" s="7" t="s">
        <v>96</v>
      </c>
      <c r="G124" s="2" t="n">
        <v>3.09</v>
      </c>
      <c r="I124" s="1" t="s">
        <v>94</v>
      </c>
      <c r="K124" s="12" t="s">
        <v>14</v>
      </c>
      <c r="XFD124" s="2"/>
    </row>
    <row r="125" customFormat="false" ht="13.8" hidden="false" customHeight="false" outlineLevel="0" collapsed="false">
      <c r="A125" s="19"/>
      <c r="B125" s="1" t="s">
        <v>92</v>
      </c>
      <c r="F125" s="7" t="s">
        <v>97</v>
      </c>
      <c r="G125" s="2" t="n">
        <v>1.09</v>
      </c>
      <c r="I125" s="1" t="s">
        <v>94</v>
      </c>
      <c r="K125" s="12" t="s">
        <v>14</v>
      </c>
      <c r="XFD125" s="2"/>
    </row>
    <row r="126" customFormat="false" ht="13.8" hidden="false" customHeight="false" outlineLevel="0" collapsed="false">
      <c r="A126" s="19"/>
      <c r="B126" s="1" t="s">
        <v>92</v>
      </c>
      <c r="F126" s="7" t="s">
        <v>98</v>
      </c>
      <c r="G126" s="2" t="n">
        <v>10.5</v>
      </c>
      <c r="I126" s="1" t="s">
        <v>94</v>
      </c>
      <c r="K126" s="12" t="s">
        <v>14</v>
      </c>
      <c r="XFD126" s="2"/>
    </row>
    <row r="127" customFormat="false" ht="13.8" hidden="false" customHeight="false" outlineLevel="0" collapsed="false">
      <c r="A127" s="19"/>
      <c r="B127" s="1" t="s">
        <v>92</v>
      </c>
      <c r="F127" s="7" t="s">
        <v>92</v>
      </c>
      <c r="G127" s="2" t="n">
        <v>4.05</v>
      </c>
      <c r="I127" s="1" t="s">
        <v>94</v>
      </c>
      <c r="K127" s="12" t="s">
        <v>14</v>
      </c>
      <c r="XFD127" s="2"/>
    </row>
    <row r="128" customFormat="false" ht="13.8" hidden="false" customHeight="false" outlineLevel="0" collapsed="false">
      <c r="A128" s="19"/>
      <c r="B128" s="1" t="s">
        <v>92</v>
      </c>
      <c r="F128" s="7" t="s">
        <v>99</v>
      </c>
      <c r="G128" s="2" t="n">
        <v>0.86</v>
      </c>
      <c r="I128" s="1" t="s">
        <v>94</v>
      </c>
      <c r="K128" s="12" t="s">
        <v>14</v>
      </c>
      <c r="XFD128" s="2"/>
    </row>
    <row r="129" customFormat="false" ht="13.8" hidden="false" customHeight="false" outlineLevel="0" collapsed="false">
      <c r="A129" s="19"/>
      <c r="B129" s="1" t="s">
        <v>92</v>
      </c>
      <c r="C129" s="11" t="n">
        <v>115</v>
      </c>
      <c r="D129" s="11" t="n">
        <v>34.5</v>
      </c>
      <c r="E129" s="11" t="n">
        <v>40</v>
      </c>
      <c r="F129" s="11" t="s">
        <v>92</v>
      </c>
      <c r="I129" s="1" t="s">
        <v>94</v>
      </c>
      <c r="K129" s="12" t="s">
        <v>14</v>
      </c>
      <c r="XFD129" s="2"/>
    </row>
    <row r="130" customFormat="false" ht="13.8" hidden="false" customHeight="false" outlineLevel="0" collapsed="false">
      <c r="A130" s="19"/>
      <c r="B130" s="1" t="s">
        <v>92</v>
      </c>
      <c r="C130" s="11" t="n">
        <v>115</v>
      </c>
      <c r="D130" s="11" t="n">
        <v>34.5</v>
      </c>
      <c r="E130" s="1" t="n">
        <v>35</v>
      </c>
      <c r="F130" s="11" t="s">
        <v>92</v>
      </c>
      <c r="I130" s="1" t="s">
        <v>94</v>
      </c>
      <c r="K130" s="12" t="s">
        <v>14</v>
      </c>
      <c r="XFD130" s="2"/>
    </row>
    <row r="131" customFormat="false" ht="13.8" hidden="false" customHeight="false" outlineLevel="0" collapsed="false">
      <c r="A131" s="19"/>
      <c r="B131" s="1" t="s">
        <v>92</v>
      </c>
      <c r="C131" s="11" t="n">
        <v>115</v>
      </c>
      <c r="D131" s="11" t="n">
        <v>13.8</v>
      </c>
      <c r="E131" s="1" t="n">
        <v>10</v>
      </c>
      <c r="F131" s="11" t="s">
        <v>92</v>
      </c>
      <c r="I131" s="1" t="s">
        <v>94</v>
      </c>
      <c r="K131" s="12" t="s">
        <v>14</v>
      </c>
      <c r="XFD131" s="2"/>
    </row>
    <row r="132" s="2" customFormat="true" ht="13.8" hidden="false" customHeight="false" outlineLevel="0" collapsed="false">
      <c r="A132" s="19"/>
      <c r="B132" s="14" t="s">
        <v>92</v>
      </c>
      <c r="C132" s="14" t="n">
        <v>115</v>
      </c>
      <c r="D132" s="14" t="n">
        <v>14.8</v>
      </c>
      <c r="E132" s="14" t="n">
        <v>12.5</v>
      </c>
      <c r="F132" s="14" t="s">
        <v>92</v>
      </c>
      <c r="G132" s="16" t="n">
        <f aca="false">H122-SUM(G122:G128)</f>
        <v>8.66</v>
      </c>
      <c r="H132" s="14"/>
      <c r="I132" s="14" t="s">
        <v>94</v>
      </c>
      <c r="J132" s="14"/>
      <c r="K132" s="17" t="s">
        <v>14</v>
      </c>
      <c r="L132" s="7" t="s">
        <v>100</v>
      </c>
    </row>
    <row r="133" s="2" customFormat="true" ht="13.8" hidden="false" customHeight="false" outlineLevel="0" collapsed="false">
      <c r="A133" s="8" t="s">
        <v>101</v>
      </c>
      <c r="B133" s="9" t="s">
        <v>101</v>
      </c>
      <c r="C133" s="9" t="n">
        <v>57.5</v>
      </c>
      <c r="D133" s="9" t="n">
        <v>11.4</v>
      </c>
      <c r="E133" s="9" t="n">
        <v>30</v>
      </c>
      <c r="F133" s="9" t="s">
        <v>101</v>
      </c>
      <c r="G133" s="9"/>
      <c r="H133" s="9" t="n">
        <v>30.64</v>
      </c>
      <c r="I133" s="9" t="s">
        <v>16</v>
      </c>
      <c r="J133" s="9" t="n">
        <f aca="false">SUM(E133:E134)+H133</f>
        <v>90.64</v>
      </c>
      <c r="K133" s="10" t="s">
        <v>102</v>
      </c>
    </row>
    <row r="134" s="2" customFormat="true" ht="13.8" hidden="false" customHeight="false" outlineLevel="0" collapsed="false">
      <c r="A134" s="8"/>
      <c r="B134" s="14" t="s">
        <v>101</v>
      </c>
      <c r="C134" s="14" t="n">
        <v>57.5</v>
      </c>
      <c r="D134" s="14" t="n">
        <v>11.4</v>
      </c>
      <c r="E134" s="14" t="n">
        <v>30</v>
      </c>
      <c r="F134" s="14" t="s">
        <v>101</v>
      </c>
      <c r="G134" s="16" t="n">
        <v>30.64</v>
      </c>
      <c r="H134" s="14"/>
      <c r="I134" s="14" t="s">
        <v>16</v>
      </c>
      <c r="J134" s="14"/>
      <c r="K134" s="17" t="s">
        <v>102</v>
      </c>
    </row>
    <row r="135" s="2" customFormat="true" ht="13.8" hidden="false" customHeight="false" outlineLevel="0" collapsed="false">
      <c r="A135" s="8" t="s">
        <v>103</v>
      </c>
      <c r="B135" s="9" t="s">
        <v>103</v>
      </c>
      <c r="C135" s="9" t="n">
        <v>115</v>
      </c>
      <c r="D135" s="9" t="n">
        <v>11.4</v>
      </c>
      <c r="E135" s="9" t="n">
        <v>30</v>
      </c>
      <c r="F135" s="9" t="s">
        <v>103</v>
      </c>
      <c r="G135" s="9"/>
      <c r="H135" s="9" t="n">
        <v>28.58</v>
      </c>
      <c r="I135" s="9" t="s">
        <v>16</v>
      </c>
      <c r="J135" s="9" t="n">
        <f aca="false">SUM(E135:E137)+H135</f>
        <v>108.58</v>
      </c>
      <c r="K135" s="10" t="s">
        <v>104</v>
      </c>
    </row>
    <row r="136" customFormat="false" ht="13.8" hidden="false" customHeight="false" outlineLevel="0" collapsed="false">
      <c r="A136" s="8"/>
      <c r="B136" s="1" t="s">
        <v>103</v>
      </c>
      <c r="C136" s="1" t="n">
        <v>115</v>
      </c>
      <c r="D136" s="1" t="n">
        <v>11.4</v>
      </c>
      <c r="E136" s="1" t="n">
        <v>30</v>
      </c>
      <c r="F136" s="11" t="s">
        <v>103</v>
      </c>
      <c r="I136" s="1" t="s">
        <v>16</v>
      </c>
      <c r="K136" s="12" t="s">
        <v>104</v>
      </c>
      <c r="XFD136" s="2"/>
    </row>
    <row r="137" s="2" customFormat="true" ht="13.8" hidden="false" customHeight="false" outlineLevel="0" collapsed="false">
      <c r="A137" s="8"/>
      <c r="B137" s="14" t="s">
        <v>103</v>
      </c>
      <c r="C137" s="14" t="n">
        <v>115</v>
      </c>
      <c r="D137" s="14" t="n">
        <v>11.4</v>
      </c>
      <c r="E137" s="14" t="n">
        <v>20</v>
      </c>
      <c r="F137" s="14" t="s">
        <v>103</v>
      </c>
      <c r="G137" s="16" t="n">
        <v>28.58</v>
      </c>
      <c r="H137" s="14"/>
      <c r="I137" s="14" t="s">
        <v>16</v>
      </c>
      <c r="J137" s="14"/>
      <c r="K137" s="17" t="s">
        <v>104</v>
      </c>
    </row>
    <row r="138" s="2" customFormat="true" ht="13.8" hidden="false" customHeight="false" outlineLevel="0" collapsed="false">
      <c r="A138" s="8" t="s">
        <v>105</v>
      </c>
      <c r="B138" s="9" t="s">
        <v>105</v>
      </c>
      <c r="C138" s="9" t="n">
        <v>115</v>
      </c>
      <c r="D138" s="9" t="n">
        <v>11.4</v>
      </c>
      <c r="E138" s="9" t="n">
        <v>30</v>
      </c>
      <c r="F138" s="9" t="s">
        <v>105</v>
      </c>
      <c r="G138" s="9"/>
      <c r="H138" s="9" t="n">
        <v>27.84</v>
      </c>
      <c r="I138" s="9" t="s">
        <v>16</v>
      </c>
      <c r="J138" s="9" t="n">
        <f aca="false">SUM(E138:E139)+H138</f>
        <v>87.84</v>
      </c>
      <c r="K138" s="10" t="s">
        <v>106</v>
      </c>
    </row>
    <row r="139" s="2" customFormat="true" ht="13.8" hidden="false" customHeight="false" outlineLevel="0" collapsed="false">
      <c r="A139" s="8"/>
      <c r="B139" s="14" t="s">
        <v>105</v>
      </c>
      <c r="C139" s="14" t="n">
        <v>115</v>
      </c>
      <c r="D139" s="14" t="n">
        <v>11.4</v>
      </c>
      <c r="E139" s="14" t="n">
        <v>30</v>
      </c>
      <c r="F139" s="14" t="s">
        <v>105</v>
      </c>
      <c r="G139" s="16" t="n">
        <v>27.84</v>
      </c>
      <c r="H139" s="14"/>
      <c r="I139" s="14" t="s">
        <v>16</v>
      </c>
      <c r="J139" s="14"/>
      <c r="K139" s="17" t="s">
        <v>106</v>
      </c>
    </row>
    <row r="140" s="2" customFormat="true" ht="13.8" hidden="false" customHeight="false" outlineLevel="0" collapsed="false">
      <c r="A140" s="19" t="s">
        <v>107</v>
      </c>
      <c r="B140" s="9" t="s">
        <v>107</v>
      </c>
      <c r="C140" s="9"/>
      <c r="D140" s="18"/>
      <c r="E140" s="18"/>
      <c r="F140" s="21" t="s">
        <v>108</v>
      </c>
      <c r="G140" s="18" t="n">
        <v>3.53</v>
      </c>
      <c r="H140" s="9" t="n">
        <v>26.41</v>
      </c>
      <c r="I140" s="9" t="s">
        <v>109</v>
      </c>
      <c r="J140" s="9" t="n">
        <f aca="false">SUM(E145:E149)+H140</f>
        <v>158.41</v>
      </c>
      <c r="K140" s="10" t="s">
        <v>14</v>
      </c>
    </row>
    <row r="141" customFormat="false" ht="13.8" hidden="false" customHeight="false" outlineLevel="0" collapsed="false">
      <c r="A141" s="19"/>
      <c r="B141" s="1" t="s">
        <v>107</v>
      </c>
      <c r="F141" s="7" t="s">
        <v>110</v>
      </c>
      <c r="G141" s="2" t="n">
        <v>1.79</v>
      </c>
      <c r="I141" s="1" t="s">
        <v>109</v>
      </c>
      <c r="K141" s="12" t="s">
        <v>14</v>
      </c>
      <c r="XFD141" s="2"/>
    </row>
    <row r="142" customFormat="false" ht="13.8" hidden="false" customHeight="false" outlineLevel="0" collapsed="false">
      <c r="A142" s="19"/>
      <c r="B142" s="1" t="s">
        <v>107</v>
      </c>
      <c r="F142" s="7" t="s">
        <v>111</v>
      </c>
      <c r="G142" s="2" t="n">
        <v>4.27</v>
      </c>
      <c r="I142" s="1" t="s">
        <v>109</v>
      </c>
      <c r="K142" s="12" t="s">
        <v>14</v>
      </c>
      <c r="XFD142" s="2"/>
    </row>
    <row r="143" customFormat="false" ht="13.8" hidden="false" customHeight="false" outlineLevel="0" collapsed="false">
      <c r="A143" s="19"/>
      <c r="B143" s="1" t="s">
        <v>107</v>
      </c>
      <c r="F143" s="7" t="s">
        <v>112</v>
      </c>
      <c r="G143" s="2" t="n">
        <v>4.5</v>
      </c>
      <c r="I143" s="1" t="s">
        <v>109</v>
      </c>
      <c r="K143" s="12" t="s">
        <v>14</v>
      </c>
      <c r="XFD143" s="2"/>
    </row>
    <row r="144" customFormat="false" ht="13.8" hidden="false" customHeight="false" outlineLevel="0" collapsed="false">
      <c r="A144" s="19"/>
      <c r="B144" s="1" t="s">
        <v>107</v>
      </c>
      <c r="F144" s="7" t="s">
        <v>113</v>
      </c>
      <c r="G144" s="2" t="n">
        <v>6.17</v>
      </c>
      <c r="I144" s="1" t="s">
        <v>109</v>
      </c>
      <c r="K144" s="12" t="s">
        <v>14</v>
      </c>
      <c r="XFD144" s="2"/>
    </row>
    <row r="145" customFormat="false" ht="13.8" hidden="false" customHeight="false" outlineLevel="0" collapsed="false">
      <c r="A145" s="19"/>
      <c r="B145" s="1" t="s">
        <v>107</v>
      </c>
      <c r="C145" s="1" t="n">
        <v>115</v>
      </c>
      <c r="D145" s="11" t="n">
        <v>13.8</v>
      </c>
      <c r="E145" s="11" t="n">
        <v>12</v>
      </c>
      <c r="F145" s="11" t="s">
        <v>107</v>
      </c>
      <c r="I145" s="1" t="s">
        <v>109</v>
      </c>
      <c r="K145" s="12" t="s">
        <v>14</v>
      </c>
      <c r="XFD145" s="2"/>
    </row>
    <row r="146" customFormat="false" ht="13.8" hidden="false" customHeight="false" outlineLevel="0" collapsed="false">
      <c r="A146" s="19"/>
      <c r="B146" s="1" t="s">
        <v>107</v>
      </c>
      <c r="C146" s="1" t="n">
        <v>115</v>
      </c>
      <c r="D146" s="11" t="n">
        <v>34.5</v>
      </c>
      <c r="E146" s="1" t="n">
        <v>40</v>
      </c>
      <c r="F146" s="11" t="s">
        <v>107</v>
      </c>
      <c r="I146" s="1" t="s">
        <v>109</v>
      </c>
      <c r="K146" s="12" t="s">
        <v>14</v>
      </c>
      <c r="L146" s="7" t="s">
        <v>77</v>
      </c>
      <c r="XFD146" s="2"/>
    </row>
    <row r="147" customFormat="false" ht="13.8" hidden="false" customHeight="false" outlineLevel="0" collapsed="false">
      <c r="A147" s="19"/>
      <c r="B147" s="1" t="s">
        <v>107</v>
      </c>
      <c r="C147" s="1" t="n">
        <v>115</v>
      </c>
      <c r="D147" s="11" t="n">
        <v>34.5</v>
      </c>
      <c r="E147" s="1" t="n">
        <v>30</v>
      </c>
      <c r="F147" s="11" t="s">
        <v>107</v>
      </c>
      <c r="I147" s="1" t="s">
        <v>109</v>
      </c>
      <c r="K147" s="12" t="s">
        <v>14</v>
      </c>
      <c r="XFD147" s="2"/>
    </row>
    <row r="148" customFormat="false" ht="13.8" hidden="false" customHeight="false" outlineLevel="0" collapsed="false">
      <c r="A148" s="19"/>
      <c r="B148" s="1" t="s">
        <v>107</v>
      </c>
      <c r="C148" s="1" t="n">
        <v>115</v>
      </c>
      <c r="D148" s="1" t="n">
        <v>11.4</v>
      </c>
      <c r="E148" s="1" t="n">
        <v>25</v>
      </c>
      <c r="F148" s="11" t="s">
        <v>107</v>
      </c>
      <c r="I148" s="1" t="s">
        <v>109</v>
      </c>
      <c r="K148" s="12" t="s">
        <v>14</v>
      </c>
      <c r="L148" s="7" t="s">
        <v>33</v>
      </c>
      <c r="XFD148" s="2"/>
    </row>
    <row r="149" s="2" customFormat="true" ht="13.8" hidden="false" customHeight="false" outlineLevel="0" collapsed="false">
      <c r="A149" s="19"/>
      <c r="B149" s="14" t="s">
        <v>107</v>
      </c>
      <c r="C149" s="14" t="n">
        <v>115</v>
      </c>
      <c r="D149" s="14" t="n">
        <v>11.4</v>
      </c>
      <c r="E149" s="14" t="n">
        <v>25</v>
      </c>
      <c r="F149" s="14" t="s">
        <v>107</v>
      </c>
      <c r="G149" s="16" t="n">
        <f aca="false">H140-SUM(G140:G144)</f>
        <v>6.15</v>
      </c>
      <c r="H149" s="14"/>
      <c r="I149" s="14" t="s">
        <v>109</v>
      </c>
      <c r="J149" s="14"/>
      <c r="K149" s="17" t="s">
        <v>14</v>
      </c>
      <c r="L149" s="7" t="s">
        <v>33</v>
      </c>
    </row>
    <row r="150" s="2" customFormat="true" ht="13.8" hidden="false" customHeight="false" outlineLevel="0" collapsed="false">
      <c r="A150" s="19" t="s">
        <v>114</v>
      </c>
      <c r="B150" s="9" t="s">
        <v>114</v>
      </c>
      <c r="C150" s="9" t="n">
        <v>115</v>
      </c>
      <c r="D150" s="9" t="n">
        <v>11.4</v>
      </c>
      <c r="E150" s="9" t="n">
        <v>30</v>
      </c>
      <c r="F150" s="9" t="s">
        <v>115</v>
      </c>
      <c r="G150" s="18" t="n">
        <v>13.66</v>
      </c>
      <c r="H150" s="9" t="n">
        <v>25.58</v>
      </c>
      <c r="I150" s="9" t="s">
        <v>116</v>
      </c>
      <c r="J150" s="9" t="n">
        <f aca="false">SUM(E150:E152)+H150</f>
        <v>88.58</v>
      </c>
      <c r="K150" s="10" t="s">
        <v>14</v>
      </c>
      <c r="L150" s="2" t="s">
        <v>117</v>
      </c>
    </row>
    <row r="151" customFormat="false" ht="13.8" hidden="false" customHeight="false" outlineLevel="0" collapsed="false">
      <c r="A151" s="19"/>
      <c r="B151" s="1" t="s">
        <v>114</v>
      </c>
      <c r="C151" s="1" t="n">
        <v>115</v>
      </c>
      <c r="D151" s="11" t="n">
        <v>11.4</v>
      </c>
      <c r="E151" s="1" t="n">
        <v>30</v>
      </c>
      <c r="F151" s="11" t="s">
        <v>114</v>
      </c>
      <c r="I151" s="1" t="s">
        <v>116</v>
      </c>
      <c r="K151" s="12" t="s">
        <v>14</v>
      </c>
      <c r="XFD151" s="2"/>
    </row>
    <row r="152" s="2" customFormat="true" ht="13.8" hidden="false" customHeight="false" outlineLevel="0" collapsed="false">
      <c r="A152" s="19"/>
      <c r="B152" s="14" t="s">
        <v>114</v>
      </c>
      <c r="C152" s="14" t="n">
        <v>115</v>
      </c>
      <c r="D152" s="14" t="n">
        <v>11.4</v>
      </c>
      <c r="E152" s="14" t="n">
        <v>3</v>
      </c>
      <c r="F152" s="14" t="s">
        <v>114</v>
      </c>
      <c r="G152" s="16" t="n">
        <f aca="false">H150-G150</f>
        <v>11.92</v>
      </c>
      <c r="H152" s="14"/>
      <c r="I152" s="14" t="s">
        <v>116</v>
      </c>
      <c r="J152" s="14"/>
      <c r="K152" s="17" t="s">
        <v>14</v>
      </c>
    </row>
    <row r="153" s="2" customFormat="true" ht="13.8" hidden="false" customHeight="false" outlineLevel="0" collapsed="false">
      <c r="A153" s="19" t="s">
        <v>118</v>
      </c>
      <c r="B153" s="9" t="s">
        <v>118</v>
      </c>
      <c r="C153" s="18"/>
      <c r="D153" s="18"/>
      <c r="E153" s="18"/>
      <c r="F153" s="21" t="s">
        <v>119</v>
      </c>
      <c r="G153" s="18" t="n">
        <v>1.14</v>
      </c>
      <c r="H153" s="9" t="n">
        <v>24.86</v>
      </c>
      <c r="I153" s="9" t="s">
        <v>120</v>
      </c>
      <c r="J153" s="9" t="n">
        <f aca="false">SUM(E162:E163)+H153</f>
        <v>77.36</v>
      </c>
      <c r="K153" s="10" t="s">
        <v>14</v>
      </c>
    </row>
    <row r="154" customFormat="false" ht="13.8" hidden="false" customHeight="false" outlineLevel="0" collapsed="false">
      <c r="A154" s="19"/>
      <c r="B154" s="1" t="s">
        <v>118</v>
      </c>
      <c r="F154" s="7" t="s">
        <v>121</v>
      </c>
      <c r="G154" s="2" t="n">
        <v>7.77</v>
      </c>
      <c r="I154" s="1" t="s">
        <v>120</v>
      </c>
      <c r="K154" s="12" t="s">
        <v>14</v>
      </c>
      <c r="XFD154" s="2"/>
    </row>
    <row r="155" customFormat="false" ht="13.8" hidden="false" customHeight="false" outlineLevel="0" collapsed="false">
      <c r="A155" s="19"/>
      <c r="B155" s="1" t="s">
        <v>118</v>
      </c>
      <c r="F155" s="7" t="s">
        <v>122</v>
      </c>
      <c r="G155" s="2" t="n">
        <v>1.03</v>
      </c>
      <c r="I155" s="1" t="s">
        <v>120</v>
      </c>
      <c r="K155" s="12" t="s">
        <v>14</v>
      </c>
      <c r="XFD155" s="2"/>
    </row>
    <row r="156" customFormat="false" ht="13.8" hidden="false" customHeight="false" outlineLevel="0" collapsed="false">
      <c r="A156" s="19"/>
      <c r="B156" s="1" t="s">
        <v>118</v>
      </c>
      <c r="F156" s="7" t="s">
        <v>123</v>
      </c>
      <c r="G156" s="2" t="n">
        <v>1.04</v>
      </c>
      <c r="I156" s="1" t="s">
        <v>120</v>
      </c>
      <c r="K156" s="12" t="s">
        <v>14</v>
      </c>
      <c r="XFD156" s="2"/>
    </row>
    <row r="157" customFormat="false" ht="13.8" hidden="false" customHeight="false" outlineLevel="0" collapsed="false">
      <c r="A157" s="19"/>
      <c r="B157" s="1" t="s">
        <v>118</v>
      </c>
      <c r="F157" s="7" t="s">
        <v>124</v>
      </c>
      <c r="G157" s="2" t="n">
        <v>0.58</v>
      </c>
      <c r="I157" s="1" t="s">
        <v>120</v>
      </c>
      <c r="K157" s="12" t="s">
        <v>14</v>
      </c>
      <c r="XFD157" s="2"/>
    </row>
    <row r="158" customFormat="false" ht="13.8" hidden="false" customHeight="false" outlineLevel="0" collapsed="false">
      <c r="A158" s="19"/>
      <c r="B158" s="1" t="s">
        <v>118</v>
      </c>
      <c r="F158" s="7" t="s">
        <v>125</v>
      </c>
      <c r="G158" s="2" t="n">
        <v>0.17</v>
      </c>
      <c r="I158" s="1" t="s">
        <v>120</v>
      </c>
      <c r="K158" s="12" t="s">
        <v>14</v>
      </c>
      <c r="XFD158" s="2"/>
    </row>
    <row r="159" customFormat="false" ht="13.8" hidden="false" customHeight="false" outlineLevel="0" collapsed="false">
      <c r="A159" s="19"/>
      <c r="B159" s="1" t="s">
        <v>118</v>
      </c>
      <c r="F159" s="7" t="s">
        <v>126</v>
      </c>
      <c r="G159" s="2" t="n">
        <v>2.37</v>
      </c>
      <c r="I159" s="1" t="s">
        <v>120</v>
      </c>
      <c r="K159" s="12" t="s">
        <v>14</v>
      </c>
      <c r="XFD159" s="2"/>
    </row>
    <row r="160" customFormat="false" ht="13.8" hidden="false" customHeight="false" outlineLevel="0" collapsed="false">
      <c r="A160" s="19"/>
      <c r="B160" s="1" t="s">
        <v>118</v>
      </c>
      <c r="F160" s="7" t="s">
        <v>127</v>
      </c>
      <c r="G160" s="2" t="n">
        <v>3.75</v>
      </c>
      <c r="I160" s="1" t="s">
        <v>120</v>
      </c>
      <c r="K160" s="12" t="s">
        <v>14</v>
      </c>
      <c r="XFD160" s="2"/>
    </row>
    <row r="161" customFormat="false" ht="13.8" hidden="false" customHeight="false" outlineLevel="0" collapsed="false">
      <c r="A161" s="19"/>
      <c r="B161" s="1" t="s">
        <v>118</v>
      </c>
      <c r="F161" s="7" t="s">
        <v>128</v>
      </c>
      <c r="G161" s="2" t="n">
        <v>4.06</v>
      </c>
      <c r="I161" s="1" t="s">
        <v>120</v>
      </c>
      <c r="K161" s="12" t="s">
        <v>14</v>
      </c>
      <c r="XFD161" s="2"/>
    </row>
    <row r="162" customFormat="false" ht="13.8" hidden="false" customHeight="false" outlineLevel="0" collapsed="false">
      <c r="A162" s="19"/>
      <c r="B162" s="1" t="s">
        <v>118</v>
      </c>
      <c r="C162" s="11" t="n">
        <v>115</v>
      </c>
      <c r="D162" s="11" t="n">
        <v>13.2</v>
      </c>
      <c r="E162" s="11" t="n">
        <v>12.5</v>
      </c>
      <c r="F162" s="11" t="s">
        <v>118</v>
      </c>
      <c r="I162" s="1" t="s">
        <v>120</v>
      </c>
      <c r="K162" s="12" t="s">
        <v>14</v>
      </c>
      <c r="XFD162" s="2"/>
    </row>
    <row r="163" s="2" customFormat="true" ht="13.8" hidden="false" customHeight="false" outlineLevel="0" collapsed="false">
      <c r="A163" s="19"/>
      <c r="B163" s="14" t="s">
        <v>118</v>
      </c>
      <c r="C163" s="14" t="n">
        <v>115</v>
      </c>
      <c r="D163" s="14" t="n">
        <v>34.5</v>
      </c>
      <c r="E163" s="14" t="n">
        <v>40</v>
      </c>
      <c r="F163" s="14" t="s">
        <v>118</v>
      </c>
      <c r="G163" s="16" t="n">
        <f aca="false">H153-SUM(G153:G161)</f>
        <v>2.95</v>
      </c>
      <c r="H163" s="14"/>
      <c r="I163" s="14" t="s">
        <v>120</v>
      </c>
      <c r="J163" s="14"/>
      <c r="K163" s="17" t="s">
        <v>14</v>
      </c>
    </row>
    <row r="164" s="2" customFormat="true" ht="13.8" hidden="false" customHeight="false" outlineLevel="0" collapsed="false">
      <c r="A164" s="8" t="s">
        <v>129</v>
      </c>
      <c r="B164" s="9" t="s">
        <v>129</v>
      </c>
      <c r="C164" s="9" t="n">
        <v>115</v>
      </c>
      <c r="D164" s="9" t="n">
        <v>11.4</v>
      </c>
      <c r="E164" s="9" t="n">
        <v>40</v>
      </c>
      <c r="F164" s="9" t="s">
        <v>129</v>
      </c>
      <c r="G164" s="9"/>
      <c r="H164" s="9" t="n">
        <v>23.09</v>
      </c>
      <c r="I164" s="9" t="s">
        <v>16</v>
      </c>
      <c r="J164" s="9" t="n">
        <f aca="false">SUM(E164:E165)+H164</f>
        <v>103.09</v>
      </c>
      <c r="K164" s="10" t="s">
        <v>102</v>
      </c>
    </row>
    <row r="165" s="2" customFormat="true" ht="13.8" hidden="false" customHeight="false" outlineLevel="0" collapsed="false">
      <c r="A165" s="8"/>
      <c r="B165" s="14" t="s">
        <v>129</v>
      </c>
      <c r="C165" s="14" t="n">
        <v>115</v>
      </c>
      <c r="D165" s="14" t="n">
        <v>11.4</v>
      </c>
      <c r="E165" s="14" t="n">
        <v>40</v>
      </c>
      <c r="F165" s="14" t="s">
        <v>129</v>
      </c>
      <c r="G165" s="16" t="n">
        <v>23.09</v>
      </c>
      <c r="H165" s="14"/>
      <c r="I165" s="14" t="s">
        <v>16</v>
      </c>
      <c r="J165" s="14"/>
      <c r="K165" s="17" t="s">
        <v>102</v>
      </c>
    </row>
    <row r="166" s="2" customFormat="true" ht="13.8" hidden="false" customHeight="false" outlineLevel="0" collapsed="false">
      <c r="A166" s="19" t="s">
        <v>130</v>
      </c>
      <c r="B166" s="9" t="s">
        <v>130</v>
      </c>
      <c r="C166" s="18"/>
      <c r="D166" s="18"/>
      <c r="E166" s="18"/>
      <c r="F166" s="21" t="s">
        <v>131</v>
      </c>
      <c r="G166" s="18" t="n">
        <v>2.08</v>
      </c>
      <c r="H166" s="9" t="n">
        <v>22.57</v>
      </c>
      <c r="I166" s="9" t="s">
        <v>132</v>
      </c>
      <c r="J166" s="9" t="n">
        <f aca="false">SUM(E174:E175)+H166</f>
        <v>72.57</v>
      </c>
      <c r="K166" s="10" t="s">
        <v>14</v>
      </c>
    </row>
    <row r="167" customFormat="false" ht="13.8" hidden="false" customHeight="false" outlineLevel="0" collapsed="false">
      <c r="A167" s="19"/>
      <c r="B167" s="1" t="s">
        <v>130</v>
      </c>
      <c r="F167" s="7" t="s">
        <v>133</v>
      </c>
      <c r="G167" s="2" t="n">
        <v>5.08</v>
      </c>
      <c r="I167" s="1" t="s">
        <v>132</v>
      </c>
      <c r="K167" s="12" t="s">
        <v>14</v>
      </c>
      <c r="XFD167" s="2"/>
    </row>
    <row r="168" customFormat="false" ht="13.8" hidden="false" customHeight="false" outlineLevel="0" collapsed="false">
      <c r="A168" s="19"/>
      <c r="B168" s="1" t="s">
        <v>130</v>
      </c>
      <c r="F168" s="7" t="s">
        <v>134</v>
      </c>
      <c r="G168" s="2" t="n">
        <v>0.8</v>
      </c>
      <c r="I168" s="1" t="s">
        <v>132</v>
      </c>
      <c r="K168" s="12" t="s">
        <v>14</v>
      </c>
      <c r="XFD168" s="2"/>
    </row>
    <row r="169" customFormat="false" ht="13.8" hidden="false" customHeight="false" outlineLevel="0" collapsed="false">
      <c r="A169" s="19"/>
      <c r="B169" s="1" t="s">
        <v>130</v>
      </c>
      <c r="F169" s="7" t="s">
        <v>135</v>
      </c>
      <c r="G169" s="2" t="n">
        <v>1.14</v>
      </c>
      <c r="I169" s="1" t="s">
        <v>132</v>
      </c>
      <c r="K169" s="12" t="s">
        <v>14</v>
      </c>
      <c r="XFD169" s="2"/>
    </row>
    <row r="170" customFormat="false" ht="13.8" hidden="false" customHeight="false" outlineLevel="0" collapsed="false">
      <c r="A170" s="19"/>
      <c r="B170" s="1" t="s">
        <v>130</v>
      </c>
      <c r="F170" s="7" t="s">
        <v>136</v>
      </c>
      <c r="G170" s="2" t="n">
        <v>0.57</v>
      </c>
      <c r="I170" s="1" t="s">
        <v>132</v>
      </c>
      <c r="K170" s="12" t="s">
        <v>14</v>
      </c>
      <c r="XFD170" s="2"/>
    </row>
    <row r="171" customFormat="false" ht="13.8" hidden="false" customHeight="false" outlineLevel="0" collapsed="false">
      <c r="A171" s="19"/>
      <c r="B171" s="1" t="s">
        <v>130</v>
      </c>
      <c r="F171" s="7" t="s">
        <v>137</v>
      </c>
      <c r="G171" s="2" t="n">
        <v>3.59</v>
      </c>
      <c r="I171" s="1" t="s">
        <v>132</v>
      </c>
      <c r="K171" s="12" t="s">
        <v>14</v>
      </c>
      <c r="XFD171" s="2"/>
    </row>
    <row r="172" customFormat="false" ht="13.8" hidden="false" customHeight="false" outlineLevel="0" collapsed="false">
      <c r="A172" s="19"/>
      <c r="B172" s="1" t="s">
        <v>130</v>
      </c>
      <c r="F172" s="7" t="s">
        <v>138</v>
      </c>
      <c r="G172" s="2" t="n">
        <v>1.1</v>
      </c>
      <c r="I172" s="1" t="s">
        <v>132</v>
      </c>
      <c r="K172" s="12" t="s">
        <v>14</v>
      </c>
      <c r="XFD172" s="2"/>
    </row>
    <row r="173" customFormat="false" ht="13.8" hidden="false" customHeight="false" outlineLevel="0" collapsed="false">
      <c r="A173" s="19"/>
      <c r="B173" s="1" t="s">
        <v>130</v>
      </c>
      <c r="F173" s="7" t="s">
        <v>139</v>
      </c>
      <c r="G173" s="2" t="n">
        <v>0.52</v>
      </c>
      <c r="I173" s="1" t="s">
        <v>132</v>
      </c>
      <c r="K173" s="12" t="s">
        <v>14</v>
      </c>
      <c r="XFD173" s="2"/>
    </row>
    <row r="174" customFormat="false" ht="13.8" hidden="false" customHeight="false" outlineLevel="0" collapsed="false">
      <c r="A174" s="19"/>
      <c r="B174" s="1" t="s">
        <v>130</v>
      </c>
      <c r="C174" s="1" t="n">
        <v>115</v>
      </c>
      <c r="D174" s="11" t="n">
        <v>34.5</v>
      </c>
      <c r="E174" s="1" t="n">
        <v>20</v>
      </c>
      <c r="F174" s="11" t="s">
        <v>130</v>
      </c>
      <c r="I174" s="1" t="s">
        <v>132</v>
      </c>
      <c r="K174" s="12" t="s">
        <v>14</v>
      </c>
      <c r="XFD174" s="2"/>
    </row>
    <row r="175" s="2" customFormat="true" ht="13.8" hidden="false" customHeight="false" outlineLevel="0" collapsed="false">
      <c r="A175" s="19"/>
      <c r="B175" s="14" t="s">
        <v>130</v>
      </c>
      <c r="C175" s="14" t="n">
        <v>115</v>
      </c>
      <c r="D175" s="14" t="n">
        <v>34.5</v>
      </c>
      <c r="E175" s="14" t="n">
        <v>30</v>
      </c>
      <c r="F175" s="14" t="s">
        <v>130</v>
      </c>
      <c r="G175" s="16" t="n">
        <f aca="false">H166-SUM(G166:G173)</f>
        <v>7.69</v>
      </c>
      <c r="H175" s="14"/>
      <c r="I175" s="14" t="s">
        <v>132</v>
      </c>
      <c r="J175" s="14"/>
      <c r="K175" s="17" t="s">
        <v>14</v>
      </c>
      <c r="L175" s="7" t="s">
        <v>61</v>
      </c>
    </row>
    <row r="176" s="2" customFormat="true" ht="13.8" hidden="false" customHeight="false" outlineLevel="0" collapsed="false">
      <c r="A176" s="8" t="s">
        <v>140</v>
      </c>
      <c r="B176" s="9" t="s">
        <v>140</v>
      </c>
      <c r="C176" s="9" t="n">
        <v>115</v>
      </c>
      <c r="D176" s="9" t="n">
        <v>11.4</v>
      </c>
      <c r="E176" s="9" t="n">
        <v>30</v>
      </c>
      <c r="F176" s="9" t="s">
        <v>140</v>
      </c>
      <c r="G176" s="9"/>
      <c r="H176" s="9" t="n">
        <v>22.57</v>
      </c>
      <c r="I176" s="9" t="s">
        <v>16</v>
      </c>
      <c r="J176" s="9" t="n">
        <f aca="false">SUM(E176:E177)+H176</f>
        <v>82.57</v>
      </c>
      <c r="K176" s="10" t="s">
        <v>141</v>
      </c>
    </row>
    <row r="177" s="2" customFormat="true" ht="13.8" hidden="false" customHeight="false" outlineLevel="0" collapsed="false">
      <c r="A177" s="8"/>
      <c r="B177" s="14" t="s">
        <v>140</v>
      </c>
      <c r="C177" s="14" t="n">
        <v>115</v>
      </c>
      <c r="D177" s="14" t="n">
        <v>11.4</v>
      </c>
      <c r="E177" s="14" t="n">
        <v>30</v>
      </c>
      <c r="F177" s="14" t="s">
        <v>140</v>
      </c>
      <c r="G177" s="25" t="n">
        <v>22.57</v>
      </c>
      <c r="H177" s="14"/>
      <c r="I177" s="14" t="s">
        <v>16</v>
      </c>
      <c r="J177" s="14"/>
      <c r="K177" s="17" t="s">
        <v>141</v>
      </c>
    </row>
    <row r="178" s="2" customFormat="true" ht="13.8" hidden="false" customHeight="false" outlineLevel="0" collapsed="false">
      <c r="A178" s="19" t="s">
        <v>142</v>
      </c>
      <c r="B178" s="9" t="s">
        <v>142</v>
      </c>
      <c r="C178" s="9" t="n">
        <v>115</v>
      </c>
      <c r="D178" s="9" t="n">
        <v>11.4</v>
      </c>
      <c r="E178" s="9" t="n">
        <v>40</v>
      </c>
      <c r="F178" s="21" t="s">
        <v>143</v>
      </c>
      <c r="G178" s="18" t="n">
        <v>14.95</v>
      </c>
      <c r="H178" s="9" t="n">
        <v>21.64</v>
      </c>
      <c r="I178" s="9" t="s">
        <v>65</v>
      </c>
      <c r="J178" s="9" t="n">
        <f aca="false">SUM(E178:E179)+H178</f>
        <v>101.64</v>
      </c>
      <c r="K178" s="10" t="s">
        <v>14</v>
      </c>
      <c r="L178" s="2" t="s">
        <v>144</v>
      </c>
    </row>
    <row r="179" s="2" customFormat="true" ht="13.8" hidden="false" customHeight="false" outlineLevel="0" collapsed="false">
      <c r="A179" s="19"/>
      <c r="B179" s="14" t="s">
        <v>142</v>
      </c>
      <c r="C179" s="14" t="n">
        <v>115</v>
      </c>
      <c r="D179" s="14" t="n">
        <v>11.4</v>
      </c>
      <c r="E179" s="14" t="n">
        <v>40</v>
      </c>
      <c r="F179" s="14" t="s">
        <v>142</v>
      </c>
      <c r="G179" s="16" t="n">
        <f aca="false">H178-G178</f>
        <v>6.69</v>
      </c>
      <c r="H179" s="14"/>
      <c r="I179" s="14" t="s">
        <v>65</v>
      </c>
      <c r="J179" s="14"/>
      <c r="K179" s="17" t="s">
        <v>14</v>
      </c>
    </row>
    <row r="180" s="2" customFormat="true" ht="13.8" hidden="false" customHeight="false" outlineLevel="0" collapsed="false">
      <c r="A180" s="19" t="s">
        <v>145</v>
      </c>
      <c r="B180" s="9" t="s">
        <v>145</v>
      </c>
      <c r="C180" s="9"/>
      <c r="D180" s="18"/>
      <c r="E180" s="9"/>
      <c r="F180" s="9" t="s">
        <v>145</v>
      </c>
      <c r="G180" s="18" t="n">
        <v>20.8</v>
      </c>
      <c r="H180" s="18" t="n">
        <v>25.48</v>
      </c>
      <c r="I180" s="9" t="s">
        <v>16</v>
      </c>
      <c r="J180" s="9" t="n">
        <f aca="false">+E181+H180</f>
        <v>85.48</v>
      </c>
      <c r="K180" s="10" t="s">
        <v>146</v>
      </c>
      <c r="L180" s="2" t="s">
        <v>147</v>
      </c>
    </row>
    <row r="181" s="2" customFormat="true" ht="13.8" hidden="false" customHeight="false" outlineLevel="0" collapsed="false">
      <c r="A181" s="19"/>
      <c r="B181" s="14" t="s">
        <v>145</v>
      </c>
      <c r="C181" s="14" t="n">
        <v>230</v>
      </c>
      <c r="D181" s="14" t="n">
        <v>13.8</v>
      </c>
      <c r="E181" s="14" t="n">
        <v>60</v>
      </c>
      <c r="F181" s="14" t="s">
        <v>145</v>
      </c>
      <c r="G181" s="22" t="n">
        <f aca="false">H180-G180</f>
        <v>4.68</v>
      </c>
      <c r="H181" s="14"/>
      <c r="I181" s="14" t="s">
        <v>16</v>
      </c>
      <c r="J181" s="14"/>
      <c r="K181" s="17" t="s">
        <v>146</v>
      </c>
    </row>
    <row r="182" s="2" customFormat="true" ht="13.8" hidden="false" customHeight="false" outlineLevel="0" collapsed="false">
      <c r="A182" s="19" t="s">
        <v>148</v>
      </c>
      <c r="B182" s="9" t="s">
        <v>148</v>
      </c>
      <c r="C182" s="18"/>
      <c r="D182" s="18"/>
      <c r="E182" s="18"/>
      <c r="F182" s="9" t="s">
        <v>149</v>
      </c>
      <c r="G182" s="18" t="n">
        <v>5.28</v>
      </c>
      <c r="H182" s="9" t="n">
        <v>19.15</v>
      </c>
      <c r="I182" s="9" t="s">
        <v>150</v>
      </c>
      <c r="J182" s="9" t="n">
        <f aca="false">SUM(E186:E188)+H182</f>
        <v>99.15</v>
      </c>
      <c r="K182" s="10" t="s">
        <v>14</v>
      </c>
    </row>
    <row r="183" customFormat="false" ht="13.8" hidden="false" customHeight="false" outlineLevel="0" collapsed="false">
      <c r="A183" s="19"/>
      <c r="B183" s="1" t="s">
        <v>148</v>
      </c>
      <c r="F183" s="1" t="s">
        <v>151</v>
      </c>
      <c r="G183" s="2" t="n">
        <v>3.93</v>
      </c>
      <c r="I183" s="1" t="s">
        <v>150</v>
      </c>
      <c r="K183" s="12" t="s">
        <v>14</v>
      </c>
      <c r="XFD183" s="2"/>
    </row>
    <row r="184" customFormat="false" ht="13.8" hidden="false" customHeight="false" outlineLevel="0" collapsed="false">
      <c r="A184" s="19"/>
      <c r="B184" s="1" t="s">
        <v>148</v>
      </c>
      <c r="F184" s="1" t="s">
        <v>152</v>
      </c>
      <c r="G184" s="2" t="n">
        <v>0.46</v>
      </c>
      <c r="I184" s="1" t="s">
        <v>150</v>
      </c>
      <c r="K184" s="12" t="s">
        <v>14</v>
      </c>
      <c r="XFD184" s="2"/>
    </row>
    <row r="185" customFormat="false" ht="13.8" hidden="false" customHeight="false" outlineLevel="0" collapsed="false">
      <c r="A185" s="19"/>
      <c r="B185" s="1" t="s">
        <v>148</v>
      </c>
      <c r="F185" s="1" t="s">
        <v>153</v>
      </c>
      <c r="G185" s="2" t="n">
        <v>1.01</v>
      </c>
      <c r="I185" s="1" t="s">
        <v>150</v>
      </c>
      <c r="K185" s="12" t="s">
        <v>14</v>
      </c>
      <c r="XFD185" s="2"/>
    </row>
    <row r="186" customFormat="false" ht="13.8" hidden="false" customHeight="false" outlineLevel="0" collapsed="false">
      <c r="A186" s="19"/>
      <c r="B186" s="1" t="s">
        <v>148</v>
      </c>
      <c r="C186" s="11" t="n">
        <v>115</v>
      </c>
      <c r="D186" s="11" t="n">
        <v>34.5</v>
      </c>
      <c r="E186" s="11" t="n">
        <v>20</v>
      </c>
      <c r="F186" s="11" t="s">
        <v>148</v>
      </c>
      <c r="G186" s="0"/>
      <c r="I186" s="1" t="s">
        <v>150</v>
      </c>
      <c r="K186" s="12" t="s">
        <v>14</v>
      </c>
      <c r="XFD186" s="2"/>
    </row>
    <row r="187" s="2" customFormat="true" ht="13.8" hidden="false" customHeight="false" outlineLevel="0" collapsed="false">
      <c r="A187" s="19"/>
      <c r="B187" s="14" t="s">
        <v>148</v>
      </c>
      <c r="C187" s="14" t="n">
        <v>115</v>
      </c>
      <c r="D187" s="14" t="n">
        <v>34.5</v>
      </c>
      <c r="E187" s="14" t="n">
        <v>20</v>
      </c>
      <c r="F187" s="14" t="s">
        <v>148</v>
      </c>
      <c r="G187" s="16" t="n">
        <f aca="false">H182-SUM(G182:G185)</f>
        <v>8.47</v>
      </c>
      <c r="H187" s="14"/>
      <c r="I187" s="14" t="s">
        <v>150</v>
      </c>
      <c r="J187" s="14"/>
      <c r="K187" s="17" t="s">
        <v>14</v>
      </c>
      <c r="L187" s="7" t="s">
        <v>89</v>
      </c>
    </row>
    <row r="188" s="2" customFormat="true" ht="13.8" hidden="false" customHeight="false" outlineLevel="0" collapsed="false">
      <c r="A188" s="8" t="s">
        <v>154</v>
      </c>
      <c r="B188" s="26" t="s">
        <v>154</v>
      </c>
      <c r="C188" s="26" t="n">
        <v>115</v>
      </c>
      <c r="D188" s="26" t="n">
        <v>11.4</v>
      </c>
      <c r="E188" s="26" t="n">
        <v>40</v>
      </c>
      <c r="F188" s="26" t="s">
        <v>154</v>
      </c>
      <c r="G188" s="27" t="n">
        <v>13.47</v>
      </c>
      <c r="H188" s="26" t="n">
        <v>13.47</v>
      </c>
      <c r="I188" s="26" t="s">
        <v>16</v>
      </c>
      <c r="J188" s="26" t="n">
        <f aca="false">+E188+H188</f>
        <v>53.47</v>
      </c>
      <c r="K188" s="28" t="s">
        <v>19</v>
      </c>
    </row>
    <row r="189" s="2" customFormat="true" ht="13.8" hidden="false" customHeight="false" outlineLevel="0" collapsed="false">
      <c r="A189" s="8" t="s">
        <v>52</v>
      </c>
      <c r="B189" s="9" t="s">
        <v>52</v>
      </c>
      <c r="C189" s="9" t="n">
        <v>34.5</v>
      </c>
      <c r="D189" s="9" t="n">
        <v>11.4</v>
      </c>
      <c r="E189" s="9" t="n">
        <v>10</v>
      </c>
      <c r="F189" s="9" t="s">
        <v>52</v>
      </c>
      <c r="G189" s="9"/>
      <c r="H189" s="9" t="n">
        <v>13.06</v>
      </c>
      <c r="I189" s="9" t="s">
        <v>53</v>
      </c>
      <c r="J189" s="9" t="n">
        <f aca="false">SUM(E189:E190)+H189</f>
        <v>33.06</v>
      </c>
      <c r="K189" s="10" t="s">
        <v>14</v>
      </c>
    </row>
    <row r="190" s="2" customFormat="true" ht="13.8" hidden="false" customHeight="false" outlineLevel="0" collapsed="false">
      <c r="A190" s="8"/>
      <c r="B190" s="14" t="s">
        <v>52</v>
      </c>
      <c r="C190" s="14" t="n">
        <v>34.5</v>
      </c>
      <c r="D190" s="14" t="n">
        <v>11.4</v>
      </c>
      <c r="E190" s="14" t="n">
        <v>10</v>
      </c>
      <c r="F190" s="14" t="s">
        <v>52</v>
      </c>
      <c r="G190" s="16" t="n">
        <v>13.06</v>
      </c>
      <c r="H190" s="14"/>
      <c r="I190" s="14" t="s">
        <v>53</v>
      </c>
      <c r="J190" s="14"/>
      <c r="K190" s="17" t="s">
        <v>14</v>
      </c>
      <c r="L190" s="2" t="s">
        <v>155</v>
      </c>
    </row>
    <row r="191" s="2" customFormat="true" ht="13.8" hidden="false" customHeight="false" outlineLevel="0" collapsed="false">
      <c r="A191" s="8" t="s">
        <v>98</v>
      </c>
      <c r="B191" s="9" t="s">
        <v>98</v>
      </c>
      <c r="C191" s="9" t="n">
        <v>34.5</v>
      </c>
      <c r="D191" s="9" t="n">
        <v>13.8</v>
      </c>
      <c r="E191" s="9" t="n">
        <v>7.5</v>
      </c>
      <c r="F191" s="9" t="s">
        <v>98</v>
      </c>
      <c r="G191" s="9"/>
      <c r="H191" s="9" t="n">
        <v>10.5</v>
      </c>
      <c r="I191" s="9" t="s">
        <v>156</v>
      </c>
      <c r="J191" s="9" t="n">
        <f aca="false">SUM(E191:E192)+H191</f>
        <v>28</v>
      </c>
      <c r="K191" s="10" t="s">
        <v>14</v>
      </c>
    </row>
    <row r="192" s="2" customFormat="true" ht="13.8" hidden="false" customHeight="false" outlineLevel="0" collapsed="false">
      <c r="A192" s="8"/>
      <c r="B192" s="14" t="s">
        <v>98</v>
      </c>
      <c r="C192" s="14" t="n">
        <v>34.5</v>
      </c>
      <c r="D192" s="14" t="n">
        <v>11.4</v>
      </c>
      <c r="E192" s="14" t="n">
        <v>10</v>
      </c>
      <c r="F192" s="14" t="s">
        <v>98</v>
      </c>
      <c r="G192" s="16" t="n">
        <v>10.5</v>
      </c>
      <c r="H192" s="14"/>
      <c r="I192" s="14" t="s">
        <v>156</v>
      </c>
      <c r="J192" s="14"/>
      <c r="K192" s="17" t="s">
        <v>14</v>
      </c>
      <c r="L192" s="2" t="s">
        <v>157</v>
      </c>
    </row>
    <row r="193" s="2" customFormat="true" ht="13.8" hidden="false" customHeight="false" outlineLevel="0" collapsed="false">
      <c r="A193" s="8" t="s">
        <v>31</v>
      </c>
      <c r="B193" s="9" t="s">
        <v>31</v>
      </c>
      <c r="C193" s="9" t="n">
        <v>34.5</v>
      </c>
      <c r="D193" s="9" t="n">
        <v>11.4</v>
      </c>
      <c r="E193" s="9" t="n">
        <v>12.5</v>
      </c>
      <c r="F193" s="9" t="s">
        <v>31</v>
      </c>
      <c r="G193" s="9"/>
      <c r="H193" s="9" t="n">
        <v>10.01</v>
      </c>
      <c r="I193" s="9" t="s">
        <v>150</v>
      </c>
      <c r="J193" s="9" t="n">
        <f aca="false">SUM(E193:E194)+H193</f>
        <v>32.51</v>
      </c>
      <c r="K193" s="10" t="s">
        <v>14</v>
      </c>
    </row>
    <row r="194" s="2" customFormat="true" ht="13.8" hidden="false" customHeight="false" outlineLevel="0" collapsed="false">
      <c r="A194" s="8"/>
      <c r="B194" s="14" t="s">
        <v>31</v>
      </c>
      <c r="C194" s="14" t="n">
        <v>34.5</v>
      </c>
      <c r="D194" s="14" t="n">
        <v>11.4</v>
      </c>
      <c r="E194" s="14" t="n">
        <v>10</v>
      </c>
      <c r="F194" s="14" t="s">
        <v>31</v>
      </c>
      <c r="G194" s="16" t="n">
        <v>10.01</v>
      </c>
      <c r="H194" s="14"/>
      <c r="I194" s="14" t="s">
        <v>150</v>
      </c>
      <c r="J194" s="14"/>
      <c r="K194" s="17" t="s">
        <v>14</v>
      </c>
      <c r="L194" s="2" t="s">
        <v>158</v>
      </c>
    </row>
    <row r="195" s="2" customFormat="true" ht="13.8" hidden="false" customHeight="false" outlineLevel="0" collapsed="false">
      <c r="A195" s="8" t="s">
        <v>12</v>
      </c>
      <c r="B195" s="9" t="s">
        <v>12</v>
      </c>
      <c r="C195" s="9" t="n">
        <v>34.5</v>
      </c>
      <c r="D195" s="9" t="n">
        <v>11.4</v>
      </c>
      <c r="E195" s="9" t="n">
        <v>10</v>
      </c>
      <c r="F195" s="9" t="s">
        <v>12</v>
      </c>
      <c r="G195" s="9"/>
      <c r="H195" s="9" t="n">
        <v>9.01</v>
      </c>
      <c r="I195" s="9" t="s">
        <v>159</v>
      </c>
      <c r="J195" s="9" t="n">
        <f aca="false">SUM(E195:E196)+H195</f>
        <v>29.01</v>
      </c>
      <c r="K195" s="10" t="s">
        <v>14</v>
      </c>
    </row>
    <row r="196" s="2" customFormat="true" ht="13.8" hidden="false" customHeight="false" outlineLevel="0" collapsed="false">
      <c r="A196" s="8"/>
      <c r="B196" s="14" t="s">
        <v>12</v>
      </c>
      <c r="C196" s="14" t="n">
        <v>34.5</v>
      </c>
      <c r="D196" s="14" t="n">
        <v>11.4</v>
      </c>
      <c r="E196" s="14" t="n">
        <v>10</v>
      </c>
      <c r="F196" s="14" t="s">
        <v>12</v>
      </c>
      <c r="G196" s="25" t="n">
        <v>9.01</v>
      </c>
      <c r="H196" s="14"/>
      <c r="I196" s="14" t="s">
        <v>159</v>
      </c>
      <c r="J196" s="14"/>
      <c r="K196" s="17" t="s">
        <v>14</v>
      </c>
      <c r="L196" s="2" t="s">
        <v>160</v>
      </c>
    </row>
    <row r="197" s="2" customFormat="true" ht="13.8" hidden="false" customHeight="false" outlineLevel="0" collapsed="false">
      <c r="A197" s="8" t="s">
        <v>161</v>
      </c>
      <c r="B197" s="9" t="s">
        <v>161</v>
      </c>
      <c r="C197" s="9" t="n">
        <v>115</v>
      </c>
      <c r="D197" s="9" t="n">
        <v>11.4</v>
      </c>
      <c r="E197" s="9" t="n">
        <v>40</v>
      </c>
      <c r="F197" s="9" t="s">
        <v>161</v>
      </c>
      <c r="G197" s="9"/>
      <c r="H197" s="9" t="n">
        <v>8.19</v>
      </c>
      <c r="I197" s="9" t="s">
        <v>16</v>
      </c>
      <c r="J197" s="9" t="n">
        <f aca="false">SUM(E197:E199)+H197</f>
        <v>128.19</v>
      </c>
      <c r="K197" s="10" t="s">
        <v>17</v>
      </c>
    </row>
    <row r="198" customFormat="false" ht="13.8" hidden="false" customHeight="false" outlineLevel="0" collapsed="false">
      <c r="A198" s="8"/>
      <c r="B198" s="1" t="s">
        <v>161</v>
      </c>
      <c r="C198" s="11" t="n">
        <v>115</v>
      </c>
      <c r="D198" s="11" t="n">
        <v>11.4</v>
      </c>
      <c r="E198" s="1" t="n">
        <v>40</v>
      </c>
      <c r="F198" s="11" t="s">
        <v>161</v>
      </c>
      <c r="I198" s="1" t="s">
        <v>16</v>
      </c>
      <c r="K198" s="12" t="s">
        <v>17</v>
      </c>
      <c r="XFD198" s="2"/>
    </row>
    <row r="199" s="2" customFormat="true" ht="13.8" hidden="false" customHeight="false" outlineLevel="0" collapsed="false">
      <c r="A199" s="8"/>
      <c r="B199" s="14" t="s">
        <v>161</v>
      </c>
      <c r="C199" s="14" t="n">
        <v>115</v>
      </c>
      <c r="D199" s="14" t="n">
        <v>11.4</v>
      </c>
      <c r="E199" s="14" t="n">
        <v>40</v>
      </c>
      <c r="F199" s="14" t="s">
        <v>161</v>
      </c>
      <c r="G199" s="16" t="n">
        <v>8.19</v>
      </c>
      <c r="H199" s="14"/>
      <c r="I199" s="14" t="s">
        <v>16</v>
      </c>
      <c r="J199" s="14"/>
      <c r="K199" s="17" t="s">
        <v>17</v>
      </c>
    </row>
    <row r="200" s="2" customFormat="true" ht="13.8" hidden="false" customHeight="false" outlineLevel="0" collapsed="false">
      <c r="A200" s="8" t="s">
        <v>121</v>
      </c>
      <c r="B200" s="26" t="s">
        <v>121</v>
      </c>
      <c r="C200" s="26" t="n">
        <v>34.5</v>
      </c>
      <c r="D200" s="26" t="n">
        <v>13.2</v>
      </c>
      <c r="E200" s="26" t="n">
        <v>10</v>
      </c>
      <c r="F200" s="26" t="s">
        <v>121</v>
      </c>
      <c r="G200" s="27" t="n">
        <v>7.77</v>
      </c>
      <c r="H200" s="26" t="n">
        <v>7.77</v>
      </c>
      <c r="I200" s="26" t="s">
        <v>120</v>
      </c>
      <c r="J200" s="26" t="n">
        <f aca="false">+E200+H200</f>
        <v>17.77</v>
      </c>
      <c r="K200" s="28" t="s">
        <v>14</v>
      </c>
      <c r="L200" s="2" t="s">
        <v>162</v>
      </c>
    </row>
    <row r="201" s="2" customFormat="true" ht="13.8" hidden="false" customHeight="false" outlineLevel="0" collapsed="false">
      <c r="A201" s="8" t="s">
        <v>163</v>
      </c>
      <c r="B201" s="26" t="s">
        <v>163</v>
      </c>
      <c r="C201" s="26" t="n">
        <v>57.5</v>
      </c>
      <c r="D201" s="26" t="n">
        <v>11.4</v>
      </c>
      <c r="E201" s="26" t="n">
        <v>40</v>
      </c>
      <c r="F201" s="26" t="s">
        <v>163</v>
      </c>
      <c r="G201" s="27" t="n">
        <v>6.42</v>
      </c>
      <c r="H201" s="26" t="n">
        <v>6.42</v>
      </c>
      <c r="I201" s="26" t="s">
        <v>164</v>
      </c>
      <c r="J201" s="26" t="n">
        <f aca="false">+E201+H201</f>
        <v>46.42</v>
      </c>
      <c r="K201" s="28" t="s">
        <v>14</v>
      </c>
    </row>
    <row r="202" s="2" customFormat="true" ht="13.8" hidden="false" customHeight="false" outlineLevel="0" collapsed="false">
      <c r="A202" s="8" t="s">
        <v>113</v>
      </c>
      <c r="B202" s="9" t="s">
        <v>113</v>
      </c>
      <c r="C202" s="9" t="n">
        <v>34.5</v>
      </c>
      <c r="D202" s="9" t="n">
        <v>13.8</v>
      </c>
      <c r="E202" s="9" t="n">
        <v>5</v>
      </c>
      <c r="F202" s="9" t="s">
        <v>113</v>
      </c>
      <c r="G202" s="9"/>
      <c r="H202" s="9" t="n">
        <v>6.17</v>
      </c>
      <c r="I202" s="9" t="s">
        <v>165</v>
      </c>
      <c r="J202" s="9" t="n">
        <f aca="false">SUM(E202:E203)+H202</f>
        <v>17.17</v>
      </c>
      <c r="K202" s="10" t="s">
        <v>14</v>
      </c>
    </row>
    <row r="203" s="2" customFormat="true" ht="13.8" hidden="false" customHeight="false" outlineLevel="0" collapsed="false">
      <c r="A203" s="8"/>
      <c r="B203" s="14" t="s">
        <v>113</v>
      </c>
      <c r="C203" s="14" t="n">
        <v>34.5</v>
      </c>
      <c r="D203" s="14" t="n">
        <v>13.8</v>
      </c>
      <c r="E203" s="14" t="n">
        <v>6</v>
      </c>
      <c r="F203" s="14" t="s">
        <v>113</v>
      </c>
      <c r="G203" s="16" t="n">
        <v>6.17</v>
      </c>
      <c r="H203" s="14"/>
      <c r="I203" s="14" t="s">
        <v>165</v>
      </c>
      <c r="J203" s="14"/>
      <c r="K203" s="17" t="s">
        <v>14</v>
      </c>
      <c r="L203" s="2" t="s">
        <v>166</v>
      </c>
    </row>
    <row r="204" s="2" customFormat="true" ht="13.8" hidden="false" customHeight="false" outlineLevel="0" collapsed="false">
      <c r="A204" s="8" t="s">
        <v>167</v>
      </c>
      <c r="B204" s="9" t="s">
        <v>167</v>
      </c>
      <c r="C204" s="9" t="n">
        <v>34.5</v>
      </c>
      <c r="D204" s="9" t="n">
        <v>13.2</v>
      </c>
      <c r="E204" s="9" t="n">
        <v>5</v>
      </c>
      <c r="F204" s="9" t="s">
        <v>167</v>
      </c>
      <c r="G204" s="9"/>
      <c r="H204" s="9" t="n">
        <v>6.01</v>
      </c>
      <c r="I204" s="9" t="s">
        <v>168</v>
      </c>
      <c r="J204" s="9" t="n">
        <f aca="false">SUM(E204:E205)+H204</f>
        <v>16.01</v>
      </c>
      <c r="K204" s="10" t="s">
        <v>14</v>
      </c>
    </row>
    <row r="205" s="2" customFormat="true" ht="13.8" hidden="false" customHeight="false" outlineLevel="0" collapsed="false">
      <c r="A205" s="8"/>
      <c r="B205" s="14" t="s">
        <v>167</v>
      </c>
      <c r="C205" s="14" t="n">
        <v>34.5</v>
      </c>
      <c r="D205" s="14" t="n">
        <v>13.8</v>
      </c>
      <c r="E205" s="14" t="n">
        <v>5</v>
      </c>
      <c r="F205" s="14" t="s">
        <v>167</v>
      </c>
      <c r="G205" s="16" t="n">
        <v>6.01</v>
      </c>
      <c r="H205" s="14"/>
      <c r="I205" s="14" t="s">
        <v>168</v>
      </c>
      <c r="J205" s="14"/>
      <c r="K205" s="17" t="s">
        <v>14</v>
      </c>
      <c r="L205" s="2" t="s">
        <v>169</v>
      </c>
    </row>
    <row r="206" s="2" customFormat="true" ht="13.8" hidden="false" customHeight="false" outlineLevel="0" collapsed="false">
      <c r="A206" s="8" t="s">
        <v>170</v>
      </c>
      <c r="B206" s="9" t="s">
        <v>170</v>
      </c>
      <c r="C206" s="9" t="n">
        <v>34.5</v>
      </c>
      <c r="D206" s="9" t="n">
        <v>13.8</v>
      </c>
      <c r="E206" s="9" t="n">
        <v>10</v>
      </c>
      <c r="F206" s="9" t="s">
        <v>170</v>
      </c>
      <c r="G206" s="9"/>
      <c r="H206" s="9" t="n">
        <v>6.01</v>
      </c>
      <c r="I206" s="9" t="s">
        <v>171</v>
      </c>
      <c r="J206" s="9" t="n">
        <f aca="false">SUM(E206:E207)+H206</f>
        <v>23.51</v>
      </c>
      <c r="K206" s="10" t="s">
        <v>14</v>
      </c>
    </row>
    <row r="207" s="2" customFormat="true" ht="13.8" hidden="false" customHeight="false" outlineLevel="0" collapsed="false">
      <c r="A207" s="8"/>
      <c r="B207" s="14" t="s">
        <v>170</v>
      </c>
      <c r="C207" s="14" t="n">
        <v>34.5</v>
      </c>
      <c r="D207" s="14" t="n">
        <v>13.8</v>
      </c>
      <c r="E207" s="14" t="n">
        <v>7.5</v>
      </c>
      <c r="F207" s="14" t="s">
        <v>170</v>
      </c>
      <c r="G207" s="16" t="n">
        <v>6.01</v>
      </c>
      <c r="H207" s="14"/>
      <c r="I207" s="14" t="s">
        <v>171</v>
      </c>
      <c r="J207" s="14"/>
      <c r="K207" s="17" t="s">
        <v>14</v>
      </c>
      <c r="L207" s="2" t="s">
        <v>172</v>
      </c>
    </row>
    <row r="208" s="2" customFormat="true" ht="13.8" hidden="false" customHeight="false" outlineLevel="0" collapsed="false">
      <c r="A208" s="8" t="s">
        <v>173</v>
      </c>
      <c r="B208" s="9" t="s">
        <v>173</v>
      </c>
      <c r="C208" s="9" t="n">
        <v>115</v>
      </c>
      <c r="D208" s="9" t="n">
        <v>34.5</v>
      </c>
      <c r="E208" s="9" t="n">
        <v>40</v>
      </c>
      <c r="F208" s="9" t="s">
        <v>173</v>
      </c>
      <c r="G208" s="9"/>
      <c r="H208" s="9" t="n">
        <v>5.85</v>
      </c>
      <c r="I208" s="9" t="s">
        <v>174</v>
      </c>
      <c r="J208" s="9" t="n">
        <f aca="false">SUM(E208:E209)+H208</f>
        <v>85.85</v>
      </c>
      <c r="K208" s="10" t="s">
        <v>14</v>
      </c>
    </row>
    <row r="209" s="2" customFormat="true" ht="13.8" hidden="false" customHeight="false" outlineLevel="0" collapsed="false">
      <c r="A209" s="8"/>
      <c r="B209" s="14" t="s">
        <v>173</v>
      </c>
      <c r="C209" s="14" t="n">
        <v>115</v>
      </c>
      <c r="D209" s="14" t="n">
        <v>34.5</v>
      </c>
      <c r="E209" s="14" t="n">
        <v>40</v>
      </c>
      <c r="F209" s="14" t="s">
        <v>173</v>
      </c>
      <c r="G209" s="16" t="n">
        <v>5.85</v>
      </c>
      <c r="H209" s="14"/>
      <c r="I209" s="14" t="s">
        <v>174</v>
      </c>
      <c r="J209" s="14"/>
      <c r="K209" s="17" t="s">
        <v>14</v>
      </c>
    </row>
    <row r="210" s="2" customFormat="true" ht="13.8" hidden="false" customHeight="false" outlineLevel="0" collapsed="false">
      <c r="A210" s="8" t="s">
        <v>84</v>
      </c>
      <c r="B210" s="9" t="s">
        <v>84</v>
      </c>
      <c r="C210" s="9" t="n">
        <v>34.5</v>
      </c>
      <c r="D210" s="9" t="n">
        <v>13.8</v>
      </c>
      <c r="E210" s="9" t="n">
        <v>5</v>
      </c>
      <c r="F210" s="9" t="s">
        <v>84</v>
      </c>
      <c r="G210" s="9"/>
      <c r="H210" s="9" t="n">
        <v>5.83</v>
      </c>
      <c r="I210" s="9" t="s">
        <v>85</v>
      </c>
      <c r="J210" s="9" t="n">
        <f aca="false">SUM(E210:E211)+H210</f>
        <v>12.83</v>
      </c>
      <c r="K210" s="10" t="s">
        <v>14</v>
      </c>
    </row>
    <row r="211" s="2" customFormat="true" ht="13.8" hidden="false" customHeight="false" outlineLevel="0" collapsed="false">
      <c r="A211" s="8"/>
      <c r="B211" s="14" t="s">
        <v>84</v>
      </c>
      <c r="C211" s="14" t="n">
        <v>34.5</v>
      </c>
      <c r="D211" s="14" t="n">
        <v>13.8</v>
      </c>
      <c r="E211" s="14" t="n">
        <v>2</v>
      </c>
      <c r="F211" s="14" t="s">
        <v>84</v>
      </c>
      <c r="G211" s="16" t="n">
        <v>5.83</v>
      </c>
      <c r="H211" s="14"/>
      <c r="I211" s="14" t="s">
        <v>85</v>
      </c>
      <c r="J211" s="14"/>
      <c r="K211" s="17" t="s">
        <v>14</v>
      </c>
      <c r="L211" s="2" t="s">
        <v>175</v>
      </c>
    </row>
    <row r="212" s="2" customFormat="true" ht="13.8" hidden="false" customHeight="false" outlineLevel="0" collapsed="false">
      <c r="A212" s="8" t="s">
        <v>72</v>
      </c>
      <c r="B212" s="9" t="s">
        <v>72</v>
      </c>
      <c r="C212" s="9" t="n">
        <v>34.5</v>
      </c>
      <c r="D212" s="9" t="n">
        <v>13.2</v>
      </c>
      <c r="E212" s="9" t="n">
        <v>10</v>
      </c>
      <c r="F212" s="9" t="s">
        <v>72</v>
      </c>
      <c r="G212" s="9"/>
      <c r="H212" s="9" t="n">
        <v>5.72</v>
      </c>
      <c r="I212" s="9" t="s">
        <v>176</v>
      </c>
      <c r="J212" s="9" t="n">
        <f aca="false">SUM(E212:E213)+H212</f>
        <v>20.72</v>
      </c>
      <c r="K212" s="10" t="s">
        <v>14</v>
      </c>
    </row>
    <row r="213" s="2" customFormat="true" ht="13.8" hidden="false" customHeight="false" outlineLevel="0" collapsed="false">
      <c r="A213" s="8"/>
      <c r="B213" s="14" t="s">
        <v>72</v>
      </c>
      <c r="C213" s="14" t="n">
        <v>34.5</v>
      </c>
      <c r="D213" s="14" t="n">
        <v>13.2</v>
      </c>
      <c r="E213" s="14" t="n">
        <v>5</v>
      </c>
      <c r="F213" s="14" t="s">
        <v>72</v>
      </c>
      <c r="G213" s="16" t="n">
        <v>5.72</v>
      </c>
      <c r="H213" s="14"/>
      <c r="I213" s="14" t="s">
        <v>176</v>
      </c>
      <c r="J213" s="14"/>
      <c r="K213" s="17" t="s">
        <v>14</v>
      </c>
      <c r="L213" s="2" t="s">
        <v>177</v>
      </c>
    </row>
    <row r="214" s="2" customFormat="true" ht="13.8" hidden="false" customHeight="false" outlineLevel="0" collapsed="false">
      <c r="A214" s="8" t="s">
        <v>149</v>
      </c>
      <c r="B214" s="9" t="s">
        <v>149</v>
      </c>
      <c r="C214" s="9" t="n">
        <v>34.5</v>
      </c>
      <c r="D214" s="9" t="n">
        <v>11.4</v>
      </c>
      <c r="E214" s="9" t="n">
        <v>2.5</v>
      </c>
      <c r="F214" s="9" t="s">
        <v>149</v>
      </c>
      <c r="G214" s="9"/>
      <c r="H214" s="9" t="n">
        <v>5.28</v>
      </c>
      <c r="I214" s="9" t="s">
        <v>150</v>
      </c>
      <c r="J214" s="9" t="n">
        <f aca="false">SUM(E214:E215)+H214</f>
        <v>12.78</v>
      </c>
      <c r="K214" s="10" t="s">
        <v>14</v>
      </c>
    </row>
    <row r="215" s="2" customFormat="true" ht="13.8" hidden="false" customHeight="false" outlineLevel="0" collapsed="false">
      <c r="A215" s="8"/>
      <c r="B215" s="14" t="s">
        <v>149</v>
      </c>
      <c r="C215" s="14" t="n">
        <v>34.5</v>
      </c>
      <c r="D215" s="14" t="n">
        <v>11.4</v>
      </c>
      <c r="E215" s="14" t="n">
        <v>5</v>
      </c>
      <c r="F215" s="14" t="s">
        <v>149</v>
      </c>
      <c r="G215" s="16" t="n">
        <v>5.28</v>
      </c>
      <c r="H215" s="14"/>
      <c r="I215" s="14" t="s">
        <v>150</v>
      </c>
      <c r="J215" s="14"/>
      <c r="K215" s="17" t="s">
        <v>14</v>
      </c>
      <c r="L215" s="2" t="s">
        <v>178</v>
      </c>
    </row>
    <row r="216" s="2" customFormat="true" ht="13.8" hidden="false" customHeight="false" outlineLevel="0" collapsed="false">
      <c r="A216" s="8" t="s">
        <v>133</v>
      </c>
      <c r="B216" s="26" t="s">
        <v>133</v>
      </c>
      <c r="C216" s="26" t="n">
        <v>34.5</v>
      </c>
      <c r="D216" s="26" t="n">
        <v>13.8</v>
      </c>
      <c r="E216" s="26" t="n">
        <v>2.5</v>
      </c>
      <c r="F216" s="26" t="s">
        <v>133</v>
      </c>
      <c r="G216" s="27" t="n">
        <v>5.08</v>
      </c>
      <c r="H216" s="26" t="n">
        <v>5.08</v>
      </c>
      <c r="I216" s="26" t="s">
        <v>179</v>
      </c>
      <c r="J216" s="26" t="n">
        <f aca="false">+E216+H216</f>
        <v>7.58</v>
      </c>
      <c r="K216" s="28" t="s">
        <v>14</v>
      </c>
      <c r="L216" s="2" t="s">
        <v>180</v>
      </c>
    </row>
    <row r="217" s="2" customFormat="true" ht="13.8" hidden="false" customHeight="false" outlineLevel="0" collapsed="false">
      <c r="A217" s="8" t="s">
        <v>74</v>
      </c>
      <c r="B217" s="9" t="s">
        <v>74</v>
      </c>
      <c r="C217" s="9" t="n">
        <v>34.5</v>
      </c>
      <c r="D217" s="9" t="n">
        <v>13.8</v>
      </c>
      <c r="E217" s="9" t="n">
        <v>5</v>
      </c>
      <c r="F217" s="9" t="s">
        <v>74</v>
      </c>
      <c r="G217" s="9"/>
      <c r="H217" s="9" t="n">
        <v>5.03</v>
      </c>
      <c r="I217" s="9" t="s">
        <v>71</v>
      </c>
      <c r="J217" s="9" t="n">
        <f aca="false">SUM(E217:E218)+H217</f>
        <v>15.03</v>
      </c>
      <c r="K217" s="10" t="s">
        <v>14</v>
      </c>
    </row>
    <row r="218" s="2" customFormat="true" ht="13.8" hidden="false" customHeight="false" outlineLevel="0" collapsed="false">
      <c r="A218" s="8"/>
      <c r="B218" s="14" t="s">
        <v>74</v>
      </c>
      <c r="C218" s="14" t="n">
        <v>34.5</v>
      </c>
      <c r="D218" s="14" t="n">
        <v>13.8</v>
      </c>
      <c r="E218" s="14" t="n">
        <v>5</v>
      </c>
      <c r="F218" s="14" t="s">
        <v>74</v>
      </c>
      <c r="G218" s="16" t="n">
        <v>5.03</v>
      </c>
      <c r="H218" s="14"/>
      <c r="I218" s="14" t="s">
        <v>71</v>
      </c>
      <c r="J218" s="14"/>
      <c r="K218" s="17" t="s">
        <v>14</v>
      </c>
      <c r="L218" s="7" t="s">
        <v>177</v>
      </c>
    </row>
    <row r="219" s="2" customFormat="true" ht="13.8" hidden="false" customHeight="false" outlineLevel="0" collapsed="false">
      <c r="A219" s="8" t="s">
        <v>66</v>
      </c>
      <c r="B219" s="9" t="s">
        <v>66</v>
      </c>
      <c r="C219" s="9" t="n">
        <v>34.5</v>
      </c>
      <c r="D219" s="9" t="n">
        <v>11.4</v>
      </c>
      <c r="E219" s="9" t="n">
        <v>5</v>
      </c>
      <c r="F219" s="9" t="s">
        <v>66</v>
      </c>
      <c r="G219" s="9"/>
      <c r="H219" s="9" t="n">
        <v>4.27</v>
      </c>
      <c r="I219" s="9" t="s">
        <v>65</v>
      </c>
      <c r="J219" s="9" t="n">
        <f aca="false">SUM(E219:E220)+H219</f>
        <v>14.27</v>
      </c>
      <c r="K219" s="10" t="s">
        <v>14</v>
      </c>
    </row>
    <row r="220" s="2" customFormat="true" ht="13.8" hidden="false" customHeight="false" outlineLevel="0" collapsed="false">
      <c r="A220" s="8"/>
      <c r="B220" s="14" t="s">
        <v>66</v>
      </c>
      <c r="C220" s="14" t="n">
        <v>34.5</v>
      </c>
      <c r="D220" s="14" t="n">
        <v>13.2</v>
      </c>
      <c r="E220" s="14" t="n">
        <v>5</v>
      </c>
      <c r="F220" s="14" t="s">
        <v>66</v>
      </c>
      <c r="G220" s="16" t="n">
        <v>4.27</v>
      </c>
      <c r="H220" s="14"/>
      <c r="I220" s="14" t="s">
        <v>65</v>
      </c>
      <c r="J220" s="14"/>
      <c r="K220" s="17" t="s">
        <v>14</v>
      </c>
      <c r="L220" s="2" t="s">
        <v>181</v>
      </c>
    </row>
    <row r="221" s="2" customFormat="true" ht="13.8" hidden="false" customHeight="false" outlineLevel="0" collapsed="false">
      <c r="A221" s="8" t="s">
        <v>111</v>
      </c>
      <c r="B221" s="9" t="s">
        <v>111</v>
      </c>
      <c r="C221" s="9" t="n">
        <v>34.5</v>
      </c>
      <c r="D221" s="9" t="n">
        <v>13.2</v>
      </c>
      <c r="E221" s="9" t="n">
        <v>5</v>
      </c>
      <c r="F221" s="9" t="s">
        <v>111</v>
      </c>
      <c r="G221" s="9"/>
      <c r="H221" s="9" t="n">
        <v>4.27</v>
      </c>
      <c r="I221" s="9" t="s">
        <v>182</v>
      </c>
      <c r="J221" s="9" t="n">
        <f aca="false">SUM(E221:E223)+H221</f>
        <v>21.77</v>
      </c>
      <c r="K221" s="10" t="s">
        <v>14</v>
      </c>
    </row>
    <row r="222" customFormat="false" ht="13.8" hidden="false" customHeight="false" outlineLevel="0" collapsed="false">
      <c r="A222" s="8"/>
      <c r="B222" s="1" t="s">
        <v>111</v>
      </c>
      <c r="C222" s="11" t="n">
        <v>34.5</v>
      </c>
      <c r="D222" s="11" t="n">
        <v>13.2</v>
      </c>
      <c r="E222" s="1" t="n">
        <v>7.5</v>
      </c>
      <c r="F222" s="11" t="s">
        <v>111</v>
      </c>
      <c r="I222" s="1" t="s">
        <v>182</v>
      </c>
      <c r="K222" s="12" t="s">
        <v>14</v>
      </c>
      <c r="XFD222" s="2"/>
    </row>
    <row r="223" s="2" customFormat="true" ht="13.8" hidden="false" customHeight="false" outlineLevel="0" collapsed="false">
      <c r="A223" s="8"/>
      <c r="B223" s="14" t="s">
        <v>111</v>
      </c>
      <c r="C223" s="14" t="n">
        <v>34.5</v>
      </c>
      <c r="D223" s="14" t="n">
        <v>11.4</v>
      </c>
      <c r="E223" s="14" t="n">
        <v>5</v>
      </c>
      <c r="F223" s="14" t="s">
        <v>111</v>
      </c>
      <c r="G223" s="16" t="n">
        <v>4.27</v>
      </c>
      <c r="H223" s="14"/>
      <c r="I223" s="14" t="s">
        <v>182</v>
      </c>
      <c r="J223" s="14"/>
      <c r="K223" s="17" t="s">
        <v>14</v>
      </c>
      <c r="L223" s="2" t="s">
        <v>166</v>
      </c>
    </row>
    <row r="224" s="2" customFormat="true" ht="13.8" hidden="false" customHeight="false" outlineLevel="0" collapsed="false">
      <c r="A224" s="8" t="s">
        <v>75</v>
      </c>
      <c r="B224" s="26" t="s">
        <v>75</v>
      </c>
      <c r="C224" s="26" t="n">
        <v>34.5</v>
      </c>
      <c r="D224" s="26" t="n">
        <v>13.8</v>
      </c>
      <c r="E224" s="26" t="n">
        <v>5</v>
      </c>
      <c r="F224" s="26" t="s">
        <v>75</v>
      </c>
      <c r="G224" s="27" t="n">
        <v>4.18</v>
      </c>
      <c r="H224" s="26" t="n">
        <v>4.18</v>
      </c>
      <c r="I224" s="26" t="s">
        <v>183</v>
      </c>
      <c r="J224" s="26" t="n">
        <f aca="false">+E224+H224</f>
        <v>9.18</v>
      </c>
      <c r="K224" s="28" t="s">
        <v>14</v>
      </c>
      <c r="L224" s="7" t="s">
        <v>177</v>
      </c>
    </row>
    <row r="225" s="2" customFormat="true" ht="13.8" hidden="false" customHeight="false" outlineLevel="0" collapsed="false">
      <c r="A225" s="8" t="s">
        <v>184</v>
      </c>
      <c r="B225" s="9" t="s">
        <v>184</v>
      </c>
      <c r="C225" s="9" t="n">
        <v>230</v>
      </c>
      <c r="D225" s="9" t="n">
        <v>34.5</v>
      </c>
      <c r="E225" s="9" t="n">
        <v>40</v>
      </c>
      <c r="F225" s="9" t="s">
        <v>184</v>
      </c>
      <c r="G225" s="9"/>
      <c r="H225" s="9" t="n">
        <v>4.13</v>
      </c>
      <c r="I225" s="9" t="s">
        <v>13</v>
      </c>
      <c r="J225" s="9" t="n">
        <f aca="false">SUM(E225:E226)+H225</f>
        <v>64.13</v>
      </c>
      <c r="K225" s="10" t="s">
        <v>14</v>
      </c>
    </row>
    <row r="226" s="2" customFormat="true" ht="13.8" hidden="false" customHeight="false" outlineLevel="0" collapsed="false">
      <c r="A226" s="8"/>
      <c r="B226" s="14" t="s">
        <v>184</v>
      </c>
      <c r="C226" s="14" t="n">
        <v>115</v>
      </c>
      <c r="D226" s="14" t="n">
        <v>34.5</v>
      </c>
      <c r="E226" s="14" t="n">
        <v>20</v>
      </c>
      <c r="F226" s="14" t="s">
        <v>184</v>
      </c>
      <c r="G226" s="16" t="n">
        <v>4.13</v>
      </c>
      <c r="H226" s="14"/>
      <c r="I226" s="14" t="s">
        <v>13</v>
      </c>
      <c r="J226" s="14"/>
      <c r="K226" s="17" t="s">
        <v>14</v>
      </c>
    </row>
    <row r="227" s="2" customFormat="true" ht="13.8" hidden="false" customHeight="false" outlineLevel="0" collapsed="false">
      <c r="A227" s="8" t="s">
        <v>55</v>
      </c>
      <c r="B227" s="9" t="s">
        <v>55</v>
      </c>
      <c r="C227" s="9" t="n">
        <v>34.5</v>
      </c>
      <c r="D227" s="9" t="n">
        <v>13.2</v>
      </c>
      <c r="E227" s="9" t="n">
        <v>3</v>
      </c>
      <c r="F227" s="9" t="s">
        <v>55</v>
      </c>
      <c r="G227" s="9"/>
      <c r="H227" s="9" t="n">
        <v>4.07</v>
      </c>
      <c r="I227" s="9" t="s">
        <v>185</v>
      </c>
      <c r="J227" s="9" t="n">
        <f aca="false">SUM(E227:E228)+H227</f>
        <v>10.82</v>
      </c>
      <c r="K227" s="10" t="s">
        <v>14</v>
      </c>
    </row>
    <row r="228" s="2" customFormat="true" ht="13.8" hidden="false" customHeight="false" outlineLevel="0" collapsed="false">
      <c r="A228" s="8"/>
      <c r="B228" s="14" t="s">
        <v>55</v>
      </c>
      <c r="C228" s="14" t="n">
        <v>34.5</v>
      </c>
      <c r="D228" s="14" t="n">
        <v>13.2</v>
      </c>
      <c r="E228" s="14" t="n">
        <v>3.75</v>
      </c>
      <c r="F228" s="14" t="s">
        <v>55</v>
      </c>
      <c r="G228" s="16" t="n">
        <v>4.07</v>
      </c>
      <c r="H228" s="14"/>
      <c r="I228" s="14" t="s">
        <v>185</v>
      </c>
      <c r="J228" s="14"/>
      <c r="K228" s="17" t="s">
        <v>14</v>
      </c>
      <c r="L228" s="7" t="s">
        <v>155</v>
      </c>
    </row>
    <row r="229" s="2" customFormat="true" ht="13.8" hidden="false" customHeight="false" outlineLevel="0" collapsed="false">
      <c r="A229" s="8" t="s">
        <v>128</v>
      </c>
      <c r="B229" s="9" t="s">
        <v>128</v>
      </c>
      <c r="C229" s="9" t="n">
        <v>34.5</v>
      </c>
      <c r="D229" s="9" t="n">
        <v>11.4</v>
      </c>
      <c r="E229" s="9" t="n">
        <v>10</v>
      </c>
      <c r="F229" s="9" t="s">
        <v>128</v>
      </c>
      <c r="G229" s="9"/>
      <c r="H229" s="9" t="n">
        <v>4.06</v>
      </c>
      <c r="I229" s="9" t="s">
        <v>120</v>
      </c>
      <c r="J229" s="9" t="n">
        <f aca="false">SUM(E229:E230)+H229</f>
        <v>24.06</v>
      </c>
      <c r="K229" s="10" t="s">
        <v>14</v>
      </c>
    </row>
    <row r="230" s="2" customFormat="true" ht="13.8" hidden="false" customHeight="false" outlineLevel="0" collapsed="false">
      <c r="A230" s="8"/>
      <c r="B230" s="14" t="s">
        <v>128</v>
      </c>
      <c r="C230" s="14" t="n">
        <v>34.5</v>
      </c>
      <c r="D230" s="14" t="n">
        <v>13.2</v>
      </c>
      <c r="E230" s="14" t="n">
        <v>10</v>
      </c>
      <c r="F230" s="14" t="s">
        <v>128</v>
      </c>
      <c r="G230" s="16" t="n">
        <v>4.06</v>
      </c>
      <c r="H230" s="14"/>
      <c r="I230" s="14" t="s">
        <v>120</v>
      </c>
      <c r="J230" s="14"/>
      <c r="K230" s="17" t="s">
        <v>14</v>
      </c>
      <c r="L230" s="7" t="s">
        <v>162</v>
      </c>
    </row>
    <row r="231" s="2" customFormat="true" ht="13.8" hidden="false" customHeight="false" outlineLevel="0" collapsed="false">
      <c r="A231" s="8" t="s">
        <v>70</v>
      </c>
      <c r="B231" s="26" t="s">
        <v>70</v>
      </c>
      <c r="C231" s="26" t="n">
        <v>34.5</v>
      </c>
      <c r="D231" s="26" t="n">
        <v>11.4</v>
      </c>
      <c r="E231" s="26" t="n">
        <v>5</v>
      </c>
      <c r="F231" s="26" t="s">
        <v>70</v>
      </c>
      <c r="G231" s="27" t="n">
        <v>4.02</v>
      </c>
      <c r="H231" s="26" t="n">
        <v>4.02</v>
      </c>
      <c r="I231" s="26" t="s">
        <v>186</v>
      </c>
      <c r="J231" s="26" t="n">
        <f aca="false">+E231+H231</f>
        <v>9.02</v>
      </c>
      <c r="K231" s="28" t="s">
        <v>14</v>
      </c>
      <c r="L231" s="7" t="s">
        <v>177</v>
      </c>
    </row>
    <row r="232" s="2" customFormat="true" ht="13.8" hidden="false" customHeight="false" outlineLevel="0" collapsed="false">
      <c r="A232" s="8" t="s">
        <v>151</v>
      </c>
      <c r="B232" s="9" t="s">
        <v>151</v>
      </c>
      <c r="C232" s="9" t="n">
        <v>34.5</v>
      </c>
      <c r="D232" s="9" t="n">
        <v>11.4</v>
      </c>
      <c r="E232" s="9" t="n">
        <v>5</v>
      </c>
      <c r="F232" s="9" t="s">
        <v>151</v>
      </c>
      <c r="G232" s="9"/>
      <c r="H232" s="9" t="n">
        <v>3.93</v>
      </c>
      <c r="I232" s="9" t="s">
        <v>159</v>
      </c>
      <c r="J232" s="9" t="n">
        <f aca="false">SUM(E232:E234)+H232</f>
        <v>13.93</v>
      </c>
      <c r="K232" s="10" t="s">
        <v>14</v>
      </c>
    </row>
    <row r="233" customFormat="false" ht="13.8" hidden="false" customHeight="false" outlineLevel="0" collapsed="false">
      <c r="A233" s="8"/>
      <c r="B233" s="1" t="s">
        <v>151</v>
      </c>
      <c r="C233" s="1" t="n">
        <v>34.5</v>
      </c>
      <c r="D233" s="1" t="n">
        <v>11.4</v>
      </c>
      <c r="E233" s="1" t="n">
        <v>2.5</v>
      </c>
      <c r="F233" s="11" t="s">
        <v>151</v>
      </c>
      <c r="I233" s="1" t="s">
        <v>159</v>
      </c>
      <c r="K233" s="12" t="s">
        <v>14</v>
      </c>
      <c r="XFD233" s="2"/>
    </row>
    <row r="234" s="2" customFormat="true" ht="13.8" hidden="false" customHeight="false" outlineLevel="0" collapsed="false">
      <c r="A234" s="8"/>
      <c r="B234" s="14" t="s">
        <v>151</v>
      </c>
      <c r="C234" s="14" t="n">
        <v>34.5</v>
      </c>
      <c r="D234" s="14" t="n">
        <v>11.4</v>
      </c>
      <c r="E234" s="14" t="n">
        <v>2.5</v>
      </c>
      <c r="F234" s="14" t="s">
        <v>151</v>
      </c>
      <c r="G234" s="16" t="n">
        <v>3.93</v>
      </c>
      <c r="H234" s="14"/>
      <c r="I234" s="14" t="s">
        <v>159</v>
      </c>
      <c r="J234" s="14"/>
      <c r="K234" s="17" t="s">
        <v>14</v>
      </c>
      <c r="L234" s="2" t="s">
        <v>178</v>
      </c>
    </row>
    <row r="235" s="2" customFormat="true" ht="13.8" hidden="false" customHeight="false" outlineLevel="0" collapsed="false">
      <c r="A235" s="8" t="s">
        <v>187</v>
      </c>
      <c r="B235" s="26" t="s">
        <v>187</v>
      </c>
      <c r="C235" s="26" t="n">
        <v>34.5</v>
      </c>
      <c r="D235" s="26" t="n">
        <v>11.4</v>
      </c>
      <c r="E235" s="26" t="n">
        <v>5</v>
      </c>
      <c r="F235" s="26" t="s">
        <v>187</v>
      </c>
      <c r="G235" s="27" t="n">
        <v>3.86</v>
      </c>
      <c r="H235" s="26" t="n">
        <v>3.86</v>
      </c>
      <c r="I235" s="26" t="s">
        <v>188</v>
      </c>
      <c r="J235" s="26" t="n">
        <f aca="false">+E235+H235</f>
        <v>8.86</v>
      </c>
      <c r="K235" s="28" t="s">
        <v>14</v>
      </c>
      <c r="L235" s="2" t="s">
        <v>189</v>
      </c>
    </row>
    <row r="236" s="2" customFormat="true" ht="13.8" hidden="false" customHeight="false" outlineLevel="0" collapsed="false">
      <c r="A236" s="8" t="s">
        <v>127</v>
      </c>
      <c r="B236" s="26" t="s">
        <v>127</v>
      </c>
      <c r="C236" s="26" t="n">
        <v>34.5</v>
      </c>
      <c r="D236" s="26" t="n">
        <v>13.8</v>
      </c>
      <c r="E236" s="26" t="n">
        <v>10</v>
      </c>
      <c r="F236" s="29" t="s">
        <v>162</v>
      </c>
      <c r="G236" s="27" t="n">
        <v>3.75</v>
      </c>
      <c r="H236" s="26" t="n">
        <v>3.75</v>
      </c>
      <c r="I236" s="26" t="s">
        <v>120</v>
      </c>
      <c r="J236" s="26" t="n">
        <f aca="false">+E236+H236</f>
        <v>13.75</v>
      </c>
      <c r="K236" s="28" t="s">
        <v>14</v>
      </c>
      <c r="L236" s="7" t="s">
        <v>162</v>
      </c>
    </row>
    <row r="237" s="2" customFormat="true" ht="13.8" hidden="false" customHeight="false" outlineLevel="0" collapsed="false">
      <c r="A237" s="8" t="s">
        <v>137</v>
      </c>
      <c r="B237" s="26" t="s">
        <v>137</v>
      </c>
      <c r="C237" s="26" t="n">
        <v>34.5</v>
      </c>
      <c r="D237" s="26" t="n">
        <v>13.8</v>
      </c>
      <c r="E237" s="26" t="n">
        <v>2.5</v>
      </c>
      <c r="F237" s="29" t="s">
        <v>180</v>
      </c>
      <c r="G237" s="30" t="n">
        <v>3.59</v>
      </c>
      <c r="H237" s="26" t="n">
        <v>3.59</v>
      </c>
      <c r="I237" s="26" t="s">
        <v>132</v>
      </c>
      <c r="J237" s="26" t="n">
        <f aca="false">+E237+H237</f>
        <v>6.09</v>
      </c>
      <c r="K237" s="28" t="s">
        <v>14</v>
      </c>
      <c r="L237" s="7" t="s">
        <v>180</v>
      </c>
    </row>
    <row r="238" s="2" customFormat="true" ht="13.8" hidden="false" customHeight="false" outlineLevel="0" collapsed="false">
      <c r="A238" s="8" t="s">
        <v>108</v>
      </c>
      <c r="B238" s="9" t="s">
        <v>108</v>
      </c>
      <c r="C238" s="9" t="n">
        <v>34.5</v>
      </c>
      <c r="D238" s="9" t="n">
        <v>13.8</v>
      </c>
      <c r="E238" s="9" t="n">
        <v>5</v>
      </c>
      <c r="F238" s="9" t="s">
        <v>108</v>
      </c>
      <c r="G238" s="9"/>
      <c r="H238" s="9" t="n">
        <v>3.53</v>
      </c>
      <c r="I238" s="9" t="s">
        <v>190</v>
      </c>
      <c r="J238" s="9" t="n">
        <f aca="false">SUM(E238:E239)+H238</f>
        <v>13.53</v>
      </c>
      <c r="K238" s="10" t="s">
        <v>14</v>
      </c>
    </row>
    <row r="239" s="2" customFormat="true" ht="13.8" hidden="false" customHeight="false" outlineLevel="0" collapsed="false">
      <c r="A239" s="8"/>
      <c r="B239" s="14" t="s">
        <v>108</v>
      </c>
      <c r="C239" s="14" t="n">
        <v>34.5</v>
      </c>
      <c r="D239" s="14" t="n">
        <v>13.8</v>
      </c>
      <c r="E239" s="14" t="n">
        <v>5</v>
      </c>
      <c r="F239" s="14" t="s">
        <v>108</v>
      </c>
      <c r="G239" s="16" t="n">
        <v>3.53</v>
      </c>
      <c r="H239" s="14"/>
      <c r="I239" s="14" t="s">
        <v>190</v>
      </c>
      <c r="J239" s="14"/>
      <c r="K239" s="17" t="s">
        <v>14</v>
      </c>
      <c r="L239" s="7" t="s">
        <v>166</v>
      </c>
    </row>
    <row r="240" s="2" customFormat="true" ht="13.8" hidden="false" customHeight="false" outlineLevel="0" collapsed="false">
      <c r="A240" s="8" t="s">
        <v>73</v>
      </c>
      <c r="B240" s="26" t="s">
        <v>73</v>
      </c>
      <c r="C240" s="26" t="n">
        <v>34.5</v>
      </c>
      <c r="D240" s="26" t="n">
        <v>11.4</v>
      </c>
      <c r="E240" s="26" t="n">
        <v>5</v>
      </c>
      <c r="F240" s="26" t="s">
        <v>73</v>
      </c>
      <c r="G240" s="27" t="n">
        <v>3.41</v>
      </c>
      <c r="H240" s="26" t="n">
        <v>3.41</v>
      </c>
      <c r="I240" s="26" t="s">
        <v>191</v>
      </c>
      <c r="J240" s="26" t="n">
        <f aca="false">+E240+H240</f>
        <v>8.41</v>
      </c>
      <c r="K240" s="28" t="s">
        <v>14</v>
      </c>
      <c r="L240" s="7" t="s">
        <v>177</v>
      </c>
    </row>
    <row r="241" s="2" customFormat="true" ht="13.8" hidden="false" customHeight="false" outlineLevel="0" collapsed="false">
      <c r="A241" s="8" t="s">
        <v>192</v>
      </c>
      <c r="B241" s="26" t="s">
        <v>192</v>
      </c>
      <c r="C241" s="26" t="n">
        <v>34.5</v>
      </c>
      <c r="D241" s="26" t="n">
        <v>13.8</v>
      </c>
      <c r="E241" s="26" t="n">
        <v>5</v>
      </c>
      <c r="F241" s="26" t="s">
        <v>192</v>
      </c>
      <c r="G241" s="27" t="n">
        <v>3.25</v>
      </c>
      <c r="H241" s="26" t="n">
        <v>3.25</v>
      </c>
      <c r="I241" s="26" t="s">
        <v>193</v>
      </c>
      <c r="J241" s="26" t="n">
        <f aca="false">+E241+H241</f>
        <v>8.25</v>
      </c>
      <c r="K241" s="28" t="s">
        <v>14</v>
      </c>
      <c r="L241" s="7" t="s">
        <v>189</v>
      </c>
    </row>
    <row r="242" s="2" customFormat="true" ht="13.8" hidden="false" customHeight="false" outlineLevel="0" collapsed="false">
      <c r="A242" s="19" t="s">
        <v>194</v>
      </c>
      <c r="B242" s="9" t="s">
        <v>194</v>
      </c>
      <c r="C242" s="18"/>
      <c r="D242" s="18"/>
      <c r="E242" s="18"/>
      <c r="F242" s="21" t="s">
        <v>195</v>
      </c>
      <c r="G242" s="18" t="n">
        <v>2.06</v>
      </c>
      <c r="H242" s="9" t="n">
        <v>3.2</v>
      </c>
      <c r="I242" s="9" t="s">
        <v>168</v>
      </c>
      <c r="J242" s="9" t="n">
        <f aca="false">SUM(E248:E249)+H242</f>
        <v>30.2</v>
      </c>
      <c r="K242" s="10" t="s">
        <v>14</v>
      </c>
    </row>
    <row r="243" customFormat="false" ht="13.8" hidden="false" customHeight="false" outlineLevel="0" collapsed="false">
      <c r="A243" s="19"/>
      <c r="B243" s="1" t="s">
        <v>194</v>
      </c>
      <c r="F243" s="7" t="s">
        <v>167</v>
      </c>
      <c r="G243" s="2" t="n">
        <v>6.01</v>
      </c>
      <c r="I243" s="1" t="s">
        <v>168</v>
      </c>
      <c r="K243" s="12" t="s">
        <v>14</v>
      </c>
      <c r="XFD243" s="2"/>
    </row>
    <row r="244" customFormat="false" ht="13.8" hidden="false" customHeight="false" outlineLevel="0" collapsed="false">
      <c r="A244" s="19"/>
      <c r="B244" s="1" t="s">
        <v>194</v>
      </c>
      <c r="F244" s="7" t="s">
        <v>196</v>
      </c>
      <c r="G244" s="2" t="n">
        <v>1.34</v>
      </c>
      <c r="I244" s="1" t="s">
        <v>168</v>
      </c>
      <c r="K244" s="12" t="s">
        <v>14</v>
      </c>
      <c r="XFD244" s="2"/>
    </row>
    <row r="245" customFormat="false" ht="13.8" hidden="false" customHeight="false" outlineLevel="0" collapsed="false">
      <c r="A245" s="19"/>
      <c r="B245" s="1" t="s">
        <v>194</v>
      </c>
      <c r="F245" s="7" t="s">
        <v>197</v>
      </c>
      <c r="G245" s="2" t="n">
        <v>0.38</v>
      </c>
      <c r="I245" s="1" t="s">
        <v>168</v>
      </c>
      <c r="K245" s="12" t="s">
        <v>14</v>
      </c>
      <c r="XFD245" s="2"/>
    </row>
    <row r="246" customFormat="false" ht="13.8" hidden="false" customHeight="false" outlineLevel="0" collapsed="false">
      <c r="A246" s="19"/>
      <c r="B246" s="1" t="s">
        <v>194</v>
      </c>
      <c r="F246" s="7" t="s">
        <v>198</v>
      </c>
      <c r="G246" s="2" t="n">
        <v>0.58</v>
      </c>
      <c r="I246" s="1" t="s">
        <v>168</v>
      </c>
      <c r="K246" s="12" t="s">
        <v>14</v>
      </c>
      <c r="XFD246" s="2"/>
    </row>
    <row r="247" customFormat="false" ht="13.8" hidden="false" customHeight="false" outlineLevel="0" collapsed="false">
      <c r="A247" s="19"/>
      <c r="B247" s="1" t="s">
        <v>194</v>
      </c>
      <c r="F247" s="7" t="s">
        <v>199</v>
      </c>
      <c r="G247" s="2" t="n">
        <v>2.24</v>
      </c>
      <c r="I247" s="1" t="s">
        <v>168</v>
      </c>
      <c r="K247" s="12" t="s">
        <v>14</v>
      </c>
      <c r="XFD247" s="2"/>
    </row>
    <row r="248" customFormat="false" ht="13.8" hidden="false" customHeight="false" outlineLevel="0" collapsed="false">
      <c r="A248" s="19"/>
      <c r="B248" s="1" t="s">
        <v>194</v>
      </c>
      <c r="C248" s="11" t="n">
        <v>115</v>
      </c>
      <c r="D248" s="11" t="n">
        <v>34.5</v>
      </c>
      <c r="E248" s="11" t="n">
        <v>25</v>
      </c>
      <c r="F248" s="11" t="s">
        <v>194</v>
      </c>
      <c r="I248" s="1" t="s">
        <v>168</v>
      </c>
      <c r="K248" s="12" t="s">
        <v>14</v>
      </c>
      <c r="XFD248" s="2"/>
    </row>
    <row r="249" s="2" customFormat="true" ht="13.8" hidden="false" customHeight="false" outlineLevel="0" collapsed="false">
      <c r="A249" s="19"/>
      <c r="B249" s="14" t="s">
        <v>194</v>
      </c>
      <c r="C249" s="14" t="n">
        <v>34.5</v>
      </c>
      <c r="D249" s="14" t="n">
        <v>11.4</v>
      </c>
      <c r="E249" s="14" t="n">
        <v>2</v>
      </c>
      <c r="F249" s="14" t="s">
        <v>194</v>
      </c>
      <c r="G249" s="16" t="n">
        <f aca="false">H242-SUM(G242:G247)</f>
        <v>-9.41</v>
      </c>
      <c r="H249" s="14"/>
      <c r="I249" s="14" t="s">
        <v>168</v>
      </c>
      <c r="J249" s="14"/>
      <c r="K249" s="17" t="s">
        <v>14</v>
      </c>
      <c r="L249" s="7" t="s">
        <v>200</v>
      </c>
    </row>
    <row r="250" s="2" customFormat="true" ht="13.8" hidden="false" customHeight="false" outlineLevel="0" collapsed="false">
      <c r="A250" s="8" t="s">
        <v>201</v>
      </c>
      <c r="B250" s="26" t="s">
        <v>201</v>
      </c>
      <c r="C250" s="26" t="n">
        <v>115</v>
      </c>
      <c r="D250" s="26" t="n">
        <v>13.8</v>
      </c>
      <c r="E250" s="26" t="n">
        <v>12</v>
      </c>
      <c r="F250" s="26" t="s">
        <v>201</v>
      </c>
      <c r="G250" s="27" t="n">
        <v>3.2</v>
      </c>
      <c r="H250" s="26" t="n">
        <v>3.2</v>
      </c>
      <c r="I250" s="26" t="s">
        <v>202</v>
      </c>
      <c r="J250" s="26" t="n">
        <f aca="false">+E250+H250</f>
        <v>15.2</v>
      </c>
      <c r="K250" s="28" t="s">
        <v>14</v>
      </c>
    </row>
    <row r="251" s="2" customFormat="true" ht="13.8" hidden="false" customHeight="false" outlineLevel="0" collapsed="false">
      <c r="A251" s="8" t="s">
        <v>96</v>
      </c>
      <c r="B251" s="9" t="s">
        <v>96</v>
      </c>
      <c r="C251" s="9" t="n">
        <v>34.5</v>
      </c>
      <c r="D251" s="9" t="n">
        <v>13.2</v>
      </c>
      <c r="E251" s="18" t="n">
        <v>5</v>
      </c>
      <c r="F251" s="9" t="s">
        <v>96</v>
      </c>
      <c r="G251" s="9"/>
      <c r="H251" s="9" t="n">
        <v>3.09</v>
      </c>
      <c r="I251" s="9" t="s">
        <v>116</v>
      </c>
      <c r="J251" s="9" t="n">
        <f aca="false">SUM(E251:E252)+H251</f>
        <v>11.84</v>
      </c>
      <c r="K251" s="10" t="s">
        <v>14</v>
      </c>
      <c r="L251" s="7"/>
    </row>
    <row r="252" s="2" customFormat="true" ht="13.8" hidden="false" customHeight="false" outlineLevel="0" collapsed="false">
      <c r="A252" s="8"/>
      <c r="B252" s="14" t="s">
        <v>96</v>
      </c>
      <c r="C252" s="14" t="n">
        <v>34.5</v>
      </c>
      <c r="D252" s="14" t="n">
        <v>13.2</v>
      </c>
      <c r="E252" s="14" t="n">
        <v>3.75</v>
      </c>
      <c r="F252" s="14" t="s">
        <v>96</v>
      </c>
      <c r="G252" s="16" t="n">
        <v>3.09</v>
      </c>
      <c r="H252" s="14"/>
      <c r="I252" s="14" t="s">
        <v>116</v>
      </c>
      <c r="J252" s="14"/>
      <c r="K252" s="17" t="s">
        <v>14</v>
      </c>
      <c r="L252" s="7" t="s">
        <v>157</v>
      </c>
    </row>
    <row r="253" s="2" customFormat="true" ht="13.8" hidden="false" customHeight="false" outlineLevel="0" collapsed="false">
      <c r="A253" s="8" t="s">
        <v>203</v>
      </c>
      <c r="B253" s="9" t="s">
        <v>203</v>
      </c>
      <c r="C253" s="9" t="n">
        <v>34.5</v>
      </c>
      <c r="D253" s="9" t="n">
        <v>13.8</v>
      </c>
      <c r="E253" s="9" t="n">
        <v>3.75</v>
      </c>
      <c r="F253" s="9" t="s">
        <v>203</v>
      </c>
      <c r="G253" s="9"/>
      <c r="H253" s="9" t="n">
        <v>2.69</v>
      </c>
      <c r="I253" s="9" t="s">
        <v>204</v>
      </c>
      <c r="J253" s="9" t="n">
        <f aca="false">SUM(E253:E254)+H253</f>
        <v>9.44</v>
      </c>
      <c r="K253" s="10" t="s">
        <v>14</v>
      </c>
    </row>
    <row r="254" s="2" customFormat="true" ht="13.8" hidden="false" customHeight="false" outlineLevel="0" collapsed="false">
      <c r="A254" s="8"/>
      <c r="B254" s="14" t="s">
        <v>203</v>
      </c>
      <c r="C254" s="14" t="n">
        <v>34.5</v>
      </c>
      <c r="D254" s="14" t="n">
        <v>13.8</v>
      </c>
      <c r="E254" s="14" t="n">
        <v>3</v>
      </c>
      <c r="F254" s="14" t="s">
        <v>203</v>
      </c>
      <c r="G254" s="16" t="n">
        <v>2.69</v>
      </c>
      <c r="H254" s="14"/>
      <c r="I254" s="14"/>
      <c r="J254" s="14"/>
      <c r="K254" s="17" t="s">
        <v>14</v>
      </c>
      <c r="L254" s="7" t="s">
        <v>172</v>
      </c>
    </row>
    <row r="255" s="2" customFormat="true" ht="13.8" hidden="false" customHeight="false" outlineLevel="0" collapsed="false">
      <c r="A255" s="8" t="s">
        <v>88</v>
      </c>
      <c r="B255" s="26" t="s">
        <v>88</v>
      </c>
      <c r="C255" s="26" t="n">
        <v>34.5</v>
      </c>
      <c r="D255" s="26" t="n">
        <v>11.4</v>
      </c>
      <c r="E255" s="26" t="n">
        <v>2.5</v>
      </c>
      <c r="F255" s="26" t="s">
        <v>88</v>
      </c>
      <c r="G255" s="27" t="n">
        <v>2.54</v>
      </c>
      <c r="H255" s="26" t="n">
        <v>2.54</v>
      </c>
      <c r="I255" s="26" t="s">
        <v>85</v>
      </c>
      <c r="J255" s="26" t="n">
        <f aca="false">+E255+H255</f>
        <v>5.04</v>
      </c>
      <c r="K255" s="28" t="s">
        <v>14</v>
      </c>
      <c r="L255" s="7" t="s">
        <v>175</v>
      </c>
    </row>
    <row r="256" s="2" customFormat="true" ht="13.8" hidden="false" customHeight="false" outlineLevel="0" collapsed="false">
      <c r="A256" s="8" t="s">
        <v>205</v>
      </c>
      <c r="B256" s="26" t="s">
        <v>205</v>
      </c>
      <c r="C256" s="26" t="n">
        <v>34.5</v>
      </c>
      <c r="D256" s="26" t="n">
        <v>11.4</v>
      </c>
      <c r="E256" s="26" t="n">
        <v>5</v>
      </c>
      <c r="F256" s="26" t="s">
        <v>205</v>
      </c>
      <c r="G256" s="27" t="n">
        <v>2.49</v>
      </c>
      <c r="H256" s="26" t="n">
        <v>2.49</v>
      </c>
      <c r="I256" s="26" t="s">
        <v>206</v>
      </c>
      <c r="J256" s="26" t="n">
        <f aca="false">+E256+H256</f>
        <v>7.49</v>
      </c>
      <c r="K256" s="28" t="s">
        <v>14</v>
      </c>
      <c r="L256" s="7" t="s">
        <v>207</v>
      </c>
    </row>
    <row r="257" s="2" customFormat="true" ht="13.8" hidden="false" customHeight="false" outlineLevel="0" collapsed="false">
      <c r="A257" s="8" t="s">
        <v>95</v>
      </c>
      <c r="B257" s="9" t="s">
        <v>95</v>
      </c>
      <c r="C257" s="9" t="n">
        <v>34.5</v>
      </c>
      <c r="D257" s="9" t="n">
        <v>13.2</v>
      </c>
      <c r="E257" s="9" t="n">
        <v>3.75</v>
      </c>
      <c r="F257" s="9" t="s">
        <v>95</v>
      </c>
      <c r="G257" s="9"/>
      <c r="H257" s="9" t="n">
        <v>2.38</v>
      </c>
      <c r="I257" s="9" t="s">
        <v>208</v>
      </c>
      <c r="J257" s="9" t="n">
        <f aca="false">SUM(E257:E258)+H257</f>
        <v>9.88</v>
      </c>
      <c r="K257" s="10" t="s">
        <v>14</v>
      </c>
    </row>
    <row r="258" s="2" customFormat="true" ht="13.8" hidden="false" customHeight="false" outlineLevel="0" collapsed="false">
      <c r="A258" s="8"/>
      <c r="B258" s="14" t="s">
        <v>95</v>
      </c>
      <c r="C258" s="14" t="n">
        <v>34.5</v>
      </c>
      <c r="D258" s="14" t="n">
        <v>13.2</v>
      </c>
      <c r="E258" s="14" t="n">
        <v>3.75</v>
      </c>
      <c r="F258" s="14" t="s">
        <v>95</v>
      </c>
      <c r="G258" s="16" t="n">
        <v>2.38</v>
      </c>
      <c r="H258" s="14"/>
      <c r="I258" s="14" t="s">
        <v>208</v>
      </c>
      <c r="J258" s="14"/>
      <c r="K258" s="17" t="s">
        <v>14</v>
      </c>
      <c r="L258" s="7" t="s">
        <v>157</v>
      </c>
    </row>
    <row r="259" s="2" customFormat="true" ht="13.8" hidden="false" customHeight="false" outlineLevel="0" collapsed="false">
      <c r="A259" s="8" t="s">
        <v>199</v>
      </c>
      <c r="B259" s="26" t="s">
        <v>199</v>
      </c>
      <c r="C259" s="26" t="n">
        <v>34.5</v>
      </c>
      <c r="D259" s="26" t="n">
        <v>13.2</v>
      </c>
      <c r="E259" s="26" t="n">
        <v>5</v>
      </c>
      <c r="F259" s="26" t="s">
        <v>199</v>
      </c>
      <c r="G259" s="27" t="n">
        <v>2.24</v>
      </c>
      <c r="H259" s="26" t="n">
        <v>2.24</v>
      </c>
      <c r="I259" s="26" t="s">
        <v>171</v>
      </c>
      <c r="J259" s="26" t="n">
        <f aca="false">+E259+H259</f>
        <v>7.24</v>
      </c>
      <c r="K259" s="28" t="s">
        <v>14</v>
      </c>
      <c r="L259" s="7" t="s">
        <v>169</v>
      </c>
    </row>
    <row r="260" s="2" customFormat="true" ht="13.8" hidden="false" customHeight="false" outlineLevel="0" collapsed="false">
      <c r="A260" s="8" t="s">
        <v>195</v>
      </c>
      <c r="B260" s="9" t="s">
        <v>195</v>
      </c>
      <c r="C260" s="9" t="n">
        <v>34.5</v>
      </c>
      <c r="D260" s="9" t="n">
        <v>13.2</v>
      </c>
      <c r="E260" s="9" t="n">
        <v>2.5</v>
      </c>
      <c r="F260" s="9" t="s">
        <v>195</v>
      </c>
      <c r="G260" s="9"/>
      <c r="H260" s="9" t="n">
        <v>2.06</v>
      </c>
      <c r="I260" s="9" t="s">
        <v>171</v>
      </c>
      <c r="J260" s="9" t="n">
        <f aca="false">SUM(E260:E261)+H260</f>
        <v>8.31</v>
      </c>
      <c r="K260" s="10" t="s">
        <v>14</v>
      </c>
    </row>
    <row r="261" s="2" customFormat="true" ht="13.8" hidden="false" customHeight="false" outlineLevel="0" collapsed="false">
      <c r="A261" s="8"/>
      <c r="B261" s="14" t="s">
        <v>195</v>
      </c>
      <c r="C261" s="14" t="n">
        <v>34.5</v>
      </c>
      <c r="D261" s="14" t="n">
        <v>13.2</v>
      </c>
      <c r="E261" s="14" t="n">
        <v>3.75</v>
      </c>
      <c r="F261" s="14" t="s">
        <v>195</v>
      </c>
      <c r="G261" s="16" t="n">
        <v>2.06</v>
      </c>
      <c r="H261" s="14"/>
      <c r="I261" s="14" t="s">
        <v>171</v>
      </c>
      <c r="J261" s="14"/>
      <c r="K261" s="17" t="s">
        <v>14</v>
      </c>
      <c r="L261" s="7" t="s">
        <v>169</v>
      </c>
    </row>
    <row r="262" s="2" customFormat="true" ht="13.8" hidden="false" customHeight="false" outlineLevel="0" collapsed="false">
      <c r="A262" s="8" t="s">
        <v>209</v>
      </c>
      <c r="B262" s="26" t="s">
        <v>209</v>
      </c>
      <c r="C262" s="26" t="n">
        <v>34.5</v>
      </c>
      <c r="D262" s="26" t="n">
        <v>13.2</v>
      </c>
      <c r="E262" s="26" t="n">
        <v>3.75</v>
      </c>
      <c r="F262" s="26" t="s">
        <v>209</v>
      </c>
      <c r="G262" s="27" t="n">
        <v>1.79</v>
      </c>
      <c r="H262" s="26" t="n">
        <v>1.79</v>
      </c>
      <c r="I262" s="26" t="s">
        <v>210</v>
      </c>
      <c r="J262" s="26" t="n">
        <f aca="false">+E262+H262</f>
        <v>5.54</v>
      </c>
      <c r="K262" s="28" t="s">
        <v>14</v>
      </c>
      <c r="L262" s="2" t="s">
        <v>211</v>
      </c>
    </row>
    <row r="263" s="2" customFormat="true" ht="13.8" hidden="false" customHeight="false" outlineLevel="0" collapsed="false">
      <c r="A263" s="8" t="s">
        <v>110</v>
      </c>
      <c r="B263" s="9" t="s">
        <v>110</v>
      </c>
      <c r="C263" s="9" t="n">
        <v>34.5</v>
      </c>
      <c r="D263" s="9" t="n">
        <v>13.2</v>
      </c>
      <c r="E263" s="9" t="n">
        <v>5</v>
      </c>
      <c r="F263" s="9" t="s">
        <v>110</v>
      </c>
      <c r="G263" s="9"/>
      <c r="H263" s="9" t="n">
        <v>1.79</v>
      </c>
      <c r="I263" s="9" t="s">
        <v>182</v>
      </c>
      <c r="J263" s="9" t="n">
        <f aca="false">SUM(E263:E264)+H263</f>
        <v>12.79</v>
      </c>
      <c r="K263" s="10" t="s">
        <v>14</v>
      </c>
    </row>
    <row r="264" s="2" customFormat="true" ht="13.8" hidden="false" customHeight="false" outlineLevel="0" collapsed="false">
      <c r="A264" s="8"/>
      <c r="B264" s="14" t="s">
        <v>110</v>
      </c>
      <c r="C264" s="14" t="n">
        <v>34.5</v>
      </c>
      <c r="D264" s="14" t="n">
        <v>13.2</v>
      </c>
      <c r="E264" s="14" t="n">
        <v>6</v>
      </c>
      <c r="F264" s="14" t="s">
        <v>110</v>
      </c>
      <c r="G264" s="16" t="n">
        <v>1.79</v>
      </c>
      <c r="H264" s="14"/>
      <c r="I264" s="14" t="s">
        <v>182</v>
      </c>
      <c r="J264" s="14"/>
      <c r="K264" s="17" t="s">
        <v>14</v>
      </c>
      <c r="L264" s="7" t="s">
        <v>166</v>
      </c>
    </row>
    <row r="265" s="2" customFormat="true" ht="13.8" hidden="false" customHeight="false" outlineLevel="0" collapsed="false">
      <c r="A265" s="8" t="s">
        <v>212</v>
      </c>
      <c r="B265" s="26" t="s">
        <v>212</v>
      </c>
      <c r="C265" s="26" t="n">
        <v>115</v>
      </c>
      <c r="D265" s="26" t="n">
        <v>13.8</v>
      </c>
      <c r="E265" s="26" t="n">
        <v>8</v>
      </c>
      <c r="F265" s="26" t="s">
        <v>212</v>
      </c>
      <c r="G265" s="27" t="n">
        <v>1.55</v>
      </c>
      <c r="H265" s="26" t="n">
        <v>1.55</v>
      </c>
      <c r="I265" s="26" t="s">
        <v>213</v>
      </c>
      <c r="J265" s="26" t="n">
        <f aca="false">+E265+H265</f>
        <v>9.55</v>
      </c>
      <c r="K265" s="28" t="s">
        <v>14</v>
      </c>
      <c r="L265" s="7" t="s">
        <v>211</v>
      </c>
    </row>
    <row r="266" s="2" customFormat="true" ht="13.8" hidden="false" customHeight="false" outlineLevel="0" collapsed="false">
      <c r="A266" s="8" t="s">
        <v>214</v>
      </c>
      <c r="B266" s="26" t="s">
        <v>214</v>
      </c>
      <c r="C266" s="26" t="n">
        <v>34.5</v>
      </c>
      <c r="D266" s="26" t="n">
        <v>13.2</v>
      </c>
      <c r="E266" s="26" t="n">
        <v>7.5</v>
      </c>
      <c r="F266" s="26" t="s">
        <v>214</v>
      </c>
      <c r="G266" s="27" t="n">
        <v>1.49</v>
      </c>
      <c r="H266" s="26" t="n">
        <v>1.49</v>
      </c>
      <c r="I266" s="26" t="s">
        <v>215</v>
      </c>
      <c r="J266" s="26" t="n">
        <f aca="false">+E266+H266</f>
        <v>8.99</v>
      </c>
      <c r="K266" s="28" t="s">
        <v>14</v>
      </c>
    </row>
    <row r="267" s="2" customFormat="true" ht="13.8" hidden="false" customHeight="false" outlineLevel="0" collapsed="false">
      <c r="A267" s="8" t="s">
        <v>216</v>
      </c>
      <c r="B267" s="9" t="s">
        <v>216</v>
      </c>
      <c r="C267" s="9" t="n">
        <v>34.5</v>
      </c>
      <c r="D267" s="9" t="n">
        <v>13.2</v>
      </c>
      <c r="E267" s="18" t="n">
        <v>3</v>
      </c>
      <c r="F267" s="9" t="s">
        <v>216</v>
      </c>
      <c r="G267" s="9"/>
      <c r="H267" s="9" t="n">
        <v>1.35</v>
      </c>
      <c r="I267" s="9" t="s">
        <v>217</v>
      </c>
      <c r="J267" s="9" t="n">
        <f aca="false">SUM(E267:E268)+H267</f>
        <v>8.1</v>
      </c>
      <c r="K267" s="10" t="s">
        <v>14</v>
      </c>
      <c r="L267" s="7"/>
    </row>
    <row r="268" s="2" customFormat="true" ht="13.8" hidden="false" customHeight="false" outlineLevel="0" collapsed="false">
      <c r="A268" s="8"/>
      <c r="B268" s="14" t="s">
        <v>216</v>
      </c>
      <c r="C268" s="14" t="n">
        <v>34.5</v>
      </c>
      <c r="D268" s="14" t="n">
        <v>13.2</v>
      </c>
      <c r="E268" s="14" t="n">
        <v>3.75</v>
      </c>
      <c r="F268" s="14" t="s">
        <v>216</v>
      </c>
      <c r="G268" s="16" t="n">
        <v>1.35</v>
      </c>
      <c r="H268" s="14"/>
      <c r="I268" s="14" t="s">
        <v>217</v>
      </c>
      <c r="J268" s="14"/>
      <c r="K268" s="17" t="s">
        <v>14</v>
      </c>
      <c r="L268" s="7" t="s">
        <v>172</v>
      </c>
    </row>
    <row r="269" s="2" customFormat="true" ht="13.8" hidden="false" customHeight="false" outlineLevel="0" collapsed="false">
      <c r="A269" s="8" t="s">
        <v>196</v>
      </c>
      <c r="B269" s="26" t="s">
        <v>196</v>
      </c>
      <c r="C269" s="26" t="n">
        <v>34.5</v>
      </c>
      <c r="D269" s="26" t="n">
        <v>13.2</v>
      </c>
      <c r="E269" s="26" t="n">
        <v>3.75</v>
      </c>
      <c r="F269" s="26" t="s">
        <v>196</v>
      </c>
      <c r="G269" s="27" t="n">
        <v>1.34</v>
      </c>
      <c r="H269" s="26" t="n">
        <v>1.34</v>
      </c>
      <c r="I269" s="26" t="s">
        <v>218</v>
      </c>
      <c r="J269" s="26" t="n">
        <f aca="false">+E269+H269</f>
        <v>5.09</v>
      </c>
      <c r="K269" s="28" t="s">
        <v>14</v>
      </c>
      <c r="L269" s="7" t="s">
        <v>169</v>
      </c>
    </row>
    <row r="270" s="2" customFormat="true" ht="13.8" hidden="false" customHeight="false" outlineLevel="0" collapsed="false">
      <c r="A270" s="8" t="s">
        <v>93</v>
      </c>
      <c r="B270" s="31" t="s">
        <v>93</v>
      </c>
      <c r="C270" s="26" t="n">
        <v>34.5</v>
      </c>
      <c r="D270" s="26" t="n">
        <v>13.2</v>
      </c>
      <c r="E270" s="26" t="n">
        <v>3.75</v>
      </c>
      <c r="F270" s="26" t="s">
        <v>93</v>
      </c>
      <c r="G270" s="27" t="n">
        <v>1.32</v>
      </c>
      <c r="H270" s="26" t="n">
        <v>1.32</v>
      </c>
      <c r="I270" s="26" t="s">
        <v>219</v>
      </c>
      <c r="J270" s="26" t="n">
        <f aca="false">+E270+H270</f>
        <v>5.07</v>
      </c>
      <c r="K270" s="28" t="s">
        <v>14</v>
      </c>
      <c r="L270" s="7" t="s">
        <v>157</v>
      </c>
    </row>
    <row r="271" s="2" customFormat="true" ht="13.8" hidden="false" customHeight="false" outlineLevel="0" collapsed="false">
      <c r="A271" s="8" t="s">
        <v>220</v>
      </c>
      <c r="B271" s="26" t="s">
        <v>220</v>
      </c>
      <c r="C271" s="26" t="n">
        <v>34.5</v>
      </c>
      <c r="D271" s="26" t="n">
        <v>13.2</v>
      </c>
      <c r="E271" s="26" t="n">
        <v>3.75</v>
      </c>
      <c r="F271" s="26" t="s">
        <v>220</v>
      </c>
      <c r="G271" s="27" t="n">
        <v>1.26</v>
      </c>
      <c r="H271" s="26" t="n">
        <v>1.26</v>
      </c>
      <c r="I271" s="26" t="s">
        <v>221</v>
      </c>
      <c r="J271" s="26" t="n">
        <f aca="false">+E271+H271</f>
        <v>5.01</v>
      </c>
      <c r="K271" s="28" t="s">
        <v>14</v>
      </c>
      <c r="L271" s="2" t="s">
        <v>207</v>
      </c>
    </row>
    <row r="272" s="2" customFormat="true" ht="13.8" hidden="false" customHeight="false" outlineLevel="0" collapsed="false">
      <c r="A272" s="8" t="s">
        <v>135</v>
      </c>
      <c r="B272" s="9" t="s">
        <v>135</v>
      </c>
      <c r="C272" s="9" t="n">
        <v>34.5</v>
      </c>
      <c r="D272" s="9" t="n">
        <v>13.2</v>
      </c>
      <c r="E272" s="9" t="n">
        <v>5</v>
      </c>
      <c r="F272" s="9" t="s">
        <v>135</v>
      </c>
      <c r="G272" s="9"/>
      <c r="H272" s="9" t="n">
        <v>1.14</v>
      </c>
      <c r="I272" s="9" t="s">
        <v>222</v>
      </c>
      <c r="J272" s="9" t="n">
        <f aca="false">SUM(E272:E273)+H272</f>
        <v>11.14</v>
      </c>
      <c r="K272" s="10" t="s">
        <v>14</v>
      </c>
    </row>
    <row r="273" s="2" customFormat="true" ht="13.8" hidden="false" customHeight="false" outlineLevel="0" collapsed="false">
      <c r="A273" s="8"/>
      <c r="B273" s="14" t="s">
        <v>135</v>
      </c>
      <c r="C273" s="14" t="n">
        <v>35.5</v>
      </c>
      <c r="D273" s="14" t="n">
        <v>14.2</v>
      </c>
      <c r="E273" s="14" t="n">
        <v>5</v>
      </c>
      <c r="F273" s="14" t="s">
        <v>135</v>
      </c>
      <c r="G273" s="16" t="n">
        <v>1.14</v>
      </c>
      <c r="H273" s="14"/>
      <c r="I273" s="14" t="s">
        <v>222</v>
      </c>
      <c r="J273" s="14"/>
      <c r="K273" s="17" t="s">
        <v>14</v>
      </c>
      <c r="L273" s="7" t="s">
        <v>180</v>
      </c>
    </row>
    <row r="274" s="2" customFormat="true" ht="13.8" hidden="false" customHeight="false" outlineLevel="0" collapsed="false">
      <c r="A274" s="8" t="s">
        <v>119</v>
      </c>
      <c r="B274" s="9" t="s">
        <v>119</v>
      </c>
      <c r="C274" s="9" t="n">
        <v>34.5</v>
      </c>
      <c r="D274" s="9" t="n">
        <v>13.8</v>
      </c>
      <c r="E274" s="9" t="n">
        <v>2.5</v>
      </c>
      <c r="F274" s="9" t="s">
        <v>119</v>
      </c>
      <c r="G274" s="9"/>
      <c r="H274" s="9" t="n">
        <v>1.14</v>
      </c>
      <c r="I274" s="9" t="s">
        <v>223</v>
      </c>
      <c r="J274" s="9" t="n">
        <f aca="false">SUM(E274:E275)+H274</f>
        <v>6.14</v>
      </c>
      <c r="K274" s="10" t="s">
        <v>14</v>
      </c>
    </row>
    <row r="275" s="2" customFormat="true" ht="13.8" hidden="false" customHeight="false" outlineLevel="0" collapsed="false">
      <c r="A275" s="8"/>
      <c r="B275" s="14" t="s">
        <v>119</v>
      </c>
      <c r="C275" s="14" t="n">
        <v>34.5</v>
      </c>
      <c r="D275" s="14" t="n">
        <v>13.8</v>
      </c>
      <c r="E275" s="14" t="n">
        <v>2.5</v>
      </c>
      <c r="F275" s="14" t="s">
        <v>119</v>
      </c>
      <c r="G275" s="16" t="n">
        <v>1.14</v>
      </c>
      <c r="H275" s="14"/>
      <c r="I275" s="14" t="s">
        <v>223</v>
      </c>
      <c r="J275" s="14"/>
      <c r="K275" s="17" t="s">
        <v>14</v>
      </c>
      <c r="L275" s="2" t="s">
        <v>162</v>
      </c>
    </row>
    <row r="276" s="2" customFormat="true" ht="13.8" hidden="false" customHeight="false" outlineLevel="0" collapsed="false">
      <c r="A276" s="8" t="s">
        <v>138</v>
      </c>
      <c r="B276" s="26" t="s">
        <v>138</v>
      </c>
      <c r="C276" s="26" t="n">
        <v>34.5</v>
      </c>
      <c r="D276" s="26" t="n">
        <v>13.8</v>
      </c>
      <c r="E276" s="26" t="n">
        <v>3</v>
      </c>
      <c r="F276" s="26" t="s">
        <v>138</v>
      </c>
      <c r="G276" s="27" t="n">
        <v>1.1</v>
      </c>
      <c r="H276" s="26" t="n">
        <v>1.1</v>
      </c>
      <c r="I276" s="26" t="s">
        <v>224</v>
      </c>
      <c r="J276" s="26" t="n">
        <f aca="false">+E276+H276</f>
        <v>4.1</v>
      </c>
      <c r="K276" s="28" t="s">
        <v>14</v>
      </c>
      <c r="L276" s="7" t="s">
        <v>180</v>
      </c>
    </row>
    <row r="277" s="2" customFormat="true" ht="13.8" hidden="false" customHeight="false" outlineLevel="0" collapsed="false">
      <c r="A277" s="8" t="s">
        <v>97</v>
      </c>
      <c r="B277" s="26" t="s">
        <v>97</v>
      </c>
      <c r="C277" s="26" t="n">
        <v>34.5</v>
      </c>
      <c r="D277" s="26" t="n">
        <v>13.2</v>
      </c>
      <c r="E277" s="26" t="n">
        <v>5</v>
      </c>
      <c r="F277" s="26" t="s">
        <v>97</v>
      </c>
      <c r="G277" s="27" t="n">
        <v>1.09</v>
      </c>
      <c r="H277" s="26" t="n">
        <v>1.09</v>
      </c>
      <c r="I277" s="26" t="s">
        <v>94</v>
      </c>
      <c r="J277" s="26" t="n">
        <f aca="false">+E277+H277</f>
        <v>6.09</v>
      </c>
      <c r="K277" s="28" t="s">
        <v>14</v>
      </c>
      <c r="L277" s="7" t="s">
        <v>157</v>
      </c>
    </row>
    <row r="278" s="2" customFormat="true" ht="13.8" hidden="false" customHeight="false" outlineLevel="0" collapsed="false">
      <c r="A278" s="8" t="s">
        <v>56</v>
      </c>
      <c r="B278" s="9" t="s">
        <v>56</v>
      </c>
      <c r="C278" s="9" t="n">
        <v>34.5</v>
      </c>
      <c r="D278" s="9" t="n">
        <v>11.4</v>
      </c>
      <c r="E278" s="9" t="n">
        <v>5</v>
      </c>
      <c r="F278" s="9" t="s">
        <v>56</v>
      </c>
      <c r="G278" s="9"/>
      <c r="H278" s="9" t="n">
        <v>1.07</v>
      </c>
      <c r="I278" s="9" t="s">
        <v>65</v>
      </c>
      <c r="J278" s="9" t="n">
        <f aca="false">SUM(E278:E280)+H278</f>
        <v>18.57</v>
      </c>
      <c r="K278" s="10" t="s">
        <v>14</v>
      </c>
    </row>
    <row r="279" customFormat="false" ht="13.8" hidden="false" customHeight="false" outlineLevel="0" collapsed="false">
      <c r="A279" s="8"/>
      <c r="B279" s="1" t="s">
        <v>56</v>
      </c>
      <c r="C279" s="1" t="n">
        <v>34.5</v>
      </c>
      <c r="D279" s="1" t="n">
        <v>13.8</v>
      </c>
      <c r="E279" s="1" t="n">
        <v>2.5</v>
      </c>
      <c r="F279" s="11" t="s">
        <v>56</v>
      </c>
      <c r="I279" s="1" t="s">
        <v>65</v>
      </c>
      <c r="K279" s="12" t="s">
        <v>14</v>
      </c>
      <c r="XFD279" s="2"/>
    </row>
    <row r="280" s="2" customFormat="true" ht="13.8" hidden="false" customHeight="false" outlineLevel="0" collapsed="false">
      <c r="A280" s="8"/>
      <c r="B280" s="14" t="s">
        <v>56</v>
      </c>
      <c r="C280" s="14" t="n">
        <v>34.5</v>
      </c>
      <c r="D280" s="14" t="n">
        <v>13.8</v>
      </c>
      <c r="E280" s="14" t="n">
        <v>10</v>
      </c>
      <c r="F280" s="14" t="s">
        <v>56</v>
      </c>
      <c r="G280" s="16" t="n">
        <v>1.07</v>
      </c>
      <c r="H280" s="14"/>
      <c r="I280" s="14" t="s">
        <v>65</v>
      </c>
      <c r="J280" s="14"/>
      <c r="K280" s="17" t="s">
        <v>14</v>
      </c>
      <c r="L280" s="7" t="s">
        <v>155</v>
      </c>
    </row>
    <row r="281" s="2" customFormat="true" ht="13.8" hidden="false" customHeight="false" outlineLevel="0" collapsed="false">
      <c r="A281" s="8" t="s">
        <v>123</v>
      </c>
      <c r="B281" s="9" t="s">
        <v>123</v>
      </c>
      <c r="C281" s="9" t="n">
        <v>34.5</v>
      </c>
      <c r="D281" s="9" t="n">
        <v>13.8</v>
      </c>
      <c r="E281" s="9" t="n">
        <v>5</v>
      </c>
      <c r="F281" s="9" t="s">
        <v>123</v>
      </c>
      <c r="G281" s="9"/>
      <c r="H281" s="9" t="n">
        <v>1.04</v>
      </c>
      <c r="I281" s="9" t="s">
        <v>225</v>
      </c>
      <c r="J281" s="9" t="n">
        <f aca="false">SUM(E281:E282)+H281</f>
        <v>11.04</v>
      </c>
      <c r="K281" s="10" t="s">
        <v>14</v>
      </c>
    </row>
    <row r="282" s="2" customFormat="true" ht="13.8" hidden="false" customHeight="false" outlineLevel="0" collapsed="false">
      <c r="A282" s="8"/>
      <c r="B282" s="14" t="s">
        <v>123</v>
      </c>
      <c r="C282" s="14" t="n">
        <v>34.5</v>
      </c>
      <c r="D282" s="14" t="n">
        <v>13.8</v>
      </c>
      <c r="E282" s="14" t="n">
        <v>5</v>
      </c>
      <c r="F282" s="14" t="s">
        <v>123</v>
      </c>
      <c r="G282" s="16" t="n">
        <v>1.04</v>
      </c>
      <c r="H282" s="14"/>
      <c r="I282" s="14" t="s">
        <v>225</v>
      </c>
      <c r="J282" s="14"/>
      <c r="K282" s="17" t="s">
        <v>14</v>
      </c>
      <c r="L282" s="7" t="s">
        <v>162</v>
      </c>
    </row>
    <row r="283" s="2" customFormat="true" ht="13.8" hidden="false" customHeight="false" outlineLevel="0" collapsed="false">
      <c r="A283" s="8" t="s">
        <v>153</v>
      </c>
      <c r="B283" s="9" t="s">
        <v>153</v>
      </c>
      <c r="C283" s="9" t="n">
        <v>34.5</v>
      </c>
      <c r="D283" s="9" t="n">
        <v>13.8</v>
      </c>
      <c r="E283" s="9" t="n">
        <v>3.75</v>
      </c>
      <c r="F283" s="9" t="s">
        <v>153</v>
      </c>
      <c r="G283" s="9"/>
      <c r="H283" s="9" t="n">
        <v>1.01</v>
      </c>
      <c r="I283" s="9" t="s">
        <v>226</v>
      </c>
      <c r="J283" s="9" t="n">
        <f aca="false">SUM(E283:E284)+H283</f>
        <v>7.76</v>
      </c>
      <c r="K283" s="10" t="s">
        <v>14</v>
      </c>
    </row>
    <row r="284" s="2" customFormat="true" ht="13.8" hidden="false" customHeight="false" outlineLevel="0" collapsed="false">
      <c r="A284" s="8"/>
      <c r="B284" s="14" t="s">
        <v>153</v>
      </c>
      <c r="C284" s="14" t="n">
        <v>34.5</v>
      </c>
      <c r="D284" s="14" t="n">
        <v>13.8</v>
      </c>
      <c r="E284" s="14" t="n">
        <v>3</v>
      </c>
      <c r="F284" s="14" t="s">
        <v>153</v>
      </c>
      <c r="G284" s="16" t="n">
        <v>1.01</v>
      </c>
      <c r="H284" s="14"/>
      <c r="I284" s="14" t="s">
        <v>226</v>
      </c>
      <c r="J284" s="14"/>
      <c r="K284" s="17" t="s">
        <v>14</v>
      </c>
      <c r="L284" s="7" t="s">
        <v>178</v>
      </c>
    </row>
    <row r="285" s="2" customFormat="true" ht="13.8" hidden="false" customHeight="false" outlineLevel="0" collapsed="false">
      <c r="A285" s="8" t="s">
        <v>227</v>
      </c>
      <c r="B285" s="26" t="s">
        <v>227</v>
      </c>
      <c r="C285" s="26" t="n">
        <v>34.5</v>
      </c>
      <c r="D285" s="26" t="n">
        <v>13.2</v>
      </c>
      <c r="E285" s="26" t="n">
        <v>3.75</v>
      </c>
      <c r="F285" s="26" t="s">
        <v>227</v>
      </c>
      <c r="G285" s="27" t="n">
        <v>0.95</v>
      </c>
      <c r="H285" s="26" t="n">
        <v>0.95</v>
      </c>
      <c r="I285" s="26" t="s">
        <v>228</v>
      </c>
      <c r="J285" s="26" t="n">
        <f aca="false">+E285+H285</f>
        <v>4.7</v>
      </c>
      <c r="K285" s="28" t="s">
        <v>14</v>
      </c>
      <c r="L285" s="7" t="s">
        <v>211</v>
      </c>
    </row>
    <row r="286" s="2" customFormat="true" ht="13.8" hidden="false" customHeight="false" outlineLevel="0" collapsed="false">
      <c r="A286" s="8" t="s">
        <v>134</v>
      </c>
      <c r="B286" s="9" t="s">
        <v>134</v>
      </c>
      <c r="C286" s="9" t="n">
        <v>34.5</v>
      </c>
      <c r="D286" s="9" t="n">
        <v>13.2</v>
      </c>
      <c r="E286" s="9" t="n">
        <v>7.5</v>
      </c>
      <c r="F286" s="9" t="s">
        <v>134</v>
      </c>
      <c r="G286" s="9"/>
      <c r="H286" s="9" t="n">
        <v>0.8</v>
      </c>
      <c r="I286" s="9" t="s">
        <v>132</v>
      </c>
      <c r="J286" s="9" t="n">
        <f aca="false">SUM(E286:E287)+H286</f>
        <v>15.8</v>
      </c>
      <c r="K286" s="10" t="s">
        <v>14</v>
      </c>
    </row>
    <row r="287" s="2" customFormat="true" ht="13.8" hidden="false" customHeight="false" outlineLevel="0" collapsed="false">
      <c r="A287" s="8"/>
      <c r="B287" s="14" t="s">
        <v>134</v>
      </c>
      <c r="C287" s="14" t="n">
        <v>34.5</v>
      </c>
      <c r="D287" s="14" t="n">
        <v>13.2</v>
      </c>
      <c r="E287" s="14" t="n">
        <v>7.5</v>
      </c>
      <c r="F287" s="14" t="s">
        <v>134</v>
      </c>
      <c r="G287" s="16" t="n">
        <v>0.8</v>
      </c>
      <c r="H287" s="14"/>
      <c r="I287" s="14" t="s">
        <v>132</v>
      </c>
      <c r="J287" s="14"/>
      <c r="K287" s="17" t="s">
        <v>14</v>
      </c>
      <c r="L287" s="7" t="s">
        <v>180</v>
      </c>
    </row>
    <row r="288" s="2" customFormat="true" ht="13.8" hidden="false" customHeight="false" outlineLevel="0" collapsed="false">
      <c r="A288" s="8" t="s">
        <v>229</v>
      </c>
      <c r="B288" s="9" t="s">
        <v>229</v>
      </c>
      <c r="C288" s="9" t="n">
        <v>34.5</v>
      </c>
      <c r="D288" s="9" t="n">
        <v>13.2</v>
      </c>
      <c r="E288" s="9" t="n">
        <v>10</v>
      </c>
      <c r="F288" s="9" t="s">
        <v>229</v>
      </c>
      <c r="G288" s="9"/>
      <c r="H288" s="9" t="n">
        <v>0.77</v>
      </c>
      <c r="I288" s="9" t="s">
        <v>230</v>
      </c>
      <c r="J288" s="9" t="n">
        <f aca="false">SUM(E288:E289)+H288</f>
        <v>16.77</v>
      </c>
      <c r="K288" s="10" t="s">
        <v>14</v>
      </c>
    </row>
    <row r="289" s="2" customFormat="true" ht="13.8" hidden="false" customHeight="false" outlineLevel="0" collapsed="false">
      <c r="A289" s="8"/>
      <c r="B289" s="14" t="s">
        <v>229</v>
      </c>
      <c r="C289" s="14" t="n">
        <v>34.5</v>
      </c>
      <c r="D289" s="14" t="n">
        <v>13.2</v>
      </c>
      <c r="E289" s="14" t="n">
        <v>6</v>
      </c>
      <c r="F289" s="14" t="s">
        <v>229</v>
      </c>
      <c r="G289" s="16" t="n">
        <v>0.77</v>
      </c>
      <c r="H289" s="14"/>
      <c r="I289" s="14" t="s">
        <v>230</v>
      </c>
      <c r="J289" s="14"/>
      <c r="K289" s="17" t="s">
        <v>14</v>
      </c>
      <c r="L289" s="7" t="s">
        <v>211</v>
      </c>
    </row>
    <row r="290" s="2" customFormat="true" ht="13.8" hidden="false" customHeight="false" outlineLevel="0" collapsed="false">
      <c r="A290" s="8" t="s">
        <v>124</v>
      </c>
      <c r="B290" s="26" t="s">
        <v>124</v>
      </c>
      <c r="C290" s="26" t="n">
        <v>34.5</v>
      </c>
      <c r="D290" s="26" t="n">
        <v>13.2</v>
      </c>
      <c r="E290" s="26" t="n">
        <v>5</v>
      </c>
      <c r="F290" s="26" t="s">
        <v>124</v>
      </c>
      <c r="G290" s="27" t="n">
        <v>0.58</v>
      </c>
      <c r="H290" s="26" t="n">
        <v>0.58</v>
      </c>
      <c r="I290" s="26" t="s">
        <v>231</v>
      </c>
      <c r="J290" s="26" t="n">
        <f aca="false">+E290+H290</f>
        <v>5.58</v>
      </c>
      <c r="K290" s="28" t="s">
        <v>14</v>
      </c>
      <c r="L290" s="7" t="s">
        <v>162</v>
      </c>
    </row>
    <row r="291" s="2" customFormat="true" ht="13.8" hidden="false" customHeight="false" outlineLevel="0" collapsed="false">
      <c r="A291" s="8" t="s">
        <v>198</v>
      </c>
      <c r="B291" s="26" t="s">
        <v>198</v>
      </c>
      <c r="C291" s="26" t="n">
        <v>34.5</v>
      </c>
      <c r="D291" s="26" t="n">
        <v>13.2</v>
      </c>
      <c r="E291" s="26" t="n">
        <v>5</v>
      </c>
      <c r="F291" s="26" t="s">
        <v>198</v>
      </c>
      <c r="G291" s="27" t="n">
        <v>0.58</v>
      </c>
      <c r="H291" s="26" t="n">
        <v>0.58</v>
      </c>
      <c r="I291" s="26" t="s">
        <v>171</v>
      </c>
      <c r="J291" s="26" t="n">
        <f aca="false">+E291+H291</f>
        <v>5.58</v>
      </c>
      <c r="K291" s="28" t="s">
        <v>14</v>
      </c>
      <c r="L291" s="7" t="s">
        <v>169</v>
      </c>
    </row>
    <row r="292" s="2" customFormat="true" ht="13.8" hidden="false" customHeight="false" outlineLevel="0" collapsed="false">
      <c r="A292" s="8" t="s">
        <v>136</v>
      </c>
      <c r="B292" s="26" t="s">
        <v>136</v>
      </c>
      <c r="C292" s="26" t="n">
        <v>34.5</v>
      </c>
      <c r="D292" s="26" t="n">
        <v>13.8</v>
      </c>
      <c r="E292" s="26" t="n">
        <v>5</v>
      </c>
      <c r="F292" s="26" t="s">
        <v>136</v>
      </c>
      <c r="G292" s="27" t="n">
        <v>0.57</v>
      </c>
      <c r="H292" s="26" t="n">
        <v>0.57</v>
      </c>
      <c r="I292" s="26" t="s">
        <v>232</v>
      </c>
      <c r="J292" s="26" t="n">
        <f aca="false">+E292+H292</f>
        <v>5.57</v>
      </c>
      <c r="K292" s="28" t="s">
        <v>14</v>
      </c>
      <c r="L292" s="7" t="s">
        <v>180</v>
      </c>
    </row>
    <row r="293" s="2" customFormat="true" ht="13.8" hidden="false" customHeight="false" outlineLevel="0" collapsed="false">
      <c r="A293" s="8" t="s">
        <v>139</v>
      </c>
      <c r="B293" s="26" t="s">
        <v>139</v>
      </c>
      <c r="C293" s="26" t="n">
        <v>34.5</v>
      </c>
      <c r="D293" s="26" t="n">
        <v>13.2</v>
      </c>
      <c r="E293" s="26" t="n">
        <v>2.5</v>
      </c>
      <c r="F293" s="26" t="s">
        <v>139</v>
      </c>
      <c r="G293" s="27" t="n">
        <v>0.52</v>
      </c>
      <c r="H293" s="26" t="n">
        <v>0.52</v>
      </c>
      <c r="I293" s="26" t="s">
        <v>233</v>
      </c>
      <c r="J293" s="26" t="n">
        <f aca="false">+E293+H293</f>
        <v>3.02</v>
      </c>
      <c r="K293" s="28" t="s">
        <v>14</v>
      </c>
      <c r="L293" s="7" t="s">
        <v>180</v>
      </c>
    </row>
    <row r="294" s="2" customFormat="true" ht="13.8" hidden="false" customHeight="false" outlineLevel="0" collapsed="false">
      <c r="A294" s="8" t="s">
        <v>86</v>
      </c>
      <c r="B294" s="26" t="s">
        <v>86</v>
      </c>
      <c r="C294" s="26" t="n">
        <v>34.5</v>
      </c>
      <c r="D294" s="26" t="n">
        <v>11.4</v>
      </c>
      <c r="E294" s="26" t="n">
        <v>5</v>
      </c>
      <c r="F294" s="26" t="s">
        <v>86</v>
      </c>
      <c r="G294" s="27" t="n">
        <v>0.5</v>
      </c>
      <c r="H294" s="26" t="n">
        <v>0.5</v>
      </c>
      <c r="I294" s="26" t="s">
        <v>85</v>
      </c>
      <c r="J294" s="26" t="n">
        <f aca="false">+E294+H294</f>
        <v>5.5</v>
      </c>
      <c r="K294" s="28" t="s">
        <v>14</v>
      </c>
      <c r="L294" s="7" t="s">
        <v>175</v>
      </c>
    </row>
    <row r="295" s="2" customFormat="true" ht="13.8" hidden="false" customHeight="false" outlineLevel="0" collapsed="false">
      <c r="A295" s="8" t="s">
        <v>87</v>
      </c>
      <c r="B295" s="9" t="s">
        <v>87</v>
      </c>
      <c r="C295" s="9" t="n">
        <v>34.5</v>
      </c>
      <c r="D295" s="9" t="n">
        <v>11.4</v>
      </c>
      <c r="E295" s="9" t="n">
        <v>5</v>
      </c>
      <c r="F295" s="9" t="s">
        <v>87</v>
      </c>
      <c r="G295" s="9"/>
      <c r="H295" s="9" t="n">
        <v>0.47</v>
      </c>
      <c r="I295" s="9" t="s">
        <v>35</v>
      </c>
      <c r="J295" s="9" t="n">
        <f aca="false">SUM(E295:E298)+H295</f>
        <v>30.47</v>
      </c>
      <c r="K295" s="10" t="s">
        <v>14</v>
      </c>
      <c r="L295" s="7" t="s">
        <v>175</v>
      </c>
    </row>
    <row r="296" customFormat="false" ht="13.8" hidden="false" customHeight="false" outlineLevel="0" collapsed="false">
      <c r="A296" s="8"/>
      <c r="B296" s="1" t="s">
        <v>87</v>
      </c>
      <c r="C296" s="11" t="n">
        <v>34.5</v>
      </c>
      <c r="D296" s="11" t="n">
        <v>11.4</v>
      </c>
      <c r="E296" s="1" t="n">
        <v>5</v>
      </c>
      <c r="F296" s="11" t="s">
        <v>87</v>
      </c>
      <c r="I296" s="1" t="s">
        <v>35</v>
      </c>
      <c r="K296" s="12" t="s">
        <v>14</v>
      </c>
      <c r="XFD296" s="2"/>
    </row>
    <row r="297" customFormat="false" ht="13.8" hidden="false" customHeight="false" outlineLevel="0" collapsed="false">
      <c r="A297" s="8"/>
      <c r="B297" s="1" t="s">
        <v>87</v>
      </c>
      <c r="C297" s="1" t="n">
        <v>34.5</v>
      </c>
      <c r="D297" s="1" t="n">
        <v>11.4</v>
      </c>
      <c r="E297" s="1" t="n">
        <v>10</v>
      </c>
      <c r="F297" s="11" t="s">
        <v>87</v>
      </c>
      <c r="I297" s="1" t="s">
        <v>35</v>
      </c>
      <c r="K297" s="12" t="s">
        <v>14</v>
      </c>
      <c r="L297" s="7" t="s">
        <v>33</v>
      </c>
      <c r="XFD297" s="2"/>
    </row>
    <row r="298" s="2" customFormat="true" ht="13.8" hidden="false" customHeight="false" outlineLevel="0" collapsed="false">
      <c r="A298" s="8"/>
      <c r="B298" s="14" t="s">
        <v>87</v>
      </c>
      <c r="C298" s="14" t="n">
        <v>34.5</v>
      </c>
      <c r="D298" s="14" t="n">
        <v>11.4</v>
      </c>
      <c r="E298" s="14" t="n">
        <v>10</v>
      </c>
      <c r="F298" s="14" t="s">
        <v>87</v>
      </c>
      <c r="G298" s="16" t="n">
        <v>0.47</v>
      </c>
      <c r="H298" s="14"/>
      <c r="I298" s="14" t="s">
        <v>35</v>
      </c>
      <c r="J298" s="14"/>
      <c r="K298" s="17" t="s">
        <v>14</v>
      </c>
      <c r="L298" s="7" t="s">
        <v>33</v>
      </c>
    </row>
    <row r="299" s="2" customFormat="true" ht="13.8" hidden="false" customHeight="false" outlineLevel="0" collapsed="false">
      <c r="A299" s="8" t="s">
        <v>152</v>
      </c>
      <c r="B299" s="9" t="s">
        <v>152</v>
      </c>
      <c r="C299" s="9" t="n">
        <v>34.5</v>
      </c>
      <c r="D299" s="9" t="n">
        <v>13.8</v>
      </c>
      <c r="E299" s="9" t="n">
        <v>5</v>
      </c>
      <c r="F299" s="9" t="s">
        <v>152</v>
      </c>
      <c r="G299" s="9"/>
      <c r="H299" s="9" t="n">
        <v>0.46</v>
      </c>
      <c r="I299" s="9" t="s">
        <v>234</v>
      </c>
      <c r="J299" s="9" t="n">
        <f aca="false">SUM(E299:E300)+H299</f>
        <v>10.46</v>
      </c>
      <c r="K299" s="10" t="s">
        <v>14</v>
      </c>
    </row>
    <row r="300" s="2" customFormat="true" ht="13.8" hidden="false" customHeight="false" outlineLevel="0" collapsed="false">
      <c r="A300" s="8"/>
      <c r="B300" s="14" t="s">
        <v>152</v>
      </c>
      <c r="C300" s="14" t="n">
        <v>34.5</v>
      </c>
      <c r="D300" s="14" t="n">
        <v>13.2</v>
      </c>
      <c r="E300" s="14" t="n">
        <v>5</v>
      </c>
      <c r="F300" s="14" t="s">
        <v>152</v>
      </c>
      <c r="G300" s="16" t="n">
        <v>0.46</v>
      </c>
      <c r="H300" s="14"/>
      <c r="I300" s="14" t="s">
        <v>234</v>
      </c>
      <c r="J300" s="14"/>
      <c r="K300" s="17" t="s">
        <v>14</v>
      </c>
    </row>
    <row r="301" s="2" customFormat="true" ht="13.8" hidden="false" customHeight="false" outlineLevel="0" collapsed="false">
      <c r="A301" s="8" t="s">
        <v>57</v>
      </c>
      <c r="B301" s="9" t="s">
        <v>57</v>
      </c>
      <c r="C301" s="9" t="n">
        <v>34.5</v>
      </c>
      <c r="D301" s="9" t="n">
        <v>11.4</v>
      </c>
      <c r="E301" s="9" t="n">
        <v>5</v>
      </c>
      <c r="F301" s="9" t="s">
        <v>57</v>
      </c>
      <c r="G301" s="9"/>
      <c r="H301" s="9" t="n">
        <v>0.39</v>
      </c>
      <c r="I301" s="9" t="s">
        <v>235</v>
      </c>
      <c r="J301" s="9" t="n">
        <f aca="false">SUM(E301:E302)+H301</f>
        <v>10.39</v>
      </c>
      <c r="K301" s="10" t="s">
        <v>14</v>
      </c>
    </row>
    <row r="302" s="2" customFormat="true" ht="13.8" hidden="false" customHeight="false" outlineLevel="0" collapsed="false">
      <c r="A302" s="8"/>
      <c r="B302" s="14" t="s">
        <v>57</v>
      </c>
      <c r="C302" s="14" t="n">
        <v>34.5</v>
      </c>
      <c r="D302" s="14" t="n">
        <v>11.4</v>
      </c>
      <c r="E302" s="14" t="n">
        <v>5</v>
      </c>
      <c r="F302" s="14" t="s">
        <v>57</v>
      </c>
      <c r="G302" s="16" t="n">
        <v>0.39</v>
      </c>
      <c r="H302" s="14"/>
      <c r="I302" s="14" t="s">
        <v>235</v>
      </c>
      <c r="J302" s="14"/>
      <c r="K302" s="17" t="s">
        <v>14</v>
      </c>
      <c r="L302" s="7" t="s">
        <v>155</v>
      </c>
    </row>
    <row r="303" s="2" customFormat="true" ht="13.8" hidden="false" customHeight="false" outlineLevel="0" collapsed="false">
      <c r="A303" s="19" t="s">
        <v>236</v>
      </c>
      <c r="B303" s="26" t="s">
        <v>236</v>
      </c>
      <c r="C303" s="26" t="n">
        <v>34.5</v>
      </c>
      <c r="D303" s="26" t="n">
        <v>13.2</v>
      </c>
      <c r="E303" s="26" t="n">
        <v>2.5</v>
      </c>
      <c r="F303" s="26" t="s">
        <v>236</v>
      </c>
      <c r="G303" s="27" t="n">
        <v>0.31</v>
      </c>
      <c r="H303" s="26" t="n">
        <v>0.31</v>
      </c>
      <c r="I303" s="26" t="s">
        <v>237</v>
      </c>
      <c r="J303" s="26" t="n">
        <f aca="false">+E303+H303</f>
        <v>2.81</v>
      </c>
      <c r="K303" s="28" t="s">
        <v>14</v>
      </c>
      <c r="L303" s="7" t="s">
        <v>172</v>
      </c>
    </row>
    <row r="304" s="2" customFormat="true" ht="13.8" hidden="false" customHeight="false" outlineLevel="0" collapsed="false">
      <c r="A304" s="8" t="s">
        <v>238</v>
      </c>
      <c r="B304" s="26" t="s">
        <v>238</v>
      </c>
      <c r="C304" s="26" t="n">
        <v>34.5</v>
      </c>
      <c r="D304" s="26" t="n">
        <v>13.2</v>
      </c>
      <c r="E304" s="26" t="n">
        <v>3</v>
      </c>
      <c r="F304" s="26" t="s">
        <v>238</v>
      </c>
      <c r="G304" s="27" t="n">
        <v>0.29</v>
      </c>
      <c r="H304" s="26" t="n">
        <v>0.29</v>
      </c>
      <c r="I304" s="26" t="s">
        <v>204</v>
      </c>
      <c r="J304" s="26" t="n">
        <f aca="false">+E304+H304</f>
        <v>3.29</v>
      </c>
      <c r="K304" s="28" t="s">
        <v>14</v>
      </c>
      <c r="L304" s="7" t="s">
        <v>172</v>
      </c>
    </row>
    <row r="305" s="2" customFormat="true" ht="13.8" hidden="false" customHeight="false" outlineLevel="0" collapsed="false">
      <c r="A305" s="8" t="s">
        <v>239</v>
      </c>
      <c r="B305" s="9" t="s">
        <v>239</v>
      </c>
      <c r="C305" s="9" t="n">
        <v>115</v>
      </c>
      <c r="D305" s="9" t="n">
        <v>13.8</v>
      </c>
      <c r="E305" s="9" t="n">
        <v>8</v>
      </c>
      <c r="F305" s="9" t="s">
        <v>239</v>
      </c>
      <c r="G305" s="9"/>
      <c r="H305" s="9" t="n">
        <v>0.21</v>
      </c>
      <c r="I305" s="9" t="s">
        <v>240</v>
      </c>
      <c r="J305" s="9" t="n">
        <f aca="false">SUM(E305:E306)+H305</f>
        <v>48.21</v>
      </c>
      <c r="K305" s="10" t="s">
        <v>14</v>
      </c>
    </row>
    <row r="306" s="2" customFormat="true" ht="13.8" hidden="false" customHeight="false" outlineLevel="0" collapsed="false">
      <c r="A306" s="8"/>
      <c r="B306" s="14" t="s">
        <v>239</v>
      </c>
      <c r="C306" s="14" t="n">
        <v>115</v>
      </c>
      <c r="D306" s="14" t="n">
        <v>34.5</v>
      </c>
      <c r="E306" s="14" t="n">
        <v>40</v>
      </c>
      <c r="F306" s="14" t="s">
        <v>239</v>
      </c>
      <c r="G306" s="16" t="n">
        <v>0.21</v>
      </c>
      <c r="H306" s="14"/>
      <c r="I306" s="14" t="s">
        <v>240</v>
      </c>
      <c r="J306" s="14"/>
      <c r="K306" s="17" t="s">
        <v>14</v>
      </c>
    </row>
    <row r="307" s="2" customFormat="true" ht="13.8" hidden="false" customHeight="false" outlineLevel="0" collapsed="false">
      <c r="A307" s="8" t="s">
        <v>125</v>
      </c>
      <c r="B307" s="9" t="s">
        <v>125</v>
      </c>
      <c r="C307" s="32" t="n">
        <v>34.5</v>
      </c>
      <c r="D307" s="32" t="n">
        <v>13.2</v>
      </c>
      <c r="E307" s="9" t="n">
        <v>3</v>
      </c>
      <c r="F307" s="9" t="s">
        <v>125</v>
      </c>
      <c r="G307" s="9"/>
      <c r="H307" s="9" t="n">
        <v>0.17</v>
      </c>
      <c r="I307" s="9" t="s">
        <v>120</v>
      </c>
      <c r="J307" s="9" t="n">
        <f aca="false">SUM(E307:E308)+H307</f>
        <v>6.17</v>
      </c>
      <c r="K307" s="10" t="s">
        <v>14</v>
      </c>
    </row>
    <row r="308" s="2" customFormat="true" ht="13.8" hidden="false" customHeight="false" outlineLevel="0" collapsed="false">
      <c r="A308" s="8"/>
      <c r="B308" s="14" t="s">
        <v>125</v>
      </c>
      <c r="C308" s="14" t="n">
        <v>34.5</v>
      </c>
      <c r="D308" s="14" t="n">
        <v>13.8</v>
      </c>
      <c r="E308" s="14" t="n">
        <v>3</v>
      </c>
      <c r="F308" s="14" t="s">
        <v>125</v>
      </c>
      <c r="G308" s="16" t="n">
        <v>0.17</v>
      </c>
      <c r="H308" s="14"/>
      <c r="I308" s="14" t="s">
        <v>120</v>
      </c>
      <c r="J308" s="14"/>
      <c r="K308" s="17" t="s">
        <v>14</v>
      </c>
      <c r="L308" s="7" t="s">
        <v>162</v>
      </c>
    </row>
  </sheetData>
  <autoFilter ref="A1:K307"/>
  <mergeCells count="82">
    <mergeCell ref="A2:A6"/>
    <mergeCell ref="A7:A12"/>
    <mergeCell ref="A13:A15"/>
    <mergeCell ref="A16:A17"/>
    <mergeCell ref="A18:A21"/>
    <mergeCell ref="A22:A25"/>
    <mergeCell ref="A26:A30"/>
    <mergeCell ref="A31:A34"/>
    <mergeCell ref="A35:A40"/>
    <mergeCell ref="A41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70"/>
    <mergeCell ref="A71:A81"/>
    <mergeCell ref="A82:A84"/>
    <mergeCell ref="A85:A87"/>
    <mergeCell ref="A88:A90"/>
    <mergeCell ref="A91:A93"/>
    <mergeCell ref="A94:A101"/>
    <mergeCell ref="A102:A103"/>
    <mergeCell ref="A104:A109"/>
    <mergeCell ref="A110:A111"/>
    <mergeCell ref="A112:A119"/>
    <mergeCell ref="A120:A121"/>
    <mergeCell ref="A122:A132"/>
    <mergeCell ref="A133:A134"/>
    <mergeCell ref="A135:A137"/>
    <mergeCell ref="A138:A139"/>
    <mergeCell ref="A140:A149"/>
    <mergeCell ref="A150:A152"/>
    <mergeCell ref="A153:A163"/>
    <mergeCell ref="A164:A165"/>
    <mergeCell ref="A166:A175"/>
    <mergeCell ref="A176:A177"/>
    <mergeCell ref="A178:A179"/>
    <mergeCell ref="A180:A181"/>
    <mergeCell ref="A182:A187"/>
    <mergeCell ref="A189:A190"/>
    <mergeCell ref="A191:A192"/>
    <mergeCell ref="A193:A194"/>
    <mergeCell ref="A195:A196"/>
    <mergeCell ref="A197:A199"/>
    <mergeCell ref="A202:A203"/>
    <mergeCell ref="A204:A205"/>
    <mergeCell ref="A206:A207"/>
    <mergeCell ref="A208:A209"/>
    <mergeCell ref="A210:A211"/>
    <mergeCell ref="A212:A213"/>
    <mergeCell ref="A214:A215"/>
    <mergeCell ref="A217:A218"/>
    <mergeCell ref="A219:A220"/>
    <mergeCell ref="A221:A223"/>
    <mergeCell ref="A225:A226"/>
    <mergeCell ref="A227:A228"/>
    <mergeCell ref="A229:A230"/>
    <mergeCell ref="A232:A234"/>
    <mergeCell ref="A238:A239"/>
    <mergeCell ref="A242:A249"/>
    <mergeCell ref="A251:A252"/>
    <mergeCell ref="A253:A254"/>
    <mergeCell ref="A257:A258"/>
    <mergeCell ref="A260:A261"/>
    <mergeCell ref="A263:A264"/>
    <mergeCell ref="A267:A268"/>
    <mergeCell ref="A272:A273"/>
    <mergeCell ref="A274:A275"/>
    <mergeCell ref="A278:A280"/>
    <mergeCell ref="A281:A282"/>
    <mergeCell ref="A283:A284"/>
    <mergeCell ref="A286:A287"/>
    <mergeCell ref="A288:A289"/>
    <mergeCell ref="A295:A298"/>
    <mergeCell ref="A299:A300"/>
    <mergeCell ref="A301:A302"/>
    <mergeCell ref="A305:A306"/>
    <mergeCell ref="A307:A308"/>
  </mergeCells>
  <dataValidations count="2">
    <dataValidation allowBlank="true" errorStyle="stop" operator="between" showDropDown="false" showErrorMessage="true" showInputMessage="true" sqref="G26 G31:G33 G71:G78 G85:G86 G94:G99 G104 G112:G115 G122:G128 G140:G144 G150 G153:G161 G166:G173 G178 G180:H180 G182:G185 G242:G247" type="decimal">
      <formula1>-100000000</formula1>
      <formula2>100000000000</formula2>
    </dataValidation>
    <dataValidation allowBlank="true" errorStyle="stop" operator="between" showDropDown="false" showErrorMessage="true" showInputMessage="true" sqref="D101" type="decimal">
      <formula1>-10000000</formula1>
      <formula2>10000000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1" width="15.45"/>
    <col collapsed="false" customWidth="true" hidden="false" outlineLevel="0" max="2" min="2" style="11" width="19.09"/>
    <col collapsed="false" customWidth="true" hidden="false" outlineLevel="0" max="3" min="3" style="11" width="11"/>
    <col collapsed="false" customWidth="true" hidden="false" outlineLevel="0" max="4" min="4" style="11" width="10.54"/>
    <col collapsed="false" customWidth="true" hidden="false" outlineLevel="0" max="5" min="5" style="11" width="14.83"/>
    <col collapsed="false" customWidth="false" hidden="false" outlineLevel="0" max="6" min="6" style="11" width="8.73"/>
  </cols>
  <sheetData>
    <row r="1" customFormat="false" ht="14.25" hidden="false" customHeight="false" outlineLevel="0" collapsed="false">
      <c r="A1" s="4" t="s">
        <v>1</v>
      </c>
      <c r="B1" s="4" t="s">
        <v>4</v>
      </c>
      <c r="C1" s="4" t="s">
        <v>2</v>
      </c>
      <c r="D1" s="4" t="s">
        <v>3</v>
      </c>
      <c r="E1" s="4" t="s">
        <v>6</v>
      </c>
    </row>
    <row r="2" customFormat="false" ht="14.25" hidden="false" customHeight="false" outlineLevel="0" collapsed="false">
      <c r="A2" s="11" t="s">
        <v>11</v>
      </c>
      <c r="B2" s="11" t="n">
        <v>35</v>
      </c>
      <c r="C2" s="11" t="n">
        <v>115</v>
      </c>
      <c r="D2" s="11" t="n">
        <v>12</v>
      </c>
      <c r="E2" s="11" t="n">
        <v>95.45</v>
      </c>
    </row>
    <row r="3" customFormat="false" ht="14.25" hidden="false" customHeight="false" outlineLevel="0" collapsed="false">
      <c r="A3" s="11" t="s">
        <v>11</v>
      </c>
      <c r="B3" s="11" t="n">
        <v>40</v>
      </c>
      <c r="C3" s="11" t="n">
        <v>115</v>
      </c>
      <c r="D3" s="11" t="n">
        <v>12</v>
      </c>
      <c r="E3" s="11" t="n">
        <v>95.45</v>
      </c>
    </row>
    <row r="4" customFormat="false" ht="14.25" hidden="false" customHeight="false" outlineLevel="0" collapsed="false">
      <c r="A4" s="11" t="s">
        <v>11</v>
      </c>
      <c r="B4" s="11" t="n">
        <v>40</v>
      </c>
      <c r="C4" s="11" t="n">
        <v>115</v>
      </c>
      <c r="D4" s="11" t="n">
        <v>12</v>
      </c>
      <c r="E4" s="11" t="n">
        <v>95.45</v>
      </c>
    </row>
    <row r="5" customFormat="false" ht="14.25" hidden="false" customHeight="false" outlineLevel="0" collapsed="false">
      <c r="A5" s="11" t="s">
        <v>11</v>
      </c>
      <c r="B5" s="11" t="n">
        <v>40</v>
      </c>
      <c r="C5" s="11" t="n">
        <v>115</v>
      </c>
      <c r="D5" s="11" t="n">
        <v>34.5</v>
      </c>
      <c r="E5" s="11" t="n">
        <v>95.45</v>
      </c>
    </row>
    <row r="6" customFormat="false" ht="14.25" hidden="false" customHeight="false" outlineLevel="0" collapsed="false">
      <c r="A6" s="11" t="s">
        <v>11</v>
      </c>
      <c r="B6" s="11" t="n">
        <v>30</v>
      </c>
      <c r="C6" s="11" t="n">
        <v>115</v>
      </c>
      <c r="D6" s="11" t="n">
        <v>34.5</v>
      </c>
      <c r="E6" s="11" t="n">
        <v>95.45</v>
      </c>
    </row>
    <row r="7" customFormat="false" ht="14.25" hidden="false" customHeight="false" outlineLevel="0" collapsed="false">
      <c r="A7" s="11" t="s">
        <v>15</v>
      </c>
      <c r="B7" s="11" t="n">
        <v>40</v>
      </c>
      <c r="C7" s="11" t="n">
        <v>115</v>
      </c>
      <c r="D7" s="11" t="n">
        <v>12</v>
      </c>
      <c r="E7" s="11" t="n">
        <v>89.86</v>
      </c>
    </row>
    <row r="8" customFormat="false" ht="14.25" hidden="false" customHeight="false" outlineLevel="0" collapsed="false">
      <c r="A8" s="11" t="s">
        <v>15</v>
      </c>
      <c r="B8" s="11" t="n">
        <v>40</v>
      </c>
      <c r="C8" s="11" t="n">
        <v>115</v>
      </c>
      <c r="D8" s="11" t="n">
        <v>12</v>
      </c>
      <c r="E8" s="11" t="n">
        <v>89.86</v>
      </c>
    </row>
    <row r="9" customFormat="false" ht="14.25" hidden="false" customHeight="false" outlineLevel="0" collapsed="false">
      <c r="A9" s="11" t="s">
        <v>15</v>
      </c>
      <c r="B9" s="11" t="n">
        <v>40</v>
      </c>
      <c r="C9" s="11" t="n">
        <v>115</v>
      </c>
      <c r="D9" s="11" t="n">
        <v>12</v>
      </c>
      <c r="E9" s="11" t="n">
        <v>89.86</v>
      </c>
    </row>
    <row r="10" customFormat="false" ht="14.25" hidden="false" customHeight="false" outlineLevel="0" collapsed="false">
      <c r="A10" s="11" t="s">
        <v>15</v>
      </c>
      <c r="B10" s="11" t="n">
        <v>40</v>
      </c>
      <c r="C10" s="11" t="n">
        <v>115</v>
      </c>
      <c r="D10" s="11" t="n">
        <v>34.5</v>
      </c>
      <c r="E10" s="11" t="n">
        <v>89.86</v>
      </c>
    </row>
    <row r="11" customFormat="false" ht="14.25" hidden="false" customHeight="false" outlineLevel="0" collapsed="false">
      <c r="A11" s="11" t="s">
        <v>15</v>
      </c>
      <c r="B11" s="11" t="n">
        <v>40</v>
      </c>
      <c r="C11" s="11" t="n">
        <v>115</v>
      </c>
      <c r="D11" s="11" t="n">
        <v>34.5</v>
      </c>
      <c r="E11" s="11" t="n">
        <v>89.86</v>
      </c>
    </row>
    <row r="12" customFormat="false" ht="14.25" hidden="false" customHeight="false" outlineLevel="0" collapsed="false">
      <c r="A12" s="11" t="s">
        <v>15</v>
      </c>
      <c r="B12" s="11" t="n">
        <v>40</v>
      </c>
      <c r="C12" s="11" t="n">
        <v>115</v>
      </c>
      <c r="D12" s="11" t="n">
        <v>34.5</v>
      </c>
      <c r="E12" s="11" t="n">
        <v>89.86</v>
      </c>
    </row>
    <row r="13" customFormat="false" ht="14.25" hidden="false" customHeight="false" outlineLevel="0" collapsed="false">
      <c r="A13" s="11" t="s">
        <v>18</v>
      </c>
      <c r="B13" s="11" t="n">
        <v>40</v>
      </c>
      <c r="C13" s="11" t="n">
        <v>115</v>
      </c>
      <c r="D13" s="11" t="n">
        <v>12</v>
      </c>
      <c r="E13" s="11" t="n">
        <v>79.71</v>
      </c>
    </row>
    <row r="14" customFormat="false" ht="14.25" hidden="false" customHeight="false" outlineLevel="0" collapsed="false">
      <c r="A14" s="11" t="s">
        <v>18</v>
      </c>
      <c r="B14" s="11" t="n">
        <v>40</v>
      </c>
      <c r="C14" s="11" t="n">
        <v>115</v>
      </c>
      <c r="D14" s="11" t="n">
        <v>12</v>
      </c>
      <c r="E14" s="11" t="n">
        <v>79.71</v>
      </c>
    </row>
    <row r="15" customFormat="false" ht="14.25" hidden="false" customHeight="false" outlineLevel="0" collapsed="false">
      <c r="A15" s="11" t="s">
        <v>18</v>
      </c>
      <c r="B15" s="11" t="n">
        <v>40</v>
      </c>
      <c r="C15" s="11" t="n">
        <v>115</v>
      </c>
      <c r="D15" s="11" t="n">
        <v>12</v>
      </c>
      <c r="E15" s="11" t="n">
        <v>79.71</v>
      </c>
    </row>
    <row r="16" customFormat="false" ht="14.25" hidden="false" customHeight="false" outlineLevel="0" collapsed="false">
      <c r="A16" s="11" t="s">
        <v>20</v>
      </c>
      <c r="B16" s="11" t="n">
        <v>15</v>
      </c>
      <c r="C16" s="11" t="n">
        <v>115</v>
      </c>
      <c r="D16" s="11" t="n">
        <v>12</v>
      </c>
      <c r="E16" s="11" t="n">
        <v>75.39</v>
      </c>
    </row>
    <row r="17" customFormat="false" ht="14.25" hidden="false" customHeight="false" outlineLevel="0" collapsed="false">
      <c r="A17" s="11" t="s">
        <v>20</v>
      </c>
      <c r="B17" s="11" t="n">
        <v>20</v>
      </c>
      <c r="C17" s="11" t="n">
        <v>115</v>
      </c>
      <c r="D17" s="11" t="n">
        <v>34.5</v>
      </c>
      <c r="E17" s="11" t="n">
        <v>75.39</v>
      </c>
    </row>
    <row r="18" customFormat="false" ht="14.25" hidden="false" customHeight="false" outlineLevel="0" collapsed="false">
      <c r="A18" s="11" t="s">
        <v>22</v>
      </c>
      <c r="B18" s="11" t="n">
        <v>30</v>
      </c>
      <c r="C18" s="11" t="n">
        <v>115</v>
      </c>
      <c r="D18" s="11" t="n">
        <v>12</v>
      </c>
      <c r="E18" s="11" t="n">
        <v>74.74</v>
      </c>
    </row>
    <row r="19" customFormat="false" ht="14.25" hidden="false" customHeight="false" outlineLevel="0" collapsed="false">
      <c r="A19" s="11" t="s">
        <v>22</v>
      </c>
      <c r="B19" s="11" t="n">
        <v>30</v>
      </c>
      <c r="C19" s="11" t="n">
        <v>115</v>
      </c>
      <c r="D19" s="11" t="n">
        <v>11.4</v>
      </c>
      <c r="E19" s="11" t="n">
        <v>74.74</v>
      </c>
    </row>
    <row r="20" customFormat="false" ht="14.25" hidden="false" customHeight="false" outlineLevel="0" collapsed="false">
      <c r="A20" s="11" t="s">
        <v>22</v>
      </c>
      <c r="B20" s="11" t="n">
        <v>40</v>
      </c>
      <c r="C20" s="11" t="n">
        <v>115</v>
      </c>
      <c r="D20" s="11" t="n">
        <v>12</v>
      </c>
      <c r="E20" s="11" t="n">
        <v>74.74</v>
      </c>
    </row>
    <row r="21" customFormat="false" ht="14.25" hidden="false" customHeight="false" outlineLevel="0" collapsed="false">
      <c r="A21" s="11" t="s">
        <v>22</v>
      </c>
      <c r="B21" s="11" t="n">
        <v>30</v>
      </c>
      <c r="C21" s="11" t="n">
        <v>115</v>
      </c>
      <c r="D21" s="11" t="n">
        <v>34.5</v>
      </c>
      <c r="E21" s="11" t="n">
        <v>74.74</v>
      </c>
    </row>
    <row r="22" customFormat="false" ht="14.25" hidden="false" customHeight="false" outlineLevel="0" collapsed="false">
      <c r="A22" s="11" t="s">
        <v>24</v>
      </c>
      <c r="B22" s="11" t="n">
        <v>30</v>
      </c>
      <c r="C22" s="11" t="n">
        <v>57.5</v>
      </c>
      <c r="D22" s="11" t="n">
        <v>12</v>
      </c>
      <c r="E22" s="11" t="n">
        <v>73</v>
      </c>
      <c r="F22" s="11" t="s">
        <v>241</v>
      </c>
    </row>
    <row r="23" customFormat="false" ht="14.25" hidden="false" customHeight="false" outlineLevel="0" collapsed="false">
      <c r="A23" s="11" t="s">
        <v>24</v>
      </c>
      <c r="B23" s="11" t="n">
        <v>30</v>
      </c>
      <c r="C23" s="11" t="n">
        <v>57.5</v>
      </c>
      <c r="D23" s="11" t="n">
        <v>12</v>
      </c>
      <c r="E23" s="11" t="n">
        <v>73</v>
      </c>
    </row>
    <row r="24" customFormat="false" ht="14.25" hidden="false" customHeight="false" outlineLevel="0" collapsed="false">
      <c r="A24" s="11" t="s">
        <v>24</v>
      </c>
      <c r="B24" s="11" t="n">
        <v>30</v>
      </c>
      <c r="C24" s="11" t="n">
        <v>57.5</v>
      </c>
      <c r="D24" s="11" t="n">
        <v>12</v>
      </c>
      <c r="E24" s="11" t="n">
        <v>73</v>
      </c>
    </row>
    <row r="25" customFormat="false" ht="14.25" hidden="false" customHeight="false" outlineLevel="0" collapsed="false">
      <c r="A25" s="11" t="s">
        <v>24</v>
      </c>
      <c r="B25" s="11" t="n">
        <v>40</v>
      </c>
      <c r="C25" s="11" t="n">
        <v>57.5</v>
      </c>
      <c r="D25" s="11" t="n">
        <v>34.5</v>
      </c>
      <c r="E25" s="11" t="n">
        <v>73</v>
      </c>
    </row>
    <row r="26" customFormat="false" ht="14.25" hidden="false" customHeight="false" outlineLevel="0" collapsed="false">
      <c r="A26" s="11" t="s">
        <v>26</v>
      </c>
      <c r="B26" s="11" t="n">
        <v>30</v>
      </c>
      <c r="C26" s="11" t="n">
        <v>115</v>
      </c>
      <c r="D26" s="11" t="n">
        <v>12</v>
      </c>
      <c r="E26" s="11" t="n">
        <v>72.38</v>
      </c>
    </row>
    <row r="27" customFormat="false" ht="14.25" hidden="false" customHeight="false" outlineLevel="0" collapsed="false">
      <c r="A27" s="11" t="s">
        <v>26</v>
      </c>
      <c r="B27" s="11" t="n">
        <v>40</v>
      </c>
      <c r="C27" s="11" t="n">
        <v>115</v>
      </c>
      <c r="D27" s="11" t="n">
        <v>12</v>
      </c>
      <c r="E27" s="11" t="n">
        <v>72.38</v>
      </c>
    </row>
    <row r="28" customFormat="false" ht="14.25" hidden="false" customHeight="false" outlineLevel="0" collapsed="false">
      <c r="A28" s="11" t="s">
        <v>26</v>
      </c>
      <c r="B28" s="11" t="n">
        <v>40</v>
      </c>
      <c r="C28" s="11" t="n">
        <v>115</v>
      </c>
      <c r="D28" s="11" t="n">
        <v>12</v>
      </c>
      <c r="E28" s="11" t="n">
        <v>72.38</v>
      </c>
    </row>
    <row r="29" customFormat="false" ht="14.25" hidden="false" customHeight="false" outlineLevel="0" collapsed="false">
      <c r="A29" s="11" t="s">
        <v>26</v>
      </c>
      <c r="B29" s="11" t="n">
        <v>30</v>
      </c>
      <c r="C29" s="11" t="n">
        <v>115</v>
      </c>
      <c r="D29" s="11" t="n">
        <v>34.5</v>
      </c>
      <c r="E29" s="11" t="n">
        <v>72.38</v>
      </c>
    </row>
    <row r="30" customFormat="false" ht="14.25" hidden="false" customHeight="false" outlineLevel="0" collapsed="false">
      <c r="A30" s="11" t="s">
        <v>26</v>
      </c>
      <c r="B30" s="11" t="n">
        <v>30</v>
      </c>
      <c r="C30" s="11" t="n">
        <v>115</v>
      </c>
      <c r="D30" s="11" t="n">
        <v>36.66</v>
      </c>
      <c r="E30" s="11" t="n">
        <v>72.38</v>
      </c>
    </row>
    <row r="31" customFormat="false" ht="14.25" hidden="false" customHeight="false" outlineLevel="0" collapsed="false">
      <c r="A31" s="11" t="s">
        <v>30</v>
      </c>
      <c r="B31" s="11" t="n">
        <v>40</v>
      </c>
      <c r="C31" s="11" t="n">
        <v>115</v>
      </c>
      <c r="D31" s="11" t="n">
        <v>12</v>
      </c>
      <c r="E31" s="11" t="n">
        <v>69.59</v>
      </c>
    </row>
    <row r="32" customFormat="false" ht="14.25" hidden="false" customHeight="false" outlineLevel="0" collapsed="false">
      <c r="A32" s="11" t="s">
        <v>30</v>
      </c>
      <c r="B32" s="11" t="n">
        <v>40</v>
      </c>
      <c r="C32" s="11" t="n">
        <v>115</v>
      </c>
      <c r="D32" s="11" t="n">
        <v>12</v>
      </c>
      <c r="E32" s="11" t="n">
        <v>69.59</v>
      </c>
    </row>
    <row r="33" customFormat="false" ht="14.25" hidden="false" customHeight="false" outlineLevel="0" collapsed="false">
      <c r="A33" s="11" t="s">
        <v>30</v>
      </c>
      <c r="B33" s="11" t="n">
        <v>40</v>
      </c>
      <c r="C33" s="11" t="n">
        <v>115</v>
      </c>
      <c r="D33" s="11" t="n">
        <v>34.5</v>
      </c>
      <c r="E33" s="11" t="n">
        <v>69.59</v>
      </c>
    </row>
    <row r="34" customFormat="false" ht="14.25" hidden="false" customHeight="false" outlineLevel="0" collapsed="false">
      <c r="A34" s="11" t="s">
        <v>30</v>
      </c>
      <c r="B34" s="11" t="n">
        <v>40</v>
      </c>
      <c r="C34" s="11" t="n">
        <v>115</v>
      </c>
      <c r="D34" s="11" t="n">
        <v>34.5</v>
      </c>
      <c r="E34" s="11" t="n">
        <v>69.59</v>
      </c>
    </row>
    <row r="35" customFormat="false" ht="14.25" hidden="false" customHeight="false" outlineLevel="0" collapsed="false">
      <c r="A35" s="11" t="s">
        <v>34</v>
      </c>
      <c r="B35" s="11" t="n">
        <v>30</v>
      </c>
      <c r="C35" s="11" t="n">
        <v>115</v>
      </c>
      <c r="D35" s="11" t="n">
        <v>12</v>
      </c>
      <c r="E35" s="11" t="n">
        <v>69.06</v>
      </c>
    </row>
    <row r="36" customFormat="false" ht="14.25" hidden="false" customHeight="false" outlineLevel="0" collapsed="false">
      <c r="A36" s="11" t="s">
        <v>34</v>
      </c>
      <c r="B36" s="11" t="n">
        <v>40</v>
      </c>
      <c r="C36" s="11" t="n">
        <v>115</v>
      </c>
      <c r="D36" s="11" t="n">
        <v>34.5</v>
      </c>
      <c r="E36" s="11" t="n">
        <v>69.06</v>
      </c>
    </row>
    <row r="37" customFormat="false" ht="14.25" hidden="false" customHeight="false" outlineLevel="0" collapsed="false">
      <c r="A37" s="11" t="s">
        <v>34</v>
      </c>
      <c r="B37" s="11" t="n">
        <v>40</v>
      </c>
      <c r="C37" s="11" t="n">
        <v>115</v>
      </c>
      <c r="D37" s="11" t="n">
        <v>34.5</v>
      </c>
      <c r="E37" s="11" t="n">
        <v>69.06</v>
      </c>
    </row>
    <row r="38" customFormat="false" ht="14.25" hidden="false" customHeight="false" outlineLevel="0" collapsed="false">
      <c r="A38" s="11" t="s">
        <v>34</v>
      </c>
      <c r="B38" s="11" t="n">
        <v>40</v>
      </c>
      <c r="C38" s="11" t="n">
        <v>115</v>
      </c>
      <c r="D38" s="11" t="n">
        <v>12</v>
      </c>
      <c r="E38" s="11" t="n">
        <v>69.06</v>
      </c>
    </row>
    <row r="39" customFormat="false" ht="14.25" hidden="false" customHeight="false" outlineLevel="0" collapsed="false">
      <c r="A39" s="11" t="s">
        <v>34</v>
      </c>
      <c r="B39" s="11" t="n">
        <v>63</v>
      </c>
      <c r="C39" s="11" t="n">
        <v>115</v>
      </c>
      <c r="D39" s="11" t="n">
        <v>34.5</v>
      </c>
      <c r="E39" s="11" t="n">
        <v>69.06</v>
      </c>
    </row>
    <row r="40" customFormat="false" ht="14.25" hidden="false" customHeight="false" outlineLevel="0" collapsed="false">
      <c r="A40" s="11" t="s">
        <v>34</v>
      </c>
      <c r="B40" s="11" t="n">
        <v>63</v>
      </c>
      <c r="C40" s="11" t="n">
        <v>115</v>
      </c>
      <c r="D40" s="11" t="n">
        <v>34.5</v>
      </c>
      <c r="E40" s="11" t="n">
        <v>69.06</v>
      </c>
    </row>
    <row r="41" customFormat="false" ht="14.25" hidden="false" customHeight="false" outlineLevel="0" collapsed="false">
      <c r="A41" s="11" t="s">
        <v>36</v>
      </c>
      <c r="B41" s="11" t="n">
        <v>56</v>
      </c>
      <c r="C41" s="11" t="n">
        <v>115</v>
      </c>
      <c r="D41" s="11" t="n">
        <v>12</v>
      </c>
      <c r="E41" s="11" t="n">
        <v>65.34</v>
      </c>
    </row>
    <row r="42" customFormat="false" ht="14.25" hidden="false" customHeight="false" outlineLevel="0" collapsed="false">
      <c r="A42" s="11" t="s">
        <v>36</v>
      </c>
      <c r="B42" s="11" t="n">
        <v>56</v>
      </c>
      <c r="C42" s="11" t="n">
        <v>115</v>
      </c>
      <c r="D42" s="11" t="n">
        <v>12</v>
      </c>
      <c r="E42" s="11" t="n">
        <v>65.34</v>
      </c>
    </row>
    <row r="43" customFormat="false" ht="14.25" hidden="false" customHeight="false" outlineLevel="0" collapsed="false">
      <c r="A43" s="11" t="s">
        <v>37</v>
      </c>
      <c r="B43" s="11" t="n">
        <v>30</v>
      </c>
      <c r="C43" s="11" t="n">
        <v>115</v>
      </c>
      <c r="D43" s="11" t="n">
        <v>12</v>
      </c>
      <c r="E43" s="11" t="n">
        <v>65.22</v>
      </c>
    </row>
    <row r="44" customFormat="false" ht="14.25" hidden="false" customHeight="false" outlineLevel="0" collapsed="false">
      <c r="A44" s="11" t="s">
        <v>37</v>
      </c>
      <c r="B44" s="11" t="n">
        <v>30</v>
      </c>
      <c r="C44" s="11" t="n">
        <v>115</v>
      </c>
      <c r="D44" s="11" t="n">
        <v>12</v>
      </c>
      <c r="E44" s="11" t="n">
        <v>65.22</v>
      </c>
    </row>
    <row r="45" customFormat="false" ht="14.25" hidden="false" customHeight="false" outlineLevel="0" collapsed="false">
      <c r="A45" s="11" t="s">
        <v>37</v>
      </c>
      <c r="B45" s="11" t="n">
        <v>30</v>
      </c>
      <c r="C45" s="11" t="n">
        <v>115</v>
      </c>
      <c r="D45" s="11" t="n">
        <v>12</v>
      </c>
      <c r="E45" s="11" t="n">
        <v>65.22</v>
      </c>
    </row>
    <row r="46" customFormat="false" ht="14.25" hidden="false" customHeight="false" outlineLevel="0" collapsed="false">
      <c r="A46" s="11" t="s">
        <v>39</v>
      </c>
      <c r="B46" s="11" t="n">
        <v>30</v>
      </c>
      <c r="C46" s="11" t="n">
        <v>115</v>
      </c>
      <c r="D46" s="11" t="n">
        <v>13.8</v>
      </c>
      <c r="E46" s="11" t="n">
        <v>65.22</v>
      </c>
    </row>
    <row r="47" customFormat="false" ht="14.25" hidden="false" customHeight="false" outlineLevel="0" collapsed="false">
      <c r="A47" s="11" t="s">
        <v>39</v>
      </c>
      <c r="B47" s="11" t="n">
        <v>30</v>
      </c>
      <c r="C47" s="11" t="n">
        <v>115</v>
      </c>
      <c r="D47" s="11" t="n">
        <v>11.4</v>
      </c>
      <c r="E47" s="11" t="n">
        <v>65.22</v>
      </c>
    </row>
    <row r="48" customFormat="false" ht="14.25" hidden="false" customHeight="false" outlineLevel="0" collapsed="false">
      <c r="A48" s="11" t="s">
        <v>39</v>
      </c>
      <c r="B48" s="11" t="n">
        <v>30</v>
      </c>
      <c r="C48" s="11" t="n">
        <v>115</v>
      </c>
      <c r="D48" s="11" t="n">
        <v>12</v>
      </c>
      <c r="E48" s="11" t="n">
        <v>65.22</v>
      </c>
    </row>
    <row r="49" customFormat="false" ht="14.25" hidden="false" customHeight="false" outlineLevel="0" collapsed="false">
      <c r="A49" s="11" t="s">
        <v>40</v>
      </c>
      <c r="B49" s="11" t="n">
        <v>30</v>
      </c>
      <c r="C49" s="11" t="n">
        <v>115</v>
      </c>
      <c r="D49" s="11" t="n">
        <v>12</v>
      </c>
      <c r="E49" s="11" t="n">
        <v>63.78</v>
      </c>
    </row>
    <row r="50" customFormat="false" ht="14.25" hidden="false" customHeight="false" outlineLevel="0" collapsed="false">
      <c r="A50" s="11" t="s">
        <v>40</v>
      </c>
      <c r="B50" s="11" t="n">
        <v>30</v>
      </c>
      <c r="C50" s="11" t="n">
        <v>115</v>
      </c>
      <c r="D50" s="11" t="n">
        <v>12</v>
      </c>
      <c r="E50" s="11" t="n">
        <v>63.78</v>
      </c>
    </row>
    <row r="51" customFormat="false" ht="14.25" hidden="false" customHeight="false" outlineLevel="0" collapsed="false">
      <c r="A51" s="11" t="s">
        <v>40</v>
      </c>
      <c r="B51" s="11" t="n">
        <v>35</v>
      </c>
      <c r="C51" s="11" t="n">
        <v>115</v>
      </c>
      <c r="D51" s="11" t="n">
        <v>12</v>
      </c>
      <c r="E51" s="11" t="n">
        <v>63.78</v>
      </c>
    </row>
    <row r="52" customFormat="false" ht="14.25" hidden="false" customHeight="false" outlineLevel="0" collapsed="false">
      <c r="A52" s="11" t="s">
        <v>41</v>
      </c>
      <c r="B52" s="11" t="n">
        <v>30</v>
      </c>
      <c r="C52" s="11" t="n">
        <v>115</v>
      </c>
      <c r="D52" s="11" t="n">
        <v>12</v>
      </c>
      <c r="E52" s="11" t="n">
        <v>62.95</v>
      </c>
    </row>
    <row r="53" customFormat="false" ht="14.25" hidden="false" customHeight="false" outlineLevel="0" collapsed="false">
      <c r="A53" s="11" t="s">
        <v>41</v>
      </c>
      <c r="B53" s="11" t="n">
        <v>40</v>
      </c>
      <c r="C53" s="11" t="n">
        <v>115</v>
      </c>
      <c r="D53" s="11" t="n">
        <v>12</v>
      </c>
      <c r="E53" s="11" t="n">
        <v>62.95</v>
      </c>
    </row>
    <row r="54" customFormat="false" ht="14.25" hidden="false" customHeight="false" outlineLevel="0" collapsed="false">
      <c r="A54" s="11" t="s">
        <v>41</v>
      </c>
      <c r="B54" s="11" t="n">
        <v>30</v>
      </c>
      <c r="C54" s="11" t="n">
        <v>115</v>
      </c>
      <c r="D54" s="11" t="n">
        <v>12</v>
      </c>
      <c r="E54" s="11" t="n">
        <v>62.95</v>
      </c>
    </row>
    <row r="55" customFormat="false" ht="14.25" hidden="false" customHeight="false" outlineLevel="0" collapsed="false">
      <c r="A55" s="11" t="s">
        <v>43</v>
      </c>
      <c r="B55" s="11" t="n">
        <v>40</v>
      </c>
      <c r="C55" s="11" t="n">
        <v>115</v>
      </c>
      <c r="D55" s="11" t="n">
        <v>12</v>
      </c>
      <c r="E55" s="11" t="n">
        <v>55.71</v>
      </c>
    </row>
    <row r="56" customFormat="false" ht="14.25" hidden="false" customHeight="false" outlineLevel="0" collapsed="false">
      <c r="A56" s="11" t="s">
        <v>43</v>
      </c>
      <c r="B56" s="11" t="n">
        <v>40</v>
      </c>
      <c r="C56" s="11" t="n">
        <v>115</v>
      </c>
      <c r="D56" s="11" t="n">
        <v>12</v>
      </c>
      <c r="E56" s="11" t="n">
        <v>55.71</v>
      </c>
    </row>
    <row r="57" customFormat="false" ht="14.25" hidden="false" customHeight="false" outlineLevel="0" collapsed="false">
      <c r="A57" s="11" t="s">
        <v>43</v>
      </c>
      <c r="B57" s="11" t="n">
        <v>30</v>
      </c>
      <c r="C57" s="11" t="n">
        <v>115</v>
      </c>
      <c r="D57" s="11" t="n">
        <v>12</v>
      </c>
      <c r="E57" s="11" t="n">
        <v>55.71</v>
      </c>
    </row>
    <row r="58" customFormat="false" ht="14.25" hidden="false" customHeight="false" outlineLevel="0" collapsed="false">
      <c r="A58" s="11" t="s">
        <v>44</v>
      </c>
      <c r="B58" s="11" t="n">
        <v>30</v>
      </c>
      <c r="C58" s="11" t="n">
        <v>115</v>
      </c>
      <c r="D58" s="11" t="n">
        <v>12</v>
      </c>
      <c r="E58" s="11" t="n">
        <v>53.32</v>
      </c>
    </row>
    <row r="59" customFormat="false" ht="14.25" hidden="false" customHeight="false" outlineLevel="0" collapsed="false">
      <c r="A59" s="11" t="s">
        <v>44</v>
      </c>
      <c r="B59" s="11" t="n">
        <v>30</v>
      </c>
      <c r="C59" s="11" t="n">
        <v>115</v>
      </c>
      <c r="D59" s="11" t="n">
        <v>12</v>
      </c>
      <c r="E59" s="11" t="n">
        <v>53.32</v>
      </c>
    </row>
    <row r="60" customFormat="false" ht="14.25" hidden="false" customHeight="false" outlineLevel="0" collapsed="false">
      <c r="A60" s="11" t="s">
        <v>44</v>
      </c>
      <c r="B60" s="11" t="n">
        <v>30</v>
      </c>
      <c r="C60" s="11" t="n">
        <v>115</v>
      </c>
      <c r="D60" s="11" t="n">
        <v>12</v>
      </c>
      <c r="E60" s="11" t="n">
        <v>53.32</v>
      </c>
    </row>
    <row r="61" customFormat="false" ht="14.25" hidden="false" customHeight="false" outlineLevel="0" collapsed="false">
      <c r="A61" s="11" t="s">
        <v>46</v>
      </c>
      <c r="B61" s="11" t="n">
        <v>30</v>
      </c>
      <c r="C61" s="11" t="n">
        <v>115</v>
      </c>
      <c r="D61" s="11" t="n">
        <v>12</v>
      </c>
      <c r="E61" s="11" t="n">
        <v>52.49</v>
      </c>
    </row>
    <row r="62" customFormat="false" ht="14.25" hidden="false" customHeight="false" outlineLevel="0" collapsed="false">
      <c r="A62" s="11" t="s">
        <v>46</v>
      </c>
      <c r="B62" s="11" t="n">
        <v>30</v>
      </c>
      <c r="C62" s="11" t="n">
        <v>115</v>
      </c>
      <c r="D62" s="11" t="n">
        <v>11.4</v>
      </c>
      <c r="E62" s="11" t="n">
        <v>52.49</v>
      </c>
    </row>
    <row r="63" customFormat="false" ht="14.25" hidden="false" customHeight="false" outlineLevel="0" collapsed="false">
      <c r="A63" s="11" t="s">
        <v>46</v>
      </c>
      <c r="B63" s="11" t="n">
        <v>40</v>
      </c>
      <c r="C63" s="11" t="n">
        <v>115</v>
      </c>
      <c r="D63" s="11" t="n">
        <v>12</v>
      </c>
      <c r="E63" s="11" t="n">
        <v>52.49</v>
      </c>
    </row>
    <row r="64" customFormat="false" ht="14.25" hidden="false" customHeight="false" outlineLevel="0" collapsed="false">
      <c r="A64" s="11" t="s">
        <v>48</v>
      </c>
      <c r="B64" s="11" t="n">
        <v>40</v>
      </c>
      <c r="C64" s="11" t="n">
        <v>115</v>
      </c>
      <c r="D64" s="11" t="n">
        <v>12</v>
      </c>
      <c r="E64" s="11" t="n">
        <v>48.05</v>
      </c>
    </row>
    <row r="65" customFormat="false" ht="14.25" hidden="false" customHeight="false" outlineLevel="0" collapsed="false">
      <c r="A65" s="11" t="s">
        <v>48</v>
      </c>
      <c r="B65" s="11" t="n">
        <v>40</v>
      </c>
      <c r="C65" s="11" t="n">
        <v>115</v>
      </c>
      <c r="D65" s="11" t="n">
        <v>12</v>
      </c>
      <c r="E65" s="11" t="n">
        <v>48.05</v>
      </c>
    </row>
    <row r="66" customFormat="false" ht="14.25" hidden="false" customHeight="false" outlineLevel="0" collapsed="false">
      <c r="A66" s="11" t="s">
        <v>48</v>
      </c>
      <c r="B66" s="11" t="n">
        <v>40</v>
      </c>
      <c r="C66" s="11" t="n">
        <v>115</v>
      </c>
      <c r="D66" s="11" t="n">
        <v>12</v>
      </c>
      <c r="E66" s="11" t="n">
        <v>48.05</v>
      </c>
    </row>
    <row r="67" customFormat="false" ht="14.25" hidden="false" customHeight="false" outlineLevel="0" collapsed="false">
      <c r="A67" s="11" t="s">
        <v>49</v>
      </c>
      <c r="B67" s="11" t="n">
        <v>40</v>
      </c>
      <c r="C67" s="11" t="n">
        <v>115</v>
      </c>
      <c r="D67" s="11" t="n">
        <v>34.5</v>
      </c>
      <c r="E67" s="11" t="n">
        <v>45.44</v>
      </c>
    </row>
    <row r="68" customFormat="false" ht="14.25" hidden="false" customHeight="false" outlineLevel="0" collapsed="false">
      <c r="A68" s="11" t="s">
        <v>49</v>
      </c>
      <c r="B68" s="11" t="n">
        <v>30</v>
      </c>
      <c r="C68" s="11" t="n">
        <v>115</v>
      </c>
      <c r="D68" s="11" t="n">
        <v>34.5</v>
      </c>
      <c r="E68" s="11" t="n">
        <v>45.44</v>
      </c>
    </row>
    <row r="69" customFormat="false" ht="14.25" hidden="false" customHeight="false" outlineLevel="0" collapsed="false">
      <c r="A69" s="11" t="s">
        <v>49</v>
      </c>
      <c r="B69" s="11" t="n">
        <v>30</v>
      </c>
      <c r="C69" s="11" t="n">
        <v>115</v>
      </c>
      <c r="D69" s="11" t="n">
        <v>11.4</v>
      </c>
      <c r="E69" s="11" t="n">
        <v>45.44</v>
      </c>
    </row>
    <row r="70" customFormat="false" ht="14.25" hidden="false" customHeight="false" outlineLevel="0" collapsed="false">
      <c r="A70" s="11" t="s">
        <v>49</v>
      </c>
      <c r="B70" s="11" t="n">
        <v>30</v>
      </c>
      <c r="C70" s="11" t="n">
        <v>115</v>
      </c>
      <c r="D70" s="11" t="n">
        <v>12</v>
      </c>
      <c r="E70" s="11" t="n">
        <v>45.44</v>
      </c>
    </row>
    <row r="71" customFormat="false" ht="14.25" hidden="false" customHeight="false" outlineLevel="0" collapsed="false">
      <c r="A71" s="11" t="s">
        <v>51</v>
      </c>
      <c r="B71" s="11" t="n">
        <v>30</v>
      </c>
      <c r="C71" s="11" t="n">
        <v>115</v>
      </c>
      <c r="D71" s="11" t="n">
        <v>12</v>
      </c>
      <c r="E71" s="11" t="n">
        <v>45.25</v>
      </c>
    </row>
    <row r="72" customFormat="false" ht="14.25" hidden="false" customHeight="false" outlineLevel="0" collapsed="false">
      <c r="A72" s="11" t="s">
        <v>51</v>
      </c>
      <c r="B72" s="11" t="n">
        <v>30</v>
      </c>
      <c r="C72" s="11" t="n">
        <v>115</v>
      </c>
      <c r="D72" s="11" t="n">
        <v>34.5</v>
      </c>
      <c r="E72" s="11" t="n">
        <v>45.25</v>
      </c>
    </row>
    <row r="73" customFormat="false" ht="14.25" hidden="false" customHeight="false" outlineLevel="0" collapsed="false">
      <c r="A73" s="11" t="s">
        <v>51</v>
      </c>
      <c r="B73" s="11" t="n">
        <v>40</v>
      </c>
      <c r="C73" s="11" t="n">
        <v>115</v>
      </c>
      <c r="D73" s="11" t="n">
        <v>34.5</v>
      </c>
      <c r="E73" s="11" t="n">
        <v>45.25</v>
      </c>
    </row>
    <row r="74" customFormat="false" ht="14.25" hidden="false" customHeight="false" outlineLevel="0" collapsed="false">
      <c r="A74" s="11" t="s">
        <v>62</v>
      </c>
      <c r="B74" s="11" t="n">
        <v>30</v>
      </c>
      <c r="C74" s="11" t="n">
        <v>115</v>
      </c>
      <c r="D74" s="11" t="n">
        <v>13.8</v>
      </c>
      <c r="E74" s="11" t="n">
        <v>44.63</v>
      </c>
    </row>
    <row r="75" customFormat="false" ht="14.25" hidden="false" customHeight="false" outlineLevel="0" collapsed="false">
      <c r="A75" s="11" t="s">
        <v>62</v>
      </c>
      <c r="B75" s="11" t="n">
        <v>30</v>
      </c>
      <c r="C75" s="11" t="n">
        <v>115</v>
      </c>
      <c r="D75" s="11" t="n">
        <v>12</v>
      </c>
      <c r="E75" s="11" t="n">
        <v>44.63</v>
      </c>
    </row>
    <row r="76" customFormat="false" ht="14.25" hidden="false" customHeight="false" outlineLevel="0" collapsed="false">
      <c r="A76" s="11" t="s">
        <v>62</v>
      </c>
      <c r="B76" s="11" t="n">
        <v>40</v>
      </c>
      <c r="C76" s="11" t="n">
        <v>115</v>
      </c>
      <c r="D76" s="11" t="n">
        <v>12</v>
      </c>
      <c r="E76" s="11" t="n">
        <v>44.63</v>
      </c>
    </row>
    <row r="77" customFormat="false" ht="14.25" hidden="false" customHeight="false" outlineLevel="0" collapsed="false">
      <c r="A77" s="11" t="s">
        <v>63</v>
      </c>
      <c r="B77" s="11" t="n">
        <v>40</v>
      </c>
      <c r="C77" s="11" t="n">
        <v>115</v>
      </c>
      <c r="D77" s="11" t="n">
        <v>34.5</v>
      </c>
      <c r="E77" s="11" t="n">
        <v>43.08</v>
      </c>
    </row>
    <row r="78" customFormat="false" ht="14.25" hidden="false" customHeight="false" outlineLevel="0" collapsed="false">
      <c r="A78" s="11" t="s">
        <v>63</v>
      </c>
      <c r="B78" s="11" t="n">
        <v>40</v>
      </c>
      <c r="C78" s="11" t="n">
        <v>115</v>
      </c>
      <c r="D78" s="11" t="n">
        <v>34.5</v>
      </c>
      <c r="E78" s="11" t="n">
        <v>43.08</v>
      </c>
    </row>
    <row r="79" customFormat="false" ht="14.25" hidden="false" customHeight="false" outlineLevel="0" collapsed="false">
      <c r="A79" s="11" t="s">
        <v>63</v>
      </c>
      <c r="B79" s="11" t="n">
        <v>40</v>
      </c>
      <c r="C79" s="11" t="n">
        <v>115</v>
      </c>
      <c r="D79" s="11" t="n">
        <v>34.5</v>
      </c>
      <c r="E79" s="11" t="n">
        <v>43.08</v>
      </c>
    </row>
    <row r="80" customFormat="false" ht="14.25" hidden="false" customHeight="false" outlineLevel="0" collapsed="false">
      <c r="A80" s="11" t="s">
        <v>67</v>
      </c>
      <c r="B80" s="11" t="n">
        <v>30</v>
      </c>
      <c r="C80" s="11" t="n">
        <v>115</v>
      </c>
      <c r="D80" s="11" t="n">
        <v>12</v>
      </c>
      <c r="E80" s="11" t="n">
        <v>42.46</v>
      </c>
    </row>
    <row r="81" customFormat="false" ht="14.25" hidden="false" customHeight="false" outlineLevel="0" collapsed="false">
      <c r="A81" s="11" t="s">
        <v>67</v>
      </c>
      <c r="B81" s="11" t="n">
        <v>40</v>
      </c>
      <c r="C81" s="11" t="n">
        <v>115</v>
      </c>
      <c r="D81" s="11" t="n">
        <v>12</v>
      </c>
      <c r="E81" s="11" t="n">
        <v>42.46</v>
      </c>
    </row>
    <row r="82" customFormat="false" ht="14.25" hidden="false" customHeight="false" outlineLevel="0" collapsed="false">
      <c r="A82" s="11" t="s">
        <v>67</v>
      </c>
      <c r="B82" s="11" t="n">
        <v>40</v>
      </c>
      <c r="C82" s="11" t="n">
        <v>115</v>
      </c>
      <c r="D82" s="11" t="n">
        <v>12</v>
      </c>
      <c r="E82" s="11" t="n">
        <v>42.46</v>
      </c>
    </row>
    <row r="83" customFormat="false" ht="14.25" hidden="false" customHeight="false" outlineLevel="0" collapsed="false">
      <c r="A83" s="11" t="s">
        <v>68</v>
      </c>
      <c r="B83" s="11" t="n">
        <v>30</v>
      </c>
      <c r="C83" s="11" t="n">
        <v>115</v>
      </c>
      <c r="D83" s="11" t="n">
        <v>13.8</v>
      </c>
      <c r="E83" s="11" t="n">
        <v>41.93</v>
      </c>
    </row>
    <row r="84" customFormat="false" ht="14.25" hidden="false" customHeight="false" outlineLevel="0" collapsed="false">
      <c r="A84" s="11" t="s">
        <v>68</v>
      </c>
      <c r="B84" s="11" t="n">
        <v>40</v>
      </c>
      <c r="C84" s="11" t="n">
        <v>115</v>
      </c>
      <c r="D84" s="11" t="n">
        <v>12</v>
      </c>
      <c r="E84" s="11" t="n">
        <v>41.93</v>
      </c>
    </row>
    <row r="85" customFormat="false" ht="14.25" hidden="false" customHeight="false" outlineLevel="0" collapsed="false">
      <c r="A85" s="11" t="s">
        <v>68</v>
      </c>
      <c r="B85" s="11" t="n">
        <v>40</v>
      </c>
      <c r="C85" s="11" t="n">
        <v>115</v>
      </c>
      <c r="D85" s="11" t="n">
        <v>12</v>
      </c>
      <c r="E85" s="11" t="n">
        <v>41.93</v>
      </c>
    </row>
    <row r="86" customFormat="false" ht="14.25" hidden="false" customHeight="false" outlineLevel="0" collapsed="false">
      <c r="A86" s="11" t="s">
        <v>69</v>
      </c>
      <c r="B86" s="11" t="n">
        <v>30</v>
      </c>
      <c r="C86" s="11" t="n">
        <v>115</v>
      </c>
      <c r="D86" s="11" t="n">
        <v>34.5</v>
      </c>
      <c r="E86" s="11" t="n">
        <v>40.91</v>
      </c>
    </row>
    <row r="87" customFormat="false" ht="14.25" hidden="false" customHeight="false" outlineLevel="0" collapsed="false">
      <c r="A87" s="11" t="s">
        <v>69</v>
      </c>
      <c r="B87" s="11" t="n">
        <v>40</v>
      </c>
      <c r="C87" s="11" t="n">
        <v>115</v>
      </c>
      <c r="D87" s="11" t="n">
        <v>34.5</v>
      </c>
      <c r="E87" s="11" t="n">
        <v>40.91</v>
      </c>
    </row>
    <row r="88" customFormat="false" ht="14.25" hidden="false" customHeight="false" outlineLevel="0" collapsed="false">
      <c r="A88" s="11" t="s">
        <v>78</v>
      </c>
      <c r="B88" s="11" t="n">
        <v>30</v>
      </c>
      <c r="C88" s="11" t="n">
        <v>115</v>
      </c>
      <c r="D88" s="11" t="n">
        <v>12</v>
      </c>
      <c r="E88" s="11" t="n">
        <v>39.55</v>
      </c>
    </row>
    <row r="89" customFormat="false" ht="14.25" hidden="false" customHeight="false" outlineLevel="0" collapsed="false">
      <c r="A89" s="11" t="s">
        <v>78</v>
      </c>
      <c r="B89" s="11" t="n">
        <v>40</v>
      </c>
      <c r="C89" s="11" t="n">
        <v>115</v>
      </c>
      <c r="D89" s="11" t="n">
        <v>12</v>
      </c>
      <c r="E89" s="11" t="n">
        <v>39.55</v>
      </c>
    </row>
    <row r="90" customFormat="false" ht="14.25" hidden="false" customHeight="false" outlineLevel="0" collapsed="false">
      <c r="A90" s="11" t="s">
        <v>79</v>
      </c>
      <c r="B90" s="11" t="n">
        <v>40</v>
      </c>
      <c r="C90" s="11" t="n">
        <v>115</v>
      </c>
      <c r="D90" s="11" t="n">
        <v>34.5</v>
      </c>
      <c r="E90" s="11" t="n">
        <v>38.73</v>
      </c>
    </row>
    <row r="91" customFormat="false" ht="14.25" hidden="false" customHeight="false" outlineLevel="0" collapsed="false">
      <c r="A91" s="11" t="s">
        <v>79</v>
      </c>
      <c r="B91" s="11" t="n">
        <v>30</v>
      </c>
      <c r="C91" s="11" t="n">
        <v>115</v>
      </c>
      <c r="D91" s="11" t="n">
        <v>12</v>
      </c>
      <c r="E91" s="11" t="n">
        <v>38.73</v>
      </c>
    </row>
    <row r="92" customFormat="false" ht="14.25" hidden="false" customHeight="false" outlineLevel="0" collapsed="false">
      <c r="A92" s="11" t="s">
        <v>79</v>
      </c>
      <c r="B92" s="11" t="n">
        <v>30</v>
      </c>
      <c r="C92" s="11" t="n">
        <v>115</v>
      </c>
      <c r="D92" s="11" t="n">
        <v>12</v>
      </c>
      <c r="E92" s="11" t="n">
        <v>38.73</v>
      </c>
    </row>
    <row r="93" customFormat="false" ht="14.25" hidden="false" customHeight="false" outlineLevel="0" collapsed="false">
      <c r="A93" s="11" t="s">
        <v>79</v>
      </c>
      <c r="B93" s="11" t="n">
        <v>30</v>
      </c>
      <c r="C93" s="11" t="n">
        <v>115</v>
      </c>
      <c r="D93" s="11" t="n">
        <v>12</v>
      </c>
      <c r="E93" s="11" t="n">
        <v>38.73</v>
      </c>
    </row>
    <row r="94" customFormat="false" ht="14.25" hidden="false" customHeight="false" outlineLevel="0" collapsed="false">
      <c r="A94" s="11" t="s">
        <v>79</v>
      </c>
      <c r="B94" s="11" t="n">
        <v>40</v>
      </c>
      <c r="C94" s="11" t="n">
        <v>115</v>
      </c>
      <c r="D94" s="11" t="n">
        <v>34.5</v>
      </c>
      <c r="E94" s="11" t="n">
        <v>38.73</v>
      </c>
    </row>
    <row r="95" customFormat="false" ht="14.25" hidden="false" customHeight="false" outlineLevel="0" collapsed="false">
      <c r="A95" s="11" t="s">
        <v>79</v>
      </c>
      <c r="B95" s="11" t="n">
        <v>40</v>
      </c>
      <c r="C95" s="11" t="n">
        <v>115</v>
      </c>
      <c r="D95" s="11" t="n">
        <v>34.5</v>
      </c>
      <c r="E95" s="11" t="n">
        <v>38.73</v>
      </c>
    </row>
    <row r="96" customFormat="false" ht="14.25" hidden="false" customHeight="false" outlineLevel="0" collapsed="false">
      <c r="A96" s="11" t="s">
        <v>82</v>
      </c>
      <c r="B96" s="11" t="n">
        <v>30</v>
      </c>
      <c r="C96" s="11" t="n">
        <v>115</v>
      </c>
      <c r="D96" s="11" t="n">
        <v>12</v>
      </c>
      <c r="E96" s="11" t="n">
        <v>37.49</v>
      </c>
    </row>
    <row r="97" customFormat="false" ht="14.25" hidden="false" customHeight="false" outlineLevel="0" collapsed="false">
      <c r="A97" s="11" t="s">
        <v>82</v>
      </c>
      <c r="B97" s="11" t="n">
        <v>30</v>
      </c>
      <c r="C97" s="11" t="n">
        <v>115</v>
      </c>
      <c r="D97" s="11" t="n">
        <v>12</v>
      </c>
      <c r="E97" s="11" t="n">
        <v>37.49</v>
      </c>
    </row>
    <row r="98" customFormat="false" ht="14.25" hidden="false" customHeight="false" outlineLevel="0" collapsed="false">
      <c r="A98" s="11" t="s">
        <v>83</v>
      </c>
      <c r="B98" s="11" t="n">
        <v>30</v>
      </c>
      <c r="C98" s="11" t="n">
        <v>115</v>
      </c>
      <c r="D98" s="11" t="n">
        <v>12</v>
      </c>
      <c r="E98" s="11" t="n">
        <v>36.35</v>
      </c>
    </row>
    <row r="99" customFormat="false" ht="14.25" hidden="false" customHeight="false" outlineLevel="0" collapsed="false">
      <c r="A99" s="11" t="s">
        <v>83</v>
      </c>
      <c r="B99" s="11" t="n">
        <v>30</v>
      </c>
      <c r="C99" s="11" t="n">
        <v>115</v>
      </c>
      <c r="D99" s="11" t="n">
        <v>34.5</v>
      </c>
      <c r="E99" s="11" t="n">
        <v>36.35</v>
      </c>
    </row>
    <row r="100" customFormat="false" ht="14.25" hidden="false" customHeight="false" outlineLevel="0" collapsed="false">
      <c r="A100" s="11" t="s">
        <v>83</v>
      </c>
      <c r="B100" s="11" t="n">
        <v>40</v>
      </c>
      <c r="C100" s="11" t="n">
        <v>115</v>
      </c>
      <c r="D100" s="11" t="n">
        <v>12</v>
      </c>
      <c r="E100" s="11" t="n">
        <v>36.35</v>
      </c>
    </row>
    <row r="101" customFormat="false" ht="14.25" hidden="false" customHeight="false" outlineLevel="0" collapsed="false">
      <c r="A101" s="11" t="s">
        <v>83</v>
      </c>
      <c r="B101" s="11" t="n">
        <v>40</v>
      </c>
      <c r="C101" s="11" t="n">
        <v>115</v>
      </c>
      <c r="D101" s="11" t="n">
        <v>34.5</v>
      </c>
      <c r="E101" s="11" t="n">
        <v>36.35</v>
      </c>
    </row>
    <row r="102" customFormat="false" ht="14.25" hidden="false" customHeight="false" outlineLevel="0" collapsed="false">
      <c r="A102" s="11" t="s">
        <v>90</v>
      </c>
      <c r="B102" s="11" t="n">
        <v>30</v>
      </c>
      <c r="C102" s="11" t="n">
        <v>115</v>
      </c>
      <c r="D102" s="11" t="n">
        <v>11.4</v>
      </c>
      <c r="E102" s="11" t="n">
        <v>33.55</v>
      </c>
    </row>
    <row r="103" customFormat="false" ht="14.25" hidden="false" customHeight="false" outlineLevel="0" collapsed="false">
      <c r="A103" s="11" t="s">
        <v>90</v>
      </c>
      <c r="B103" s="11" t="n">
        <v>30</v>
      </c>
      <c r="C103" s="11" t="n">
        <v>115</v>
      </c>
      <c r="D103" s="11" t="n">
        <v>12</v>
      </c>
      <c r="E103" s="11" t="n">
        <v>33.55</v>
      </c>
    </row>
    <row r="104" customFormat="false" ht="14.25" hidden="false" customHeight="false" outlineLevel="0" collapsed="false">
      <c r="A104" s="11" t="s">
        <v>92</v>
      </c>
      <c r="B104" s="11" t="n">
        <v>40</v>
      </c>
      <c r="C104" s="11" t="n">
        <v>115</v>
      </c>
      <c r="D104" s="11" t="n">
        <v>34.5</v>
      </c>
      <c r="E104" s="11" t="n">
        <v>31.95</v>
      </c>
    </row>
    <row r="105" customFormat="false" ht="14.25" hidden="false" customHeight="false" outlineLevel="0" collapsed="false">
      <c r="A105" s="11" t="s">
        <v>92</v>
      </c>
      <c r="B105" s="11" t="n">
        <v>35</v>
      </c>
      <c r="C105" s="11" t="n">
        <v>115</v>
      </c>
      <c r="D105" s="11" t="n">
        <v>34.5</v>
      </c>
      <c r="E105" s="11" t="n">
        <v>31.95</v>
      </c>
    </row>
    <row r="106" customFormat="false" ht="14.25" hidden="false" customHeight="false" outlineLevel="0" collapsed="false">
      <c r="A106" s="11" t="s">
        <v>92</v>
      </c>
      <c r="B106" s="11" t="n">
        <v>10</v>
      </c>
      <c r="C106" s="11" t="n">
        <v>34.5</v>
      </c>
      <c r="D106" s="11" t="n">
        <v>13.8</v>
      </c>
      <c r="E106" s="11" t="n">
        <v>31.95</v>
      </c>
    </row>
    <row r="107" customFormat="false" ht="14.25" hidden="false" customHeight="false" outlineLevel="0" collapsed="false">
      <c r="A107" s="11" t="s">
        <v>92</v>
      </c>
      <c r="B107" s="11" t="n">
        <v>12.5</v>
      </c>
      <c r="C107" s="11" t="n">
        <v>34.5</v>
      </c>
      <c r="D107" s="11" t="n">
        <v>13.8</v>
      </c>
      <c r="E107" s="11" t="n">
        <v>31.95</v>
      </c>
    </row>
    <row r="108" customFormat="false" ht="14.25" hidden="false" customHeight="false" outlineLevel="0" collapsed="false">
      <c r="A108" s="11" t="s">
        <v>101</v>
      </c>
      <c r="B108" s="11" t="n">
        <v>30</v>
      </c>
      <c r="C108" s="11" t="n">
        <v>57.5</v>
      </c>
      <c r="D108" s="11" t="n">
        <v>12</v>
      </c>
      <c r="E108" s="11" t="n">
        <v>30.64</v>
      </c>
    </row>
    <row r="109" customFormat="false" ht="14.25" hidden="false" customHeight="false" outlineLevel="0" collapsed="false">
      <c r="A109" s="11" t="s">
        <v>101</v>
      </c>
      <c r="B109" s="11" t="n">
        <v>30</v>
      </c>
      <c r="C109" s="11" t="n">
        <v>57.5</v>
      </c>
      <c r="D109" s="11" t="n">
        <v>12</v>
      </c>
      <c r="E109" s="11" t="n">
        <v>30.64</v>
      </c>
    </row>
    <row r="110" customFormat="false" ht="14.25" hidden="false" customHeight="false" outlineLevel="0" collapsed="false">
      <c r="A110" s="11" t="s">
        <v>103</v>
      </c>
      <c r="B110" s="11" t="n">
        <v>30</v>
      </c>
      <c r="C110" s="11" t="n">
        <v>115</v>
      </c>
      <c r="D110" s="11" t="n">
        <v>12</v>
      </c>
      <c r="E110" s="11" t="n">
        <v>28.58</v>
      </c>
    </row>
    <row r="111" customFormat="false" ht="14.25" hidden="false" customHeight="false" outlineLevel="0" collapsed="false">
      <c r="A111" s="11" t="s">
        <v>103</v>
      </c>
      <c r="B111" s="11" t="n">
        <v>30</v>
      </c>
      <c r="C111" s="11" t="n">
        <v>115</v>
      </c>
      <c r="D111" s="11" t="n">
        <v>12</v>
      </c>
      <c r="E111" s="11" t="n">
        <v>28.58</v>
      </c>
    </row>
    <row r="112" customFormat="false" ht="14.25" hidden="false" customHeight="false" outlineLevel="0" collapsed="false">
      <c r="A112" s="11" t="s">
        <v>103</v>
      </c>
      <c r="B112" s="11" t="n">
        <v>20</v>
      </c>
      <c r="C112" s="11" t="n">
        <v>115</v>
      </c>
      <c r="D112" s="11" t="n">
        <v>11.4</v>
      </c>
      <c r="E112" s="11" t="n">
        <v>28.58</v>
      </c>
    </row>
    <row r="113" customFormat="false" ht="14.25" hidden="false" customHeight="false" outlineLevel="0" collapsed="false">
      <c r="A113" s="11" t="s">
        <v>105</v>
      </c>
      <c r="B113" s="11" t="n">
        <v>30</v>
      </c>
      <c r="C113" s="11" t="n">
        <v>115</v>
      </c>
      <c r="D113" s="11" t="n">
        <v>12</v>
      </c>
      <c r="E113" s="11" t="n">
        <v>27.84</v>
      </c>
    </row>
    <row r="114" customFormat="false" ht="14.25" hidden="false" customHeight="false" outlineLevel="0" collapsed="false">
      <c r="A114" s="11" t="s">
        <v>105</v>
      </c>
      <c r="B114" s="11" t="n">
        <v>30</v>
      </c>
      <c r="C114" s="11" t="n">
        <v>115</v>
      </c>
      <c r="D114" s="11" t="n">
        <v>12</v>
      </c>
      <c r="E114" s="11" t="n">
        <v>27.84</v>
      </c>
    </row>
    <row r="115" customFormat="false" ht="14.25" hidden="false" customHeight="false" outlineLevel="0" collapsed="false">
      <c r="A115" s="11" t="s">
        <v>107</v>
      </c>
      <c r="B115" s="11" t="n">
        <v>12</v>
      </c>
      <c r="C115" s="11" t="n">
        <v>115</v>
      </c>
      <c r="D115" s="11" t="n">
        <v>13.8</v>
      </c>
      <c r="E115" s="11" t="n">
        <v>26.41</v>
      </c>
    </row>
    <row r="116" customFormat="false" ht="14.25" hidden="false" customHeight="false" outlineLevel="0" collapsed="false">
      <c r="A116" s="11" t="s">
        <v>107</v>
      </c>
      <c r="B116" s="11" t="n">
        <v>40</v>
      </c>
      <c r="C116" s="11" t="n">
        <v>115</v>
      </c>
      <c r="D116" s="11" t="n">
        <v>34.5</v>
      </c>
      <c r="E116" s="11" t="n">
        <v>26.41</v>
      </c>
    </row>
    <row r="117" customFormat="false" ht="14.25" hidden="false" customHeight="false" outlineLevel="0" collapsed="false">
      <c r="A117" s="11" t="s">
        <v>107</v>
      </c>
      <c r="B117" s="11" t="n">
        <v>30</v>
      </c>
      <c r="C117" s="11" t="n">
        <v>115</v>
      </c>
      <c r="D117" s="11" t="n">
        <v>34.5</v>
      </c>
      <c r="E117" s="11" t="n">
        <v>26.41</v>
      </c>
    </row>
    <row r="118" customFormat="false" ht="14.25" hidden="false" customHeight="false" outlineLevel="0" collapsed="false">
      <c r="A118" s="11" t="s">
        <v>107</v>
      </c>
      <c r="B118" s="11" t="n">
        <v>25</v>
      </c>
      <c r="C118" s="11" t="n">
        <v>115</v>
      </c>
      <c r="D118" s="11" t="n">
        <v>11.4</v>
      </c>
      <c r="E118" s="11" t="n">
        <v>26.41</v>
      </c>
    </row>
    <row r="119" customFormat="false" ht="14.25" hidden="false" customHeight="false" outlineLevel="0" collapsed="false">
      <c r="A119" s="11" t="s">
        <v>107</v>
      </c>
      <c r="B119" s="11" t="n">
        <v>25</v>
      </c>
      <c r="C119" s="11" t="n">
        <v>115</v>
      </c>
      <c r="D119" s="11" t="n">
        <v>11.4</v>
      </c>
      <c r="E119" s="11" t="n">
        <v>26.41</v>
      </c>
    </row>
    <row r="120" customFormat="false" ht="14.25" hidden="false" customHeight="false" outlineLevel="0" collapsed="false">
      <c r="A120" s="11" t="s">
        <v>114</v>
      </c>
      <c r="B120" s="11" t="n">
        <v>30</v>
      </c>
      <c r="C120" s="11" t="n">
        <v>115</v>
      </c>
      <c r="D120" s="11" t="n">
        <v>12</v>
      </c>
      <c r="E120" s="11" t="n">
        <v>25.58</v>
      </c>
    </row>
    <row r="121" customFormat="false" ht="14.25" hidden="false" customHeight="false" outlineLevel="0" collapsed="false">
      <c r="A121" s="11" t="s">
        <v>114</v>
      </c>
      <c r="B121" s="11" t="n">
        <v>30</v>
      </c>
      <c r="C121" s="11" t="n">
        <v>115</v>
      </c>
      <c r="D121" s="11" t="n">
        <v>12</v>
      </c>
      <c r="E121" s="11" t="n">
        <v>25.58</v>
      </c>
    </row>
    <row r="122" customFormat="false" ht="14.25" hidden="false" customHeight="false" outlineLevel="0" collapsed="false">
      <c r="A122" s="11" t="s">
        <v>114</v>
      </c>
      <c r="B122" s="11" t="n">
        <v>3</v>
      </c>
      <c r="C122" s="11" t="n">
        <v>13.2</v>
      </c>
      <c r="D122" s="11" t="n">
        <v>11.4</v>
      </c>
      <c r="E122" s="11" t="n">
        <v>25.58</v>
      </c>
    </row>
    <row r="123" customFormat="false" ht="14.25" hidden="false" customHeight="false" outlineLevel="0" collapsed="false">
      <c r="A123" s="11" t="s">
        <v>145</v>
      </c>
      <c r="B123" s="11" t="n">
        <v>60</v>
      </c>
      <c r="C123" s="11" t="n">
        <v>131.635</v>
      </c>
      <c r="D123" s="11" t="n">
        <v>13.8</v>
      </c>
      <c r="E123" s="11" t="n">
        <v>25.48</v>
      </c>
    </row>
    <row r="124" customFormat="false" ht="14.25" hidden="false" customHeight="false" outlineLevel="0" collapsed="false">
      <c r="A124" s="11" t="s">
        <v>118</v>
      </c>
      <c r="B124" s="11" t="n">
        <v>40</v>
      </c>
      <c r="C124" s="11" t="n">
        <v>115</v>
      </c>
      <c r="D124" s="11" t="n">
        <v>34.5</v>
      </c>
      <c r="E124" s="11" t="n">
        <v>24.86</v>
      </c>
    </row>
    <row r="125" customFormat="false" ht="14.25" hidden="false" customHeight="false" outlineLevel="0" collapsed="false">
      <c r="A125" s="11" t="s">
        <v>118</v>
      </c>
      <c r="B125" s="11" t="n">
        <v>12.5</v>
      </c>
      <c r="C125" s="11" t="n">
        <v>34.5</v>
      </c>
      <c r="D125" s="11" t="n">
        <v>13.2</v>
      </c>
      <c r="E125" s="11" t="n">
        <v>24.86</v>
      </c>
    </row>
    <row r="126" customFormat="false" ht="14.25" hidden="false" customHeight="false" outlineLevel="0" collapsed="false">
      <c r="A126" s="11" t="s">
        <v>129</v>
      </c>
      <c r="B126" s="11" t="n">
        <v>40</v>
      </c>
      <c r="C126" s="11" t="n">
        <v>115</v>
      </c>
      <c r="D126" s="11" t="n">
        <v>12</v>
      </c>
      <c r="E126" s="11" t="n">
        <v>23.09</v>
      </c>
    </row>
    <row r="127" customFormat="false" ht="14.25" hidden="false" customHeight="false" outlineLevel="0" collapsed="false">
      <c r="A127" s="11" t="s">
        <v>129</v>
      </c>
      <c r="B127" s="11" t="n">
        <v>40</v>
      </c>
      <c r="C127" s="11" t="n">
        <v>115</v>
      </c>
      <c r="D127" s="11" t="n">
        <v>12</v>
      </c>
      <c r="E127" s="11" t="n">
        <v>23.09</v>
      </c>
    </row>
    <row r="128" customFormat="false" ht="14.25" hidden="false" customHeight="false" outlineLevel="0" collapsed="false">
      <c r="A128" s="11" t="s">
        <v>140</v>
      </c>
      <c r="B128" s="11" t="n">
        <v>30</v>
      </c>
      <c r="C128" s="11" t="n">
        <v>115</v>
      </c>
      <c r="D128" s="11" t="n">
        <v>12</v>
      </c>
      <c r="E128" s="11" t="n">
        <v>22.57</v>
      </c>
    </row>
    <row r="129" customFormat="false" ht="14.25" hidden="false" customHeight="false" outlineLevel="0" collapsed="false">
      <c r="A129" s="11" t="s">
        <v>140</v>
      </c>
      <c r="B129" s="11" t="n">
        <v>30</v>
      </c>
      <c r="C129" s="11" t="n">
        <v>115</v>
      </c>
      <c r="D129" s="11" t="n">
        <v>12</v>
      </c>
      <c r="E129" s="11" t="n">
        <v>22.57</v>
      </c>
    </row>
    <row r="130" customFormat="false" ht="14.25" hidden="false" customHeight="false" outlineLevel="0" collapsed="false">
      <c r="A130" s="11" t="s">
        <v>130</v>
      </c>
      <c r="B130" s="11" t="n">
        <v>20</v>
      </c>
      <c r="C130" s="11" t="n">
        <v>115</v>
      </c>
      <c r="D130" s="11" t="n">
        <v>34.5</v>
      </c>
      <c r="E130" s="11" t="n">
        <v>22.57</v>
      </c>
    </row>
    <row r="131" customFormat="false" ht="14.25" hidden="false" customHeight="false" outlineLevel="0" collapsed="false">
      <c r="A131" s="11" t="s">
        <v>130</v>
      </c>
      <c r="B131" s="11" t="n">
        <v>30</v>
      </c>
      <c r="C131" s="11" t="n">
        <v>115</v>
      </c>
      <c r="D131" s="11" t="n">
        <v>34.5</v>
      </c>
      <c r="E131" s="11" t="n">
        <v>22.57</v>
      </c>
    </row>
    <row r="132" customFormat="false" ht="14.25" hidden="false" customHeight="false" outlineLevel="0" collapsed="false">
      <c r="A132" s="11" t="s">
        <v>142</v>
      </c>
      <c r="B132" s="11" t="n">
        <v>40</v>
      </c>
      <c r="C132" s="11" t="n">
        <v>115</v>
      </c>
      <c r="D132" s="11" t="n">
        <v>12</v>
      </c>
      <c r="E132" s="11" t="n">
        <v>21.64</v>
      </c>
    </row>
    <row r="133" customFormat="false" ht="14.25" hidden="false" customHeight="false" outlineLevel="0" collapsed="false">
      <c r="A133" s="11" t="s">
        <v>142</v>
      </c>
      <c r="B133" s="11" t="n">
        <v>40</v>
      </c>
      <c r="C133" s="11" t="n">
        <v>115</v>
      </c>
      <c r="D133" s="11" t="n">
        <v>34.5</v>
      </c>
      <c r="E133" s="11" t="n">
        <v>21.64</v>
      </c>
    </row>
    <row r="134" customFormat="false" ht="14.25" hidden="false" customHeight="false" outlineLevel="0" collapsed="false">
      <c r="A134" s="11" t="s">
        <v>145</v>
      </c>
      <c r="B134" s="11" t="n">
        <v>60</v>
      </c>
      <c r="C134" s="11" t="n">
        <v>131.635</v>
      </c>
      <c r="D134" s="11" t="n">
        <v>13.8</v>
      </c>
      <c r="E134" s="11" t="n">
        <v>20.8</v>
      </c>
    </row>
    <row r="135" customFormat="false" ht="14.25" hidden="false" customHeight="false" outlineLevel="0" collapsed="false">
      <c r="A135" s="11" t="s">
        <v>148</v>
      </c>
      <c r="B135" s="11" t="n">
        <v>20</v>
      </c>
      <c r="C135" s="11" t="n">
        <v>115</v>
      </c>
      <c r="D135" s="11" t="n">
        <v>34.5</v>
      </c>
      <c r="E135" s="11" t="n">
        <v>19.15</v>
      </c>
    </row>
    <row r="136" customFormat="false" ht="14.25" hidden="false" customHeight="false" outlineLevel="0" collapsed="false">
      <c r="A136" s="11" t="s">
        <v>148</v>
      </c>
      <c r="B136" s="11" t="n">
        <v>20</v>
      </c>
      <c r="C136" s="11" t="n">
        <v>115</v>
      </c>
      <c r="D136" s="11" t="n">
        <v>34.5</v>
      </c>
      <c r="E136" s="11" t="n">
        <v>19.15</v>
      </c>
    </row>
    <row r="137" customFormat="false" ht="14.25" hidden="false" customHeight="false" outlineLevel="0" collapsed="false">
      <c r="A137" s="11" t="s">
        <v>142</v>
      </c>
      <c r="B137" s="11" t="n">
        <v>40</v>
      </c>
      <c r="C137" s="11" t="n">
        <v>115</v>
      </c>
      <c r="D137" s="11" t="n">
        <v>12</v>
      </c>
      <c r="E137" s="11" t="n">
        <v>14.95</v>
      </c>
    </row>
    <row r="138" customFormat="false" ht="14.25" hidden="false" customHeight="false" outlineLevel="0" collapsed="false">
      <c r="A138" s="11" t="s">
        <v>142</v>
      </c>
      <c r="B138" s="11" t="n">
        <v>40</v>
      </c>
      <c r="C138" s="11" t="n">
        <v>115</v>
      </c>
      <c r="D138" s="11" t="n">
        <v>34.5</v>
      </c>
      <c r="E138" s="11" t="n">
        <v>14.95</v>
      </c>
    </row>
    <row r="139" customFormat="false" ht="14.25" hidden="false" customHeight="false" outlineLevel="0" collapsed="false">
      <c r="A139" s="11" t="s">
        <v>114</v>
      </c>
      <c r="B139" s="11" t="n">
        <v>30</v>
      </c>
      <c r="C139" s="11" t="n">
        <v>115</v>
      </c>
      <c r="D139" s="11" t="n">
        <v>12</v>
      </c>
      <c r="E139" s="11" t="n">
        <v>13.66</v>
      </c>
    </row>
    <row r="140" customFormat="false" ht="14.25" hidden="false" customHeight="false" outlineLevel="0" collapsed="false">
      <c r="A140" s="11" t="s">
        <v>114</v>
      </c>
      <c r="B140" s="11" t="n">
        <v>30</v>
      </c>
      <c r="C140" s="11" t="n">
        <v>115</v>
      </c>
      <c r="D140" s="11" t="n">
        <v>12</v>
      </c>
      <c r="E140" s="11" t="n">
        <v>13.66</v>
      </c>
    </row>
    <row r="141" customFormat="false" ht="14.25" hidden="false" customHeight="false" outlineLevel="0" collapsed="false">
      <c r="A141" s="11" t="s">
        <v>114</v>
      </c>
      <c r="B141" s="11" t="n">
        <v>3</v>
      </c>
      <c r="C141" s="11" t="n">
        <v>13.2</v>
      </c>
      <c r="D141" s="11" t="n">
        <v>11.4</v>
      </c>
      <c r="E141" s="11" t="n">
        <v>13.66</v>
      </c>
    </row>
    <row r="142" customFormat="false" ht="14.25" hidden="false" customHeight="false" outlineLevel="0" collapsed="false">
      <c r="A142" s="11" t="s">
        <v>154</v>
      </c>
      <c r="B142" s="11" t="n">
        <v>40</v>
      </c>
      <c r="C142" s="11" t="n">
        <v>115</v>
      </c>
      <c r="D142" s="11" t="n">
        <v>12</v>
      </c>
      <c r="E142" s="11" t="n">
        <v>13.47</v>
      </c>
    </row>
    <row r="143" customFormat="false" ht="14.25" hidden="false" customHeight="false" outlineLevel="0" collapsed="false">
      <c r="A143" s="11" t="s">
        <v>52</v>
      </c>
      <c r="B143" s="11" t="n">
        <v>10</v>
      </c>
      <c r="C143" s="11" t="n">
        <v>34.5</v>
      </c>
      <c r="D143" s="11" t="n">
        <v>11.96</v>
      </c>
      <c r="E143" s="11" t="n">
        <v>13.06</v>
      </c>
    </row>
    <row r="144" customFormat="false" ht="14.25" hidden="false" customHeight="false" outlineLevel="0" collapsed="false">
      <c r="A144" s="11" t="s">
        <v>52</v>
      </c>
      <c r="B144" s="11" t="n">
        <v>10</v>
      </c>
      <c r="C144" s="11" t="n">
        <v>34.5</v>
      </c>
      <c r="D144" s="11" t="n">
        <v>12</v>
      </c>
      <c r="E144" s="11" t="n">
        <v>13.06</v>
      </c>
    </row>
    <row r="145" customFormat="false" ht="14.25" hidden="false" customHeight="false" outlineLevel="0" collapsed="false">
      <c r="A145" s="11" t="s">
        <v>98</v>
      </c>
      <c r="B145" s="11" t="n">
        <v>7.5</v>
      </c>
      <c r="C145" s="11" t="n">
        <v>34.5</v>
      </c>
      <c r="D145" s="11" t="n">
        <v>13.8</v>
      </c>
      <c r="E145" s="11" t="n">
        <v>10.5</v>
      </c>
    </row>
    <row r="146" customFormat="false" ht="14.25" hidden="false" customHeight="false" outlineLevel="0" collapsed="false">
      <c r="A146" s="11" t="s">
        <v>98</v>
      </c>
      <c r="B146" s="11" t="n">
        <v>10</v>
      </c>
      <c r="C146" s="11" t="n">
        <v>34.5</v>
      </c>
      <c r="D146" s="11" t="n">
        <v>11.4</v>
      </c>
      <c r="E146" s="11" t="n">
        <v>10.5</v>
      </c>
    </row>
    <row r="147" customFormat="false" ht="14.25" hidden="false" customHeight="false" outlineLevel="0" collapsed="false">
      <c r="A147" s="11" t="s">
        <v>184</v>
      </c>
      <c r="B147" s="11" t="n">
        <v>20</v>
      </c>
      <c r="C147" s="11" t="n">
        <v>115</v>
      </c>
      <c r="D147" s="11" t="n">
        <v>34.5</v>
      </c>
      <c r="E147" s="11" t="n">
        <v>10.36</v>
      </c>
    </row>
    <row r="148" customFormat="false" ht="14.25" hidden="false" customHeight="false" outlineLevel="0" collapsed="false">
      <c r="A148" s="11" t="s">
        <v>184</v>
      </c>
      <c r="B148" s="11" t="n">
        <v>40</v>
      </c>
      <c r="C148" s="11" t="n">
        <v>230</v>
      </c>
      <c r="D148" s="11" t="n">
        <v>34.5</v>
      </c>
      <c r="E148" s="11" t="n">
        <v>10.36</v>
      </c>
    </row>
    <row r="149" customFormat="false" ht="14.25" hidden="false" customHeight="false" outlineLevel="0" collapsed="false">
      <c r="A149" s="11" t="s">
        <v>31</v>
      </c>
      <c r="B149" s="11" t="n">
        <v>12.5</v>
      </c>
      <c r="C149" s="11" t="n">
        <v>34.5</v>
      </c>
      <c r="D149" s="11" t="n">
        <v>11.4</v>
      </c>
      <c r="E149" s="11" t="n">
        <v>10.01</v>
      </c>
    </row>
    <row r="150" customFormat="false" ht="14.25" hidden="false" customHeight="false" outlineLevel="0" collapsed="false">
      <c r="A150" s="11" t="s">
        <v>31</v>
      </c>
      <c r="B150" s="11" t="n">
        <v>10</v>
      </c>
      <c r="C150" s="11" t="n">
        <v>34.5</v>
      </c>
      <c r="D150" s="11" t="n">
        <v>12</v>
      </c>
      <c r="E150" s="11" t="n">
        <v>10.01</v>
      </c>
    </row>
    <row r="151" customFormat="false" ht="14.25" hidden="false" customHeight="false" outlineLevel="0" collapsed="false">
      <c r="A151" s="11" t="s">
        <v>12</v>
      </c>
      <c r="B151" s="11" t="n">
        <v>10</v>
      </c>
      <c r="C151" s="11" t="n">
        <v>34.5</v>
      </c>
      <c r="D151" s="11" t="n">
        <v>11.4</v>
      </c>
      <c r="E151" s="11" t="n">
        <v>9.01</v>
      </c>
    </row>
    <row r="152" customFormat="false" ht="14.25" hidden="false" customHeight="false" outlineLevel="0" collapsed="false">
      <c r="A152" s="11" t="s">
        <v>12</v>
      </c>
      <c r="B152" s="11" t="n">
        <v>10</v>
      </c>
      <c r="C152" s="11" t="n">
        <v>34.5</v>
      </c>
      <c r="D152" s="11" t="n">
        <v>13.2</v>
      </c>
      <c r="E152" s="11" t="n">
        <v>9.01</v>
      </c>
    </row>
    <row r="153" customFormat="false" ht="14.25" hidden="false" customHeight="false" outlineLevel="0" collapsed="false">
      <c r="A153" s="11" t="s">
        <v>161</v>
      </c>
      <c r="B153" s="11" t="n">
        <v>40</v>
      </c>
      <c r="C153" s="11" t="n">
        <v>115</v>
      </c>
      <c r="E153" s="11" t="n">
        <v>8.19</v>
      </c>
    </row>
    <row r="154" customFormat="false" ht="14.25" hidden="false" customHeight="false" outlineLevel="0" collapsed="false">
      <c r="A154" s="11" t="s">
        <v>161</v>
      </c>
      <c r="B154" s="11" t="n">
        <v>40</v>
      </c>
      <c r="C154" s="11" t="n">
        <v>115</v>
      </c>
      <c r="E154" s="11" t="n">
        <v>8.19</v>
      </c>
    </row>
    <row r="155" customFormat="false" ht="14.25" hidden="false" customHeight="false" outlineLevel="0" collapsed="false">
      <c r="A155" s="11" t="s">
        <v>161</v>
      </c>
      <c r="B155" s="11" t="n">
        <v>40</v>
      </c>
      <c r="C155" s="11" t="n">
        <v>115</v>
      </c>
      <c r="E155" s="11" t="n">
        <v>8.19</v>
      </c>
    </row>
    <row r="156" customFormat="false" ht="14.25" hidden="false" customHeight="false" outlineLevel="0" collapsed="false">
      <c r="A156" s="11" t="s">
        <v>121</v>
      </c>
      <c r="B156" s="11" t="n">
        <v>10</v>
      </c>
      <c r="C156" s="11" t="n">
        <v>34.5</v>
      </c>
      <c r="D156" s="11" t="n">
        <v>13.2</v>
      </c>
      <c r="E156" s="11" t="n">
        <v>7.77</v>
      </c>
    </row>
    <row r="157" customFormat="false" ht="14.25" hidden="false" customHeight="false" outlineLevel="0" collapsed="false">
      <c r="A157" s="11" t="s">
        <v>163</v>
      </c>
      <c r="B157" s="11" t="n">
        <v>40</v>
      </c>
      <c r="C157" s="11" t="n">
        <v>57</v>
      </c>
      <c r="D157" s="11" t="n">
        <v>12</v>
      </c>
      <c r="E157" s="11" t="n">
        <v>6.42</v>
      </c>
    </row>
    <row r="158" customFormat="false" ht="14.25" hidden="false" customHeight="false" outlineLevel="0" collapsed="false">
      <c r="A158" s="11" t="s">
        <v>113</v>
      </c>
      <c r="B158" s="11" t="n">
        <v>5</v>
      </c>
      <c r="C158" s="11" t="n">
        <v>34.5</v>
      </c>
      <c r="D158" s="11" t="n">
        <v>13.8</v>
      </c>
      <c r="E158" s="11" t="n">
        <v>6.17</v>
      </c>
    </row>
    <row r="159" customFormat="false" ht="14.25" hidden="false" customHeight="false" outlineLevel="0" collapsed="false">
      <c r="A159" s="11" t="s">
        <v>113</v>
      </c>
      <c r="B159" s="11" t="n">
        <v>6</v>
      </c>
      <c r="C159" s="11" t="n">
        <v>34.5</v>
      </c>
      <c r="D159" s="11" t="n">
        <v>13.8</v>
      </c>
      <c r="E159" s="11" t="n">
        <v>6.17</v>
      </c>
    </row>
    <row r="160" customFormat="false" ht="14.25" hidden="false" customHeight="false" outlineLevel="0" collapsed="false">
      <c r="A160" s="11" t="s">
        <v>167</v>
      </c>
      <c r="B160" s="11" t="n">
        <v>5</v>
      </c>
      <c r="C160" s="11" t="n">
        <v>34.5</v>
      </c>
      <c r="D160" s="11" t="n">
        <v>13.2</v>
      </c>
      <c r="E160" s="11" t="n">
        <v>6.01</v>
      </c>
    </row>
    <row r="161" customFormat="false" ht="14.25" hidden="false" customHeight="false" outlineLevel="0" collapsed="false">
      <c r="A161" s="11" t="s">
        <v>167</v>
      </c>
      <c r="B161" s="11" t="n">
        <v>5</v>
      </c>
      <c r="C161" s="11" t="n">
        <v>34.5</v>
      </c>
      <c r="D161" s="11" t="n">
        <v>13.8</v>
      </c>
      <c r="E161" s="11" t="n">
        <v>6.01</v>
      </c>
    </row>
    <row r="162" customFormat="false" ht="14.25" hidden="false" customHeight="false" outlineLevel="0" collapsed="false">
      <c r="A162" s="11" t="s">
        <v>170</v>
      </c>
      <c r="B162" s="11" t="n">
        <v>10</v>
      </c>
      <c r="C162" s="11" t="n">
        <v>34.5</v>
      </c>
      <c r="D162" s="11" t="n">
        <v>13.8</v>
      </c>
      <c r="E162" s="11" t="n">
        <v>6.01</v>
      </c>
    </row>
    <row r="163" customFormat="false" ht="14.25" hidden="false" customHeight="false" outlineLevel="0" collapsed="false">
      <c r="A163" s="11" t="s">
        <v>170</v>
      </c>
      <c r="B163" s="11" t="n">
        <v>7.5</v>
      </c>
      <c r="C163" s="11" t="n">
        <v>34.5</v>
      </c>
      <c r="D163" s="11" t="n">
        <v>13.8</v>
      </c>
      <c r="E163" s="11" t="n">
        <v>6.01</v>
      </c>
    </row>
    <row r="164" customFormat="false" ht="14.25" hidden="false" customHeight="false" outlineLevel="0" collapsed="false">
      <c r="A164" s="11" t="s">
        <v>173</v>
      </c>
      <c r="B164" s="11" t="n">
        <v>40</v>
      </c>
      <c r="C164" s="11" t="n">
        <v>115</v>
      </c>
      <c r="D164" s="11" t="n">
        <v>34.5</v>
      </c>
      <c r="E164" s="11" t="n">
        <v>5.85</v>
      </c>
    </row>
    <row r="165" customFormat="false" ht="14.25" hidden="false" customHeight="false" outlineLevel="0" collapsed="false">
      <c r="A165" s="11" t="s">
        <v>173</v>
      </c>
      <c r="B165" s="11" t="n">
        <v>40</v>
      </c>
      <c r="C165" s="11" t="n">
        <v>115</v>
      </c>
      <c r="D165" s="11" t="n">
        <v>34.5</v>
      </c>
      <c r="E165" s="11" t="n">
        <v>5.85</v>
      </c>
    </row>
    <row r="166" customFormat="false" ht="14.25" hidden="false" customHeight="false" outlineLevel="0" collapsed="false">
      <c r="A166" s="11" t="s">
        <v>84</v>
      </c>
      <c r="B166" s="11" t="n">
        <v>5</v>
      </c>
      <c r="C166" s="11" t="n">
        <v>34.5</v>
      </c>
      <c r="D166" s="11" t="n">
        <v>13.8</v>
      </c>
      <c r="E166" s="11" t="n">
        <v>5.83</v>
      </c>
    </row>
    <row r="167" customFormat="false" ht="14.25" hidden="false" customHeight="false" outlineLevel="0" collapsed="false">
      <c r="A167" s="11" t="s">
        <v>72</v>
      </c>
      <c r="B167" s="11" t="n">
        <v>10</v>
      </c>
      <c r="C167" s="11" t="n">
        <v>34.5</v>
      </c>
      <c r="D167" s="11" t="n">
        <v>13.2</v>
      </c>
      <c r="E167" s="11" t="n">
        <v>5.72</v>
      </c>
    </row>
    <row r="168" customFormat="false" ht="14.25" hidden="false" customHeight="false" outlineLevel="0" collapsed="false">
      <c r="A168" s="11" t="s">
        <v>72</v>
      </c>
      <c r="B168" s="11" t="n">
        <v>5</v>
      </c>
      <c r="C168" s="11" t="n">
        <v>34.5</v>
      </c>
      <c r="D168" s="11" t="n">
        <v>13.6</v>
      </c>
      <c r="E168" s="11" t="n">
        <v>5.72</v>
      </c>
    </row>
    <row r="169" customFormat="false" ht="14.25" hidden="false" customHeight="false" outlineLevel="0" collapsed="false">
      <c r="A169" s="11" t="s">
        <v>149</v>
      </c>
      <c r="B169" s="11" t="n">
        <v>2.5</v>
      </c>
      <c r="C169" s="11" t="n">
        <v>34.5</v>
      </c>
      <c r="D169" s="11" t="n">
        <v>11.8</v>
      </c>
      <c r="E169" s="11" t="n">
        <v>5.28</v>
      </c>
    </row>
    <row r="170" customFormat="false" ht="14.25" hidden="false" customHeight="false" outlineLevel="0" collapsed="false">
      <c r="A170" s="11" t="s">
        <v>149</v>
      </c>
      <c r="B170" s="11" t="n">
        <v>5</v>
      </c>
      <c r="C170" s="11" t="n">
        <v>34.5</v>
      </c>
      <c r="D170" s="11" t="n">
        <v>12</v>
      </c>
      <c r="E170" s="11" t="n">
        <v>5.28</v>
      </c>
    </row>
    <row r="171" customFormat="false" ht="14.25" hidden="false" customHeight="false" outlineLevel="0" collapsed="false">
      <c r="A171" s="11" t="s">
        <v>133</v>
      </c>
      <c r="B171" s="11" t="n">
        <v>2.5</v>
      </c>
      <c r="C171" s="11" t="n">
        <v>34.5</v>
      </c>
      <c r="D171" s="11" t="n">
        <v>13.8</v>
      </c>
      <c r="E171" s="11" t="n">
        <v>5.08</v>
      </c>
    </row>
    <row r="172" customFormat="false" ht="14.25" hidden="false" customHeight="false" outlineLevel="0" collapsed="false">
      <c r="A172" s="11" t="s">
        <v>74</v>
      </c>
      <c r="B172" s="11" t="n">
        <v>5</v>
      </c>
      <c r="C172" s="11" t="n">
        <v>34.5</v>
      </c>
      <c r="D172" s="11" t="n">
        <v>13.8</v>
      </c>
      <c r="E172" s="11" t="n">
        <v>5.03</v>
      </c>
    </row>
    <row r="173" customFormat="false" ht="14.25" hidden="false" customHeight="false" outlineLevel="0" collapsed="false">
      <c r="A173" s="11" t="s">
        <v>74</v>
      </c>
      <c r="B173" s="11" t="n">
        <v>5</v>
      </c>
      <c r="C173" s="11" t="n">
        <v>34.5</v>
      </c>
      <c r="D173" s="11" t="n">
        <v>13.66</v>
      </c>
      <c r="E173" s="11" t="n">
        <v>5.03</v>
      </c>
    </row>
    <row r="174" customFormat="false" ht="14.25" hidden="false" customHeight="false" outlineLevel="0" collapsed="false">
      <c r="A174" s="11" t="s">
        <v>111</v>
      </c>
      <c r="B174" s="11" t="n">
        <v>5</v>
      </c>
      <c r="C174" s="11" t="n">
        <v>34.5</v>
      </c>
      <c r="D174" s="11" t="n">
        <v>13.2</v>
      </c>
      <c r="E174" s="11" t="n">
        <v>4.27</v>
      </c>
    </row>
    <row r="175" customFormat="false" ht="14.25" hidden="false" customHeight="false" outlineLevel="0" collapsed="false">
      <c r="A175" s="11" t="s">
        <v>111</v>
      </c>
      <c r="B175" s="11" t="n">
        <v>7.5</v>
      </c>
      <c r="C175" s="11" t="n">
        <v>33</v>
      </c>
      <c r="D175" s="11" t="n">
        <v>13.2</v>
      </c>
      <c r="E175" s="11" t="n">
        <v>4.27</v>
      </c>
    </row>
    <row r="176" customFormat="false" ht="14.25" hidden="false" customHeight="false" outlineLevel="0" collapsed="false">
      <c r="A176" s="11" t="s">
        <v>111</v>
      </c>
      <c r="B176" s="11" t="n">
        <v>5</v>
      </c>
      <c r="C176" s="11" t="n">
        <v>34.5</v>
      </c>
      <c r="D176" s="11" t="n">
        <v>12</v>
      </c>
      <c r="E176" s="11" t="n">
        <v>4.27</v>
      </c>
    </row>
    <row r="177" customFormat="false" ht="14.25" hidden="false" customHeight="false" outlineLevel="0" collapsed="false">
      <c r="A177" s="11" t="s">
        <v>66</v>
      </c>
      <c r="B177" s="11" t="n">
        <v>5</v>
      </c>
      <c r="C177" s="11" t="n">
        <v>34.5</v>
      </c>
      <c r="D177" s="11" t="n">
        <v>11.8</v>
      </c>
      <c r="E177" s="11" t="n">
        <v>4.27</v>
      </c>
    </row>
    <row r="178" customFormat="false" ht="14.25" hidden="false" customHeight="false" outlineLevel="0" collapsed="false">
      <c r="A178" s="11" t="s">
        <v>66</v>
      </c>
      <c r="B178" s="11" t="n">
        <v>5</v>
      </c>
      <c r="C178" s="11" t="n">
        <v>34.5</v>
      </c>
      <c r="D178" s="11" t="n">
        <v>13.2</v>
      </c>
      <c r="E178" s="11" t="n">
        <v>4.27</v>
      </c>
    </row>
    <row r="179" customFormat="false" ht="14.25" hidden="false" customHeight="false" outlineLevel="0" collapsed="false">
      <c r="A179" s="11" t="s">
        <v>75</v>
      </c>
      <c r="B179" s="11" t="n">
        <v>5</v>
      </c>
      <c r="C179" s="11" t="n">
        <v>34.5</v>
      </c>
      <c r="D179" s="11" t="n">
        <v>13.8</v>
      </c>
      <c r="E179" s="11" t="n">
        <v>4.18</v>
      </c>
    </row>
    <row r="180" customFormat="false" ht="14.25" hidden="false" customHeight="false" outlineLevel="0" collapsed="false">
      <c r="A180" s="11" t="s">
        <v>184</v>
      </c>
      <c r="B180" s="11" t="n">
        <v>20</v>
      </c>
      <c r="C180" s="11" t="n">
        <v>115</v>
      </c>
      <c r="D180" s="11" t="n">
        <v>34.5</v>
      </c>
      <c r="E180" s="11" t="n">
        <v>4.13</v>
      </c>
    </row>
    <row r="181" customFormat="false" ht="14.25" hidden="false" customHeight="false" outlineLevel="0" collapsed="false">
      <c r="A181" s="11" t="s">
        <v>184</v>
      </c>
      <c r="B181" s="11" t="n">
        <v>40</v>
      </c>
      <c r="C181" s="11" t="n">
        <v>230</v>
      </c>
      <c r="D181" s="11" t="n">
        <v>34.5</v>
      </c>
      <c r="E181" s="11" t="n">
        <v>4.13</v>
      </c>
    </row>
    <row r="182" customFormat="false" ht="14.25" hidden="false" customHeight="false" outlineLevel="0" collapsed="false">
      <c r="A182" s="11" t="s">
        <v>55</v>
      </c>
      <c r="B182" s="11" t="n">
        <v>3</v>
      </c>
      <c r="C182" s="11" t="n">
        <v>34.5</v>
      </c>
      <c r="D182" s="11" t="n">
        <v>13.2</v>
      </c>
      <c r="E182" s="11" t="n">
        <v>4.07</v>
      </c>
    </row>
    <row r="183" customFormat="false" ht="14.25" hidden="false" customHeight="false" outlineLevel="0" collapsed="false">
      <c r="A183" s="11" t="s">
        <v>55</v>
      </c>
      <c r="B183" s="11" t="n">
        <v>3.75</v>
      </c>
      <c r="C183" s="11" t="n">
        <v>34.5</v>
      </c>
      <c r="D183" s="11" t="n">
        <v>13.2</v>
      </c>
      <c r="E183" s="11" t="n">
        <v>4.07</v>
      </c>
    </row>
    <row r="184" customFormat="false" ht="14.25" hidden="false" customHeight="false" outlineLevel="0" collapsed="false">
      <c r="A184" s="11" t="s">
        <v>128</v>
      </c>
      <c r="B184" s="11" t="n">
        <v>10</v>
      </c>
      <c r="E184" s="11" t="n">
        <v>4.06</v>
      </c>
    </row>
    <row r="185" customFormat="false" ht="14.25" hidden="false" customHeight="false" outlineLevel="0" collapsed="false">
      <c r="A185" s="11" t="s">
        <v>128</v>
      </c>
      <c r="B185" s="11" t="n">
        <v>10</v>
      </c>
      <c r="C185" s="11" t="n">
        <v>34.5</v>
      </c>
      <c r="D185" s="11" t="n">
        <v>13.2</v>
      </c>
      <c r="E185" s="11" t="n">
        <v>4.06</v>
      </c>
    </row>
    <row r="186" customFormat="false" ht="14.25" hidden="false" customHeight="false" outlineLevel="0" collapsed="false">
      <c r="A186" s="11" t="s">
        <v>92</v>
      </c>
      <c r="B186" s="11" t="n">
        <v>40</v>
      </c>
      <c r="C186" s="11" t="n">
        <v>115</v>
      </c>
      <c r="D186" s="11" t="n">
        <v>34.5</v>
      </c>
      <c r="E186" s="11" t="n">
        <v>4.05</v>
      </c>
    </row>
    <row r="187" customFormat="false" ht="14.25" hidden="false" customHeight="false" outlineLevel="0" collapsed="false">
      <c r="A187" s="11" t="s">
        <v>92</v>
      </c>
      <c r="B187" s="11" t="n">
        <v>35</v>
      </c>
      <c r="C187" s="11" t="n">
        <v>115</v>
      </c>
      <c r="D187" s="11" t="n">
        <v>34.5</v>
      </c>
      <c r="E187" s="11" t="n">
        <v>4.05</v>
      </c>
    </row>
    <row r="188" customFormat="false" ht="14.25" hidden="false" customHeight="false" outlineLevel="0" collapsed="false">
      <c r="A188" s="11" t="s">
        <v>92</v>
      </c>
      <c r="B188" s="11" t="n">
        <v>10</v>
      </c>
      <c r="C188" s="11" t="n">
        <v>34.5</v>
      </c>
      <c r="D188" s="11" t="n">
        <v>13.8</v>
      </c>
      <c r="E188" s="11" t="n">
        <v>4.05</v>
      </c>
    </row>
    <row r="189" customFormat="false" ht="14.25" hidden="false" customHeight="false" outlineLevel="0" collapsed="false">
      <c r="A189" s="11" t="s">
        <v>92</v>
      </c>
      <c r="B189" s="11" t="n">
        <v>12.5</v>
      </c>
      <c r="C189" s="11" t="n">
        <v>34.5</v>
      </c>
      <c r="D189" s="11" t="n">
        <v>13.8</v>
      </c>
      <c r="E189" s="11" t="n">
        <v>4.05</v>
      </c>
    </row>
    <row r="190" customFormat="false" ht="14.25" hidden="false" customHeight="false" outlineLevel="0" collapsed="false">
      <c r="A190" s="11" t="s">
        <v>70</v>
      </c>
      <c r="B190" s="11" t="n">
        <v>5</v>
      </c>
      <c r="C190" s="11" t="n">
        <v>34.5</v>
      </c>
      <c r="D190" s="11" t="n">
        <v>11.4</v>
      </c>
      <c r="E190" s="11" t="n">
        <v>4.02</v>
      </c>
    </row>
    <row r="191" customFormat="false" ht="14.25" hidden="false" customHeight="false" outlineLevel="0" collapsed="false">
      <c r="A191" s="11" t="s">
        <v>151</v>
      </c>
      <c r="B191" s="11" t="n">
        <v>5</v>
      </c>
      <c r="C191" s="11" t="n">
        <v>34.5</v>
      </c>
      <c r="D191" s="11" t="n">
        <v>11.9</v>
      </c>
      <c r="E191" s="11" t="n">
        <v>3.93</v>
      </c>
    </row>
    <row r="192" customFormat="false" ht="14.25" hidden="false" customHeight="false" outlineLevel="0" collapsed="false">
      <c r="A192" s="11" t="s">
        <v>151</v>
      </c>
      <c r="B192" s="11" t="n">
        <v>2.5</v>
      </c>
      <c r="C192" s="11" t="n">
        <v>34.5</v>
      </c>
      <c r="D192" s="11" t="n">
        <v>11.9</v>
      </c>
      <c r="E192" s="11" t="n">
        <v>3.93</v>
      </c>
    </row>
    <row r="193" customFormat="false" ht="14.25" hidden="false" customHeight="false" outlineLevel="0" collapsed="false">
      <c r="A193" s="11" t="s">
        <v>151</v>
      </c>
      <c r="B193" s="11" t="n">
        <v>2.5</v>
      </c>
      <c r="C193" s="11" t="n">
        <v>34.5</v>
      </c>
      <c r="D193" s="11" t="n">
        <v>11.9</v>
      </c>
      <c r="E193" s="11" t="n">
        <v>3.93</v>
      </c>
    </row>
    <row r="194" customFormat="false" ht="14.25" hidden="false" customHeight="false" outlineLevel="0" collapsed="false">
      <c r="A194" s="11" t="s">
        <v>187</v>
      </c>
      <c r="B194" s="11" t="n">
        <v>5</v>
      </c>
      <c r="C194" s="11" t="n">
        <v>34.5</v>
      </c>
      <c r="D194" s="11" t="n">
        <v>11.4</v>
      </c>
      <c r="E194" s="11" t="n">
        <v>3.86</v>
      </c>
    </row>
    <row r="195" customFormat="false" ht="14.25" hidden="false" customHeight="false" outlineLevel="0" collapsed="false">
      <c r="A195" s="11" t="s">
        <v>127</v>
      </c>
      <c r="B195" s="11" t="n">
        <v>10</v>
      </c>
      <c r="C195" s="11" t="n">
        <v>34.5</v>
      </c>
      <c r="D195" s="11" t="n">
        <v>13.9</v>
      </c>
      <c r="E195" s="11" t="n">
        <v>3.75</v>
      </c>
    </row>
    <row r="196" customFormat="false" ht="14.25" hidden="false" customHeight="false" outlineLevel="0" collapsed="false">
      <c r="A196" s="11" t="s">
        <v>137</v>
      </c>
      <c r="B196" s="11" t="n">
        <v>2.5</v>
      </c>
      <c r="C196" s="11" t="n">
        <v>34.5</v>
      </c>
      <c r="D196" s="11" t="n">
        <v>13.8</v>
      </c>
      <c r="E196" s="11" t="n">
        <v>3.59</v>
      </c>
    </row>
    <row r="197" customFormat="false" ht="14.25" hidden="false" customHeight="false" outlineLevel="0" collapsed="false">
      <c r="A197" s="11" t="s">
        <v>108</v>
      </c>
      <c r="B197" s="11" t="n">
        <v>5</v>
      </c>
      <c r="C197" s="11" t="n">
        <v>34.5</v>
      </c>
      <c r="D197" s="11" t="n">
        <v>13.8</v>
      </c>
      <c r="E197" s="11" t="n">
        <v>3.53</v>
      </c>
    </row>
    <row r="198" customFormat="false" ht="14.25" hidden="false" customHeight="false" outlineLevel="0" collapsed="false">
      <c r="A198" s="11" t="s">
        <v>108</v>
      </c>
      <c r="B198" s="11" t="n">
        <v>5</v>
      </c>
      <c r="C198" s="11" t="n">
        <v>34.5</v>
      </c>
      <c r="D198" s="11" t="n">
        <v>13.8</v>
      </c>
      <c r="E198" s="11" t="n">
        <v>3.53</v>
      </c>
    </row>
    <row r="199" customFormat="false" ht="14.25" hidden="false" customHeight="false" outlineLevel="0" collapsed="false">
      <c r="A199" s="11" t="s">
        <v>73</v>
      </c>
      <c r="B199" s="11" t="n">
        <v>5</v>
      </c>
      <c r="C199" s="11" t="n">
        <v>34.5</v>
      </c>
      <c r="D199" s="11" t="n">
        <v>11.9</v>
      </c>
      <c r="E199" s="11" t="n">
        <v>3.41</v>
      </c>
    </row>
    <row r="200" customFormat="false" ht="14.25" hidden="false" customHeight="false" outlineLevel="0" collapsed="false">
      <c r="A200" s="11" t="s">
        <v>192</v>
      </c>
      <c r="B200" s="11" t="n">
        <v>5</v>
      </c>
      <c r="C200" s="11" t="n">
        <v>34.5</v>
      </c>
      <c r="D200" s="11" t="n">
        <v>13.8</v>
      </c>
      <c r="E200" s="11" t="n">
        <v>3.25</v>
      </c>
    </row>
    <row r="201" customFormat="false" ht="14.25" hidden="false" customHeight="false" outlineLevel="0" collapsed="false">
      <c r="A201" s="11" t="s">
        <v>194</v>
      </c>
      <c r="B201" s="11" t="n">
        <v>25</v>
      </c>
      <c r="C201" s="11" t="n">
        <v>115</v>
      </c>
      <c r="D201" s="11" t="n">
        <v>34.5</v>
      </c>
      <c r="E201" s="11" t="n">
        <v>3.2</v>
      </c>
    </row>
    <row r="202" customFormat="false" ht="14.25" hidden="false" customHeight="false" outlineLevel="0" collapsed="false">
      <c r="A202" s="11" t="s">
        <v>201</v>
      </c>
      <c r="B202" s="11" t="n">
        <v>12</v>
      </c>
      <c r="C202" s="11" t="n">
        <v>115</v>
      </c>
      <c r="D202" s="11" t="n">
        <v>13.8</v>
      </c>
      <c r="E202" s="11" t="n">
        <v>3.2</v>
      </c>
    </row>
    <row r="203" customFormat="false" ht="14.25" hidden="false" customHeight="false" outlineLevel="0" collapsed="false">
      <c r="A203" s="11" t="s">
        <v>96</v>
      </c>
      <c r="B203" s="11" t="n">
        <v>5</v>
      </c>
      <c r="C203" s="11" t="n">
        <v>34.5</v>
      </c>
      <c r="D203" s="11" t="n">
        <v>13.2</v>
      </c>
      <c r="E203" s="11" t="n">
        <v>3.09</v>
      </c>
    </row>
    <row r="204" customFormat="false" ht="14.25" hidden="false" customHeight="false" outlineLevel="0" collapsed="false">
      <c r="A204" s="11" t="s">
        <v>96</v>
      </c>
      <c r="B204" s="11" t="n">
        <v>3.75</v>
      </c>
      <c r="C204" s="11" t="n">
        <v>34.5</v>
      </c>
      <c r="D204" s="11" t="n">
        <v>13.2</v>
      </c>
      <c r="E204" s="11" t="n">
        <v>3.09</v>
      </c>
    </row>
    <row r="205" customFormat="false" ht="14.25" hidden="false" customHeight="false" outlineLevel="0" collapsed="false">
      <c r="A205" s="11" t="s">
        <v>203</v>
      </c>
      <c r="B205" s="11" t="n">
        <v>3.75</v>
      </c>
      <c r="C205" s="11" t="n">
        <v>34.5</v>
      </c>
      <c r="D205" s="11" t="n">
        <v>13.8</v>
      </c>
      <c r="E205" s="11" t="n">
        <v>2.69</v>
      </c>
    </row>
    <row r="206" customFormat="false" ht="14.25" hidden="false" customHeight="false" outlineLevel="0" collapsed="false">
      <c r="A206" s="11" t="s">
        <v>203</v>
      </c>
      <c r="B206" s="11" t="n">
        <v>3</v>
      </c>
      <c r="C206" s="11" t="n">
        <v>34.5</v>
      </c>
      <c r="D206" s="11" t="n">
        <v>14.45</v>
      </c>
      <c r="E206" s="11" t="n">
        <v>2.69</v>
      </c>
    </row>
    <row r="207" customFormat="false" ht="14.25" hidden="false" customHeight="false" outlineLevel="0" collapsed="false">
      <c r="A207" s="11" t="s">
        <v>88</v>
      </c>
      <c r="B207" s="11" t="n">
        <v>2.5</v>
      </c>
      <c r="C207" s="11" t="n">
        <v>34.5</v>
      </c>
      <c r="D207" s="11" t="n">
        <v>11.92</v>
      </c>
      <c r="E207" s="11" t="n">
        <v>2.54</v>
      </c>
    </row>
    <row r="208" customFormat="false" ht="14.25" hidden="false" customHeight="false" outlineLevel="0" collapsed="false">
      <c r="A208" s="11" t="s">
        <v>205</v>
      </c>
      <c r="B208" s="11" t="n">
        <v>5</v>
      </c>
      <c r="C208" s="11" t="n">
        <v>34.5</v>
      </c>
      <c r="D208" s="11" t="n">
        <v>11.4</v>
      </c>
      <c r="E208" s="11" t="n">
        <v>2.49</v>
      </c>
    </row>
    <row r="209" customFormat="false" ht="14.25" hidden="false" customHeight="false" outlineLevel="0" collapsed="false">
      <c r="A209" s="11" t="s">
        <v>95</v>
      </c>
      <c r="B209" s="11" t="n">
        <v>3.75</v>
      </c>
      <c r="C209" s="11" t="n">
        <v>34.5</v>
      </c>
      <c r="D209" s="11" t="n">
        <v>13.2</v>
      </c>
      <c r="E209" s="11" t="n">
        <v>2.38</v>
      </c>
    </row>
    <row r="210" customFormat="false" ht="14.25" hidden="false" customHeight="false" outlineLevel="0" collapsed="false">
      <c r="A210" s="11" t="s">
        <v>95</v>
      </c>
      <c r="B210" s="11" t="n">
        <v>3.75</v>
      </c>
      <c r="C210" s="11" t="n">
        <v>34.5</v>
      </c>
      <c r="D210" s="11" t="n">
        <v>13.2</v>
      </c>
      <c r="E210" s="11" t="n">
        <v>2.38</v>
      </c>
    </row>
    <row r="211" customFormat="false" ht="14.25" hidden="false" customHeight="false" outlineLevel="0" collapsed="false">
      <c r="A211" s="11" t="s">
        <v>199</v>
      </c>
      <c r="B211" s="11" t="n">
        <v>5</v>
      </c>
      <c r="C211" s="11" t="n">
        <v>34.5</v>
      </c>
      <c r="D211" s="11" t="n">
        <v>13.62</v>
      </c>
      <c r="E211" s="11" t="n">
        <v>2.24</v>
      </c>
    </row>
    <row r="212" customFormat="false" ht="14.25" hidden="false" customHeight="false" outlineLevel="0" collapsed="false">
      <c r="A212" s="11" t="s">
        <v>195</v>
      </c>
      <c r="B212" s="11" t="n">
        <v>2.5</v>
      </c>
      <c r="C212" s="11" t="n">
        <v>34.5</v>
      </c>
      <c r="D212" s="11" t="n">
        <v>13.2</v>
      </c>
      <c r="E212" s="11" t="n">
        <v>2.06</v>
      </c>
    </row>
    <row r="213" customFormat="false" ht="14.25" hidden="false" customHeight="false" outlineLevel="0" collapsed="false">
      <c r="A213" s="11" t="s">
        <v>195</v>
      </c>
      <c r="B213" s="11" t="n">
        <v>3.75</v>
      </c>
      <c r="C213" s="11" t="n">
        <v>34.5</v>
      </c>
      <c r="D213" s="11" t="n">
        <v>13.2</v>
      </c>
      <c r="E213" s="11" t="n">
        <v>2.06</v>
      </c>
    </row>
    <row r="214" customFormat="false" ht="14.25" hidden="false" customHeight="false" outlineLevel="0" collapsed="false">
      <c r="A214" s="11" t="s">
        <v>209</v>
      </c>
      <c r="B214" s="11" t="n">
        <v>3.75</v>
      </c>
      <c r="C214" s="11" t="n">
        <v>34.5</v>
      </c>
      <c r="D214" s="11" t="n">
        <v>13.2</v>
      </c>
      <c r="E214" s="11" t="n">
        <v>1.79</v>
      </c>
    </row>
    <row r="215" customFormat="false" ht="14.25" hidden="false" customHeight="false" outlineLevel="0" collapsed="false">
      <c r="A215" s="11" t="s">
        <v>110</v>
      </c>
      <c r="B215" s="11" t="n">
        <v>5</v>
      </c>
      <c r="C215" s="11" t="n">
        <v>34.5</v>
      </c>
      <c r="D215" s="11" t="n">
        <v>13.2</v>
      </c>
      <c r="E215" s="11" t="n">
        <v>1.79</v>
      </c>
    </row>
    <row r="216" customFormat="false" ht="14.25" hidden="false" customHeight="false" outlineLevel="0" collapsed="false">
      <c r="A216" s="11" t="s">
        <v>110</v>
      </c>
      <c r="B216" s="11" t="n">
        <v>6</v>
      </c>
      <c r="C216" s="11" t="n">
        <v>34.5</v>
      </c>
      <c r="D216" s="11" t="n">
        <v>13.2</v>
      </c>
      <c r="E216" s="11" t="n">
        <v>1.79</v>
      </c>
    </row>
    <row r="217" customFormat="false" ht="14.25" hidden="false" customHeight="false" outlineLevel="0" collapsed="false">
      <c r="A217" s="11" t="s">
        <v>212</v>
      </c>
      <c r="B217" s="11" t="n">
        <v>8</v>
      </c>
      <c r="C217" s="11" t="n">
        <v>115</v>
      </c>
      <c r="D217" s="11" t="n">
        <v>13.8</v>
      </c>
      <c r="E217" s="11" t="n">
        <v>1.55</v>
      </c>
    </row>
    <row r="218" customFormat="false" ht="14.25" hidden="false" customHeight="false" outlineLevel="0" collapsed="false">
      <c r="A218" s="11" t="s">
        <v>214</v>
      </c>
      <c r="B218" s="11" t="n">
        <v>7.5</v>
      </c>
      <c r="C218" s="11" t="n">
        <v>34.5</v>
      </c>
      <c r="D218" s="11" t="n">
        <v>13.2</v>
      </c>
      <c r="E218" s="11" t="n">
        <v>1.49</v>
      </c>
    </row>
    <row r="219" customFormat="false" ht="14.25" hidden="false" customHeight="false" outlineLevel="0" collapsed="false">
      <c r="A219" s="11" t="s">
        <v>216</v>
      </c>
      <c r="B219" s="11" t="n">
        <v>3</v>
      </c>
      <c r="C219" s="11" t="n">
        <v>34.5</v>
      </c>
      <c r="D219" s="11" t="n">
        <v>13.2</v>
      </c>
      <c r="E219" s="11" t="n">
        <v>1.35</v>
      </c>
    </row>
    <row r="220" customFormat="false" ht="14.25" hidden="false" customHeight="false" outlineLevel="0" collapsed="false">
      <c r="A220" s="11" t="s">
        <v>216</v>
      </c>
      <c r="B220" s="11" t="n">
        <v>3.75</v>
      </c>
      <c r="C220" s="11" t="n">
        <v>34.5</v>
      </c>
      <c r="D220" s="11" t="n">
        <v>13.2</v>
      </c>
      <c r="E220" s="11" t="n">
        <v>1.35</v>
      </c>
    </row>
    <row r="221" customFormat="false" ht="14.25" hidden="false" customHeight="false" outlineLevel="0" collapsed="false">
      <c r="A221" s="11" t="s">
        <v>196</v>
      </c>
      <c r="B221" s="11" t="n">
        <v>3.75</v>
      </c>
      <c r="C221" s="11" t="n">
        <v>34.5</v>
      </c>
      <c r="D221" s="11" t="n">
        <v>13.2</v>
      </c>
      <c r="E221" s="11" t="n">
        <v>1.34</v>
      </c>
    </row>
    <row r="222" customFormat="false" ht="14.25" hidden="false" customHeight="false" outlineLevel="0" collapsed="false">
      <c r="A222" s="11" t="s">
        <v>93</v>
      </c>
      <c r="B222" s="11" t="n">
        <v>3.75</v>
      </c>
      <c r="C222" s="11" t="n">
        <v>34.5</v>
      </c>
      <c r="D222" s="11" t="n">
        <v>13.2</v>
      </c>
      <c r="E222" s="11" t="n">
        <v>1.32</v>
      </c>
    </row>
    <row r="223" customFormat="false" ht="14.25" hidden="false" customHeight="false" outlineLevel="0" collapsed="false">
      <c r="A223" s="11" t="s">
        <v>220</v>
      </c>
      <c r="B223" s="11" t="n">
        <v>3.75</v>
      </c>
      <c r="C223" s="11" t="n">
        <v>34.5</v>
      </c>
      <c r="D223" s="11" t="n">
        <v>13.2</v>
      </c>
      <c r="E223" s="11" t="n">
        <v>1.26</v>
      </c>
    </row>
    <row r="224" customFormat="false" ht="14.25" hidden="false" customHeight="false" outlineLevel="0" collapsed="false">
      <c r="A224" s="11" t="s">
        <v>119</v>
      </c>
      <c r="B224" s="11" t="n">
        <v>2.5</v>
      </c>
      <c r="C224" s="11" t="n">
        <v>34.5</v>
      </c>
      <c r="D224" s="11" t="n">
        <v>13.8</v>
      </c>
      <c r="E224" s="11" t="n">
        <v>1.14</v>
      </c>
    </row>
    <row r="225" customFormat="false" ht="14.25" hidden="false" customHeight="false" outlineLevel="0" collapsed="false">
      <c r="A225" s="11" t="s">
        <v>119</v>
      </c>
      <c r="B225" s="11" t="n">
        <v>2.5</v>
      </c>
      <c r="C225" s="11" t="n">
        <v>34.5</v>
      </c>
      <c r="D225" s="11" t="n">
        <v>13.76</v>
      </c>
      <c r="E225" s="11" t="n">
        <v>1.14</v>
      </c>
    </row>
    <row r="226" customFormat="false" ht="14.25" hidden="false" customHeight="false" outlineLevel="0" collapsed="false">
      <c r="A226" s="11" t="s">
        <v>135</v>
      </c>
      <c r="B226" s="11" t="n">
        <v>5</v>
      </c>
      <c r="E226" s="11" t="n">
        <v>1.14</v>
      </c>
    </row>
    <row r="227" customFormat="false" ht="14.25" hidden="false" customHeight="false" outlineLevel="0" collapsed="false">
      <c r="A227" s="11" t="s">
        <v>135</v>
      </c>
      <c r="B227" s="11" t="n">
        <v>5</v>
      </c>
      <c r="E227" s="11" t="n">
        <v>1.14</v>
      </c>
    </row>
    <row r="228" customFormat="false" ht="14.25" hidden="false" customHeight="false" outlineLevel="0" collapsed="false">
      <c r="A228" s="11" t="s">
        <v>138</v>
      </c>
      <c r="B228" s="11" t="n">
        <v>3</v>
      </c>
      <c r="C228" s="11" t="n">
        <v>34.5</v>
      </c>
      <c r="D228" s="11" t="n">
        <v>13.8</v>
      </c>
      <c r="E228" s="11" t="n">
        <v>1.1</v>
      </c>
    </row>
    <row r="229" customFormat="false" ht="14.25" hidden="false" customHeight="false" outlineLevel="0" collapsed="false">
      <c r="A229" s="11" t="s">
        <v>97</v>
      </c>
      <c r="B229" s="11" t="n">
        <v>5</v>
      </c>
      <c r="C229" s="11" t="n">
        <v>34.5</v>
      </c>
      <c r="D229" s="11" t="n">
        <v>13.2</v>
      </c>
      <c r="E229" s="11" t="n">
        <v>1.09</v>
      </c>
    </row>
    <row r="230" customFormat="false" ht="14.25" hidden="false" customHeight="false" outlineLevel="0" collapsed="false">
      <c r="A230" s="11" t="s">
        <v>56</v>
      </c>
      <c r="B230" s="11" t="n">
        <v>5</v>
      </c>
      <c r="C230" s="11" t="n">
        <v>34.5</v>
      </c>
      <c r="D230" s="11" t="n">
        <v>11.92</v>
      </c>
      <c r="E230" s="11" t="n">
        <v>1.07</v>
      </c>
    </row>
    <row r="231" customFormat="false" ht="14.25" hidden="false" customHeight="false" outlineLevel="0" collapsed="false">
      <c r="A231" s="11" t="s">
        <v>56</v>
      </c>
      <c r="B231" s="11" t="n">
        <v>2.5</v>
      </c>
      <c r="C231" s="11" t="n">
        <v>34.5</v>
      </c>
      <c r="D231" s="11" t="n">
        <v>15</v>
      </c>
      <c r="E231" s="11" t="n">
        <v>1.07</v>
      </c>
    </row>
    <row r="232" customFormat="false" ht="14.25" hidden="false" customHeight="false" outlineLevel="0" collapsed="false">
      <c r="A232" s="11" t="s">
        <v>56</v>
      </c>
      <c r="B232" s="11" t="n">
        <v>10</v>
      </c>
      <c r="C232" s="11" t="n">
        <v>34.5</v>
      </c>
      <c r="D232" s="11" t="n">
        <v>15</v>
      </c>
      <c r="E232" s="11" t="n">
        <v>1.07</v>
      </c>
    </row>
    <row r="233" customFormat="false" ht="14.25" hidden="false" customHeight="false" outlineLevel="0" collapsed="false">
      <c r="A233" s="11" t="s">
        <v>123</v>
      </c>
      <c r="B233" s="11" t="n">
        <v>5</v>
      </c>
      <c r="C233" s="11" t="n">
        <v>34.5</v>
      </c>
      <c r="D233" s="11" t="n">
        <v>13.8</v>
      </c>
      <c r="E233" s="11" t="n">
        <v>1.04</v>
      </c>
    </row>
    <row r="234" customFormat="false" ht="14.25" hidden="false" customHeight="false" outlineLevel="0" collapsed="false">
      <c r="A234" s="11" t="s">
        <v>123</v>
      </c>
      <c r="B234" s="11" t="n">
        <v>5</v>
      </c>
      <c r="C234" s="11" t="n">
        <v>34.5</v>
      </c>
      <c r="D234" s="11" t="n">
        <v>13.8</v>
      </c>
      <c r="E234" s="11" t="n">
        <v>1.04</v>
      </c>
    </row>
    <row r="235" customFormat="false" ht="14.25" hidden="false" customHeight="false" outlineLevel="0" collapsed="false">
      <c r="A235" s="11" t="s">
        <v>153</v>
      </c>
      <c r="B235" s="11" t="n">
        <v>3.75</v>
      </c>
      <c r="C235" s="11" t="n">
        <v>34.5</v>
      </c>
      <c r="D235" s="11" t="n">
        <v>13.8</v>
      </c>
      <c r="E235" s="11" t="n">
        <v>1.01</v>
      </c>
    </row>
    <row r="236" customFormat="false" ht="14.25" hidden="false" customHeight="false" outlineLevel="0" collapsed="false">
      <c r="A236" s="11" t="s">
        <v>153</v>
      </c>
      <c r="B236" s="11" t="n">
        <v>3</v>
      </c>
      <c r="C236" s="11" t="n">
        <v>34.5</v>
      </c>
      <c r="D236" s="11" t="n">
        <v>13.8</v>
      </c>
      <c r="E236" s="11" t="n">
        <v>1.01</v>
      </c>
    </row>
    <row r="237" customFormat="false" ht="14.25" hidden="false" customHeight="false" outlineLevel="0" collapsed="false">
      <c r="A237" s="11" t="s">
        <v>227</v>
      </c>
      <c r="B237" s="11" t="n">
        <v>3.75</v>
      </c>
      <c r="C237" s="11" t="n">
        <v>34.5</v>
      </c>
      <c r="D237" s="11" t="n">
        <v>13.2</v>
      </c>
      <c r="E237" s="11" t="n">
        <v>0.95</v>
      </c>
    </row>
    <row r="238" customFormat="false" ht="14.25" hidden="false" customHeight="false" outlineLevel="0" collapsed="false">
      <c r="A238" s="11" t="s">
        <v>134</v>
      </c>
      <c r="B238" s="11" t="n">
        <v>7.5</v>
      </c>
      <c r="C238" s="11" t="n">
        <v>33</v>
      </c>
      <c r="D238" s="11" t="n">
        <v>13.2</v>
      </c>
      <c r="E238" s="11" t="n">
        <v>0.8</v>
      </c>
    </row>
    <row r="239" customFormat="false" ht="14.25" hidden="false" customHeight="false" outlineLevel="0" collapsed="false">
      <c r="A239" s="11" t="s">
        <v>134</v>
      </c>
      <c r="B239" s="11" t="n">
        <v>7.5</v>
      </c>
      <c r="C239" s="11" t="n">
        <v>34.5</v>
      </c>
      <c r="D239" s="11" t="n">
        <v>13.2</v>
      </c>
      <c r="E239" s="11" t="n">
        <v>0.8</v>
      </c>
    </row>
    <row r="240" customFormat="false" ht="14.25" hidden="false" customHeight="false" outlineLevel="0" collapsed="false">
      <c r="A240" s="11" t="s">
        <v>229</v>
      </c>
      <c r="B240" s="11" t="n">
        <v>10</v>
      </c>
      <c r="C240" s="11" t="n">
        <v>34.5</v>
      </c>
      <c r="D240" s="11" t="n">
        <v>13.2</v>
      </c>
      <c r="E240" s="11" t="n">
        <v>0.77</v>
      </c>
    </row>
    <row r="241" customFormat="false" ht="14.25" hidden="false" customHeight="false" outlineLevel="0" collapsed="false">
      <c r="A241" s="11" t="s">
        <v>229</v>
      </c>
      <c r="B241" s="11" t="n">
        <v>6</v>
      </c>
      <c r="C241" s="11" t="n">
        <v>34.5</v>
      </c>
      <c r="D241" s="11" t="n">
        <v>13.2</v>
      </c>
      <c r="E241" s="11" t="n">
        <v>0.77</v>
      </c>
    </row>
    <row r="242" customFormat="false" ht="14.25" hidden="false" customHeight="false" outlineLevel="0" collapsed="false">
      <c r="A242" s="11" t="s">
        <v>124</v>
      </c>
      <c r="B242" s="11" t="n">
        <v>5</v>
      </c>
      <c r="C242" s="11" t="n">
        <v>34.5</v>
      </c>
      <c r="D242" s="11" t="n">
        <v>13.2</v>
      </c>
      <c r="E242" s="11" t="n">
        <v>0.58</v>
      </c>
    </row>
    <row r="243" customFormat="false" ht="14.25" hidden="false" customHeight="false" outlineLevel="0" collapsed="false">
      <c r="A243" s="11" t="s">
        <v>198</v>
      </c>
      <c r="B243" s="11" t="n">
        <v>5</v>
      </c>
      <c r="C243" s="11" t="n">
        <v>34.5</v>
      </c>
      <c r="D243" s="11" t="n">
        <v>13.2</v>
      </c>
      <c r="E243" s="11" t="n">
        <v>0.58</v>
      </c>
    </row>
    <row r="244" customFormat="false" ht="14.25" hidden="false" customHeight="false" outlineLevel="0" collapsed="false">
      <c r="A244" s="11" t="s">
        <v>136</v>
      </c>
      <c r="B244" s="11" t="n">
        <v>5</v>
      </c>
      <c r="C244" s="11" t="n">
        <v>34.5</v>
      </c>
      <c r="D244" s="11" t="n">
        <v>13.8</v>
      </c>
      <c r="E244" s="11" t="n">
        <v>0.57</v>
      </c>
    </row>
    <row r="245" customFormat="false" ht="14.25" hidden="false" customHeight="false" outlineLevel="0" collapsed="false">
      <c r="A245" s="11" t="s">
        <v>139</v>
      </c>
      <c r="B245" s="11" t="n">
        <v>2.5</v>
      </c>
      <c r="C245" s="11" t="n">
        <v>34.5</v>
      </c>
      <c r="D245" s="11" t="n">
        <v>13.2</v>
      </c>
      <c r="E245" s="11" t="n">
        <v>0.52</v>
      </c>
    </row>
    <row r="246" customFormat="false" ht="14.25" hidden="false" customHeight="false" outlineLevel="0" collapsed="false">
      <c r="A246" s="11" t="s">
        <v>86</v>
      </c>
      <c r="B246" s="11" t="n">
        <v>5</v>
      </c>
      <c r="C246" s="11" t="n">
        <v>34.5</v>
      </c>
      <c r="D246" s="11" t="n">
        <v>11.9</v>
      </c>
      <c r="E246" s="11" t="n">
        <v>0.5</v>
      </c>
    </row>
    <row r="247" customFormat="false" ht="14.25" hidden="false" customHeight="false" outlineLevel="0" collapsed="false">
      <c r="A247" s="11" t="s">
        <v>87</v>
      </c>
      <c r="B247" s="11" t="n">
        <v>5</v>
      </c>
      <c r="C247" s="11" t="n">
        <v>34.5</v>
      </c>
      <c r="D247" s="11" t="n">
        <v>11.9</v>
      </c>
      <c r="E247" s="11" t="n">
        <v>0.47</v>
      </c>
    </row>
    <row r="248" customFormat="false" ht="14.25" hidden="false" customHeight="false" outlineLevel="0" collapsed="false">
      <c r="A248" s="11" t="s">
        <v>87</v>
      </c>
      <c r="B248" s="11" t="n">
        <v>5</v>
      </c>
      <c r="C248" s="11" t="n">
        <v>34.5</v>
      </c>
      <c r="D248" s="11" t="n">
        <v>11.9</v>
      </c>
      <c r="E248" s="11" t="n">
        <v>0.47</v>
      </c>
    </row>
    <row r="249" customFormat="false" ht="14.25" hidden="false" customHeight="false" outlineLevel="0" collapsed="false">
      <c r="A249" s="11" t="s">
        <v>87</v>
      </c>
      <c r="B249" s="11" t="n">
        <v>10</v>
      </c>
      <c r="C249" s="11" t="n">
        <v>34.5</v>
      </c>
      <c r="D249" s="11" t="n">
        <v>11.4</v>
      </c>
      <c r="E249" s="11" t="n">
        <v>0.47</v>
      </c>
    </row>
    <row r="250" customFormat="false" ht="14.25" hidden="false" customHeight="false" outlineLevel="0" collapsed="false">
      <c r="A250" s="11" t="s">
        <v>87</v>
      </c>
      <c r="B250" s="11" t="n">
        <v>10</v>
      </c>
      <c r="C250" s="11" t="n">
        <v>34.5</v>
      </c>
      <c r="D250" s="11" t="n">
        <v>11.4</v>
      </c>
      <c r="E250" s="11" t="n">
        <v>0.47</v>
      </c>
    </row>
    <row r="251" customFormat="false" ht="14.25" hidden="false" customHeight="false" outlineLevel="0" collapsed="false">
      <c r="A251" s="11" t="s">
        <v>152</v>
      </c>
      <c r="B251" s="11" t="n">
        <v>5</v>
      </c>
      <c r="E251" s="11" t="n">
        <v>0.46</v>
      </c>
    </row>
    <row r="252" customFormat="false" ht="14.25" hidden="false" customHeight="false" outlineLevel="0" collapsed="false">
      <c r="A252" s="11" t="s">
        <v>152</v>
      </c>
      <c r="B252" s="11" t="n">
        <v>5</v>
      </c>
      <c r="C252" s="11" t="n">
        <v>34.5</v>
      </c>
      <c r="D252" s="11" t="n">
        <v>13.8</v>
      </c>
      <c r="E252" s="11" t="n">
        <v>0.46</v>
      </c>
    </row>
    <row r="253" customFormat="false" ht="14.25" hidden="false" customHeight="false" outlineLevel="0" collapsed="false">
      <c r="A253" s="11" t="s">
        <v>57</v>
      </c>
      <c r="B253" s="11" t="n">
        <v>5</v>
      </c>
      <c r="C253" s="11" t="n">
        <v>34.5</v>
      </c>
      <c r="D253" s="11" t="n">
        <v>11.4</v>
      </c>
      <c r="E253" s="11" t="n">
        <v>0.39</v>
      </c>
    </row>
    <row r="254" customFormat="false" ht="14.25" hidden="false" customHeight="false" outlineLevel="0" collapsed="false">
      <c r="A254" s="11" t="s">
        <v>57</v>
      </c>
      <c r="B254" s="11" t="n">
        <v>5</v>
      </c>
      <c r="C254" s="11" t="n">
        <v>34.5</v>
      </c>
      <c r="D254" s="11" t="n">
        <v>11.77</v>
      </c>
      <c r="E254" s="11" t="n">
        <v>0.39</v>
      </c>
    </row>
    <row r="255" customFormat="false" ht="14.25" hidden="false" customHeight="false" outlineLevel="0" collapsed="false">
      <c r="A255" s="11" t="s">
        <v>236</v>
      </c>
      <c r="B255" s="11" t="n">
        <v>2.5</v>
      </c>
      <c r="C255" s="11" t="n">
        <v>34.5</v>
      </c>
      <c r="D255" s="11" t="n">
        <v>13.66</v>
      </c>
      <c r="E255" s="11" t="n">
        <v>0.31</v>
      </c>
    </row>
    <row r="256" customFormat="false" ht="14.25" hidden="false" customHeight="false" outlineLevel="0" collapsed="false">
      <c r="A256" s="11" t="s">
        <v>238</v>
      </c>
      <c r="B256" s="11" t="n">
        <v>3</v>
      </c>
      <c r="C256" s="11" t="n">
        <v>34.5</v>
      </c>
      <c r="D256" s="11" t="n">
        <v>13.2</v>
      </c>
      <c r="E256" s="11" t="n">
        <v>0.29</v>
      </c>
    </row>
    <row r="257" customFormat="false" ht="14.25" hidden="false" customHeight="false" outlineLevel="0" collapsed="false">
      <c r="A257" s="11" t="s">
        <v>239</v>
      </c>
      <c r="B257" s="11" t="n">
        <v>8</v>
      </c>
      <c r="C257" s="11" t="n">
        <v>115</v>
      </c>
      <c r="D257" s="11" t="n">
        <v>13.8</v>
      </c>
      <c r="E257" s="11" t="n">
        <v>0.21</v>
      </c>
    </row>
    <row r="258" customFormat="false" ht="14.25" hidden="false" customHeight="false" outlineLevel="0" collapsed="false">
      <c r="A258" s="11" t="s">
        <v>239</v>
      </c>
      <c r="B258" s="11" t="n">
        <v>40</v>
      </c>
      <c r="C258" s="11" t="n">
        <v>115</v>
      </c>
      <c r="D258" s="11" t="n">
        <v>34.5</v>
      </c>
      <c r="E258" s="11" t="n">
        <v>0.21</v>
      </c>
    </row>
    <row r="259" customFormat="false" ht="14.25" hidden="false" customHeight="false" outlineLevel="0" collapsed="false">
      <c r="A259" s="11" t="s">
        <v>125</v>
      </c>
      <c r="B259" s="11" t="n">
        <v>3</v>
      </c>
      <c r="C259" s="11" t="n">
        <v>34.5</v>
      </c>
      <c r="D259" s="11" t="n">
        <v>13.2</v>
      </c>
      <c r="E259" s="11" t="n">
        <v>0.17</v>
      </c>
    </row>
    <row r="260" customFormat="false" ht="14.25" hidden="false" customHeight="false" outlineLevel="0" collapsed="false">
      <c r="A260" s="11" t="s">
        <v>125</v>
      </c>
      <c r="B260" s="11" t="n">
        <v>3</v>
      </c>
      <c r="C260" s="11" t="n">
        <v>34.5</v>
      </c>
      <c r="D260" s="11" t="n">
        <v>13.8</v>
      </c>
      <c r="E260" s="11" t="n">
        <v>0.17</v>
      </c>
    </row>
  </sheetData>
  <autoFilter ref="A1:E2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2026-03-03T18:03:47Z</dcterms:created>
  <dc:creator>openpyxl</dc:creator>
  <dc:description/>
  <dc:language>en-GB</dc:language>
  <cp:lastModifiedBy/>
  <dcterms:modified xsi:type="dcterms:W3CDTF">2026-03-12T23:34:14Z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