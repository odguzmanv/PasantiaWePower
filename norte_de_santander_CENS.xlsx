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CE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<sst xmlns="http://schemas.openxmlformats.org/spreadsheetml/2006/main" count="566" uniqueCount="111">
  <si>
    <t xml:space="preserve">SE</t>
  </si>
  <si>
    <t xml:space="preserve">Subestación</t>
  </si>
  <si>
    <t xml:space="preserve">HV_kV</t>
  </si>
  <si>
    <t xml:space="preserve">LV_kV</t>
  </si>
  <si>
    <t xml:space="preserve">Capacidad MVA</t>
  </si>
  <si>
    <t xml:space="preserve">SE NT3</t>
  </si>
  <si>
    <t xml:space="preserve">resta</t>
  </si>
  <si>
    <t xml:space="preserve">Demanda MW</t>
  </si>
  <si>
    <t xml:space="preserve">Departamento</t>
  </si>
  <si>
    <t xml:space="preserve">Dda + trafo</t>
  </si>
  <si>
    <t xml:space="preserve">Municipio</t>
  </si>
  <si>
    <t xml:space="preserve">Comentario</t>
  </si>
  <si>
    <t xml:space="preserve">BELÉN</t>
  </si>
  <si>
    <t xml:space="preserve">CORNEJO</t>
  </si>
  <si>
    <t xml:space="preserve">Norte de Santander</t>
  </si>
  <si>
    <t xml:space="preserve">El Zulia</t>
  </si>
  <si>
    <t xml:space="preserve">CULEBRA</t>
  </si>
  <si>
    <t xml:space="preserve">EL ZULIA</t>
  </si>
  <si>
    <t xml:space="preserve">GRAMALOTE</t>
  </si>
  <si>
    <t xml:space="preserve">Cúcuta</t>
  </si>
  <si>
    <t xml:space="preserve">PALERMO</t>
  </si>
  <si>
    <t xml:space="preserve">PATIOS</t>
  </si>
  <si>
    <t xml:space="preserve">SALAZAR</t>
  </si>
  <si>
    <t xml:space="preserve">Salazar</t>
  </si>
  <si>
    <t xml:space="preserve">SARDINATA</t>
  </si>
  <si>
    <t xml:space="preserve">Sardinata</t>
  </si>
  <si>
    <t xml:space="preserve">BELEN</t>
  </si>
  <si>
    <t xml:space="preserve">SAN MATEO</t>
  </si>
  <si>
    <t xml:space="preserve">ESCOBAL</t>
  </si>
  <si>
    <t xml:space="preserve">SAMAN</t>
  </si>
  <si>
    <t xml:space="preserve">ATALAYA</t>
  </si>
  <si>
    <t xml:space="preserve">SEVILLA</t>
  </si>
  <si>
    <t xml:space="preserve">Declara 3 barrajes de 13.8kv y uno de 34.5kv pero en demanda solo 2 de 13.8 y los otros 2 de 34.5 dice que son un porcentaje de otras subestaciones como 90% de la carga de insula.</t>
  </si>
  <si>
    <t xml:space="preserve">ÍNSULA</t>
  </si>
  <si>
    <t xml:space="preserve">SAN FAUSTINO</t>
  </si>
  <si>
    <t xml:space="preserve">INSULA</t>
  </si>
  <si>
    <t xml:space="preserve">EL SAMAN</t>
  </si>
  <si>
    <t xml:space="preserve">ZULIA</t>
  </si>
  <si>
    <t xml:space="preserve">PLANTA ZULIA</t>
  </si>
  <si>
    <t xml:space="preserve">SAN ROQUE</t>
  </si>
  <si>
    <t xml:space="preserve">PAMPLONA</t>
  </si>
  <si>
    <t xml:space="preserve">Pamplona</t>
  </si>
  <si>
    <t xml:space="preserve">Pertenece a toledo pero toledo no esta en tr2 porque es de 230kv</t>
  </si>
  <si>
    <t xml:space="preserve">LOS PATIOS</t>
  </si>
  <si>
    <t xml:space="preserve">Los Patios</t>
  </si>
  <si>
    <t xml:space="preserve">TIBU</t>
  </si>
  <si>
    <t xml:space="preserve">CAMPO DOS</t>
  </si>
  <si>
    <t xml:space="preserve">Tibú</t>
  </si>
  <si>
    <t xml:space="preserve">LA GABARRA</t>
  </si>
  <si>
    <t xml:space="preserve">ORU</t>
  </si>
  <si>
    <t xml:space="preserve">El Tarra</t>
  </si>
  <si>
    <t xml:space="preserve">PLANTA TIBU</t>
  </si>
  <si>
    <t xml:space="preserve">TIBÚ</t>
  </si>
  <si>
    <t xml:space="preserve">CONVENCION</t>
  </si>
  <si>
    <t xml:space="preserve">SAN PABLO</t>
  </si>
  <si>
    <t xml:space="preserve">Teorama</t>
  </si>
  <si>
    <t xml:space="preserve">Convención</t>
  </si>
  <si>
    <t xml:space="preserve">OCAÑA</t>
  </si>
  <si>
    <t xml:space="preserve">ABREGO</t>
  </si>
  <si>
    <t xml:space="preserve">Abrego</t>
  </si>
  <si>
    <t xml:space="preserve">ALTO DEL POZO</t>
  </si>
  <si>
    <t xml:space="preserve">Ocaña</t>
  </si>
  <si>
    <t xml:space="preserve">LA PLAYA</t>
  </si>
  <si>
    <t xml:space="preserve">AYACUCHO</t>
  </si>
  <si>
    <t xml:space="preserve">LA MATA</t>
  </si>
  <si>
    <t xml:space="preserve">Cesar</t>
  </si>
  <si>
    <t xml:space="preserve">La Gloria</t>
  </si>
  <si>
    <t xml:space="preserve">PELAYA</t>
  </si>
  <si>
    <t xml:space="preserve">AGUACHICA</t>
  </si>
  <si>
    <t xml:space="preserve">Aguachica</t>
  </si>
  <si>
    <t xml:space="preserve">EL TARRA</t>
  </si>
  <si>
    <t xml:space="preserve">GAMARRA</t>
  </si>
  <si>
    <t xml:space="preserve">Gamarra</t>
  </si>
  <si>
    <t xml:space="preserve">Pelaya</t>
  </si>
  <si>
    <t xml:space="preserve">CACHIRA</t>
  </si>
  <si>
    <t xml:space="preserve">SAN ALBERTO</t>
  </si>
  <si>
    <t xml:space="preserve">Cáchira</t>
  </si>
  <si>
    <t xml:space="preserve">Pertenece a San Alberto pero no aparece ni en subestaciones ni tr2o3</t>
  </si>
  <si>
    <t xml:space="preserve">MONTECITOS</t>
  </si>
  <si>
    <t xml:space="preserve">BUTURAMA</t>
  </si>
  <si>
    <t xml:space="preserve">LA MIEL</t>
  </si>
  <si>
    <t xml:space="preserve">LOS MANGOS</t>
  </si>
  <si>
    <t xml:space="preserve">LOS ALPES</t>
  </si>
  <si>
    <t xml:space="preserve">Gramalote</t>
  </si>
  <si>
    <t xml:space="preserve">CAÑO INDIO</t>
  </si>
  <si>
    <t xml:space="preserve">solo aparece reportado en tr2</t>
  </si>
  <si>
    <t xml:space="preserve">DON JUANA</t>
  </si>
  <si>
    <t xml:space="preserve">Bochalema</t>
  </si>
  <si>
    <t xml:space="preserve">TONCHALÁ</t>
  </si>
  <si>
    <t xml:space="preserve">no aparece en demanda</t>
  </si>
  <si>
    <t xml:space="preserve">Chinácota</t>
  </si>
  <si>
    <t xml:space="preserve">SAN ANTONIO</t>
  </si>
  <si>
    <t xml:space="preserve">MORALES</t>
  </si>
  <si>
    <t xml:space="preserve">Morales</t>
  </si>
  <si>
    <t xml:space="preserve">EL MOLINO</t>
  </si>
  <si>
    <t xml:space="preserve">PUERTO SANTANDER</t>
  </si>
  <si>
    <t xml:space="preserve">GUAMALITO</t>
  </si>
  <si>
    <t xml:space="preserve">La Esperanza</t>
  </si>
  <si>
    <t xml:space="preserve">TORCOROMA</t>
  </si>
  <si>
    <t xml:space="preserve">PRADOS</t>
  </si>
  <si>
    <t xml:space="preserve">CUCUTILLA</t>
  </si>
  <si>
    <t xml:space="preserve">Cucutilla</t>
  </si>
  <si>
    <t xml:space="preserve">CHAPARRAL</t>
  </si>
  <si>
    <t xml:space="preserve">CHITAGA</t>
  </si>
  <si>
    <t xml:space="preserve">Chitagá</t>
  </si>
  <si>
    <t xml:space="preserve">CAMPO ALICIA</t>
  </si>
  <si>
    <t xml:space="preserve">CENTRO</t>
  </si>
  <si>
    <t xml:space="preserve">ASTILLEROS</t>
  </si>
  <si>
    <t xml:space="preserve">CEDROS</t>
  </si>
  <si>
    <t xml:space="preserve">NORTE</t>
  </si>
  <si>
    <t xml:space="preserve">al parecer todas son nuevas y por eso no han declarado demanda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</si>
</sst>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E2F0D9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4"/>
  <sheetViews>
    <sheetView showFormulas="false" showGridLines="true" showRowColHeaders="true" showZeros="true" rightToLeft="false" tabSelected="true" showOutlineSymbols="true" defaultGridColor="true" view="normal" topLeftCell="C115" colorId="64" zoomScale="100" zoomScaleNormal="100" zoomScalePageLayoutView="100" workbookViewId="0">
      <selection pane="topLeft" activeCell="O6" activeCellId="0" sqref="O6"/>
    </sheetView>
  </sheetViews>
  <sheetFormatPr defaultColWidth="8.59765625" defaultRowHeight="13.8" zeroHeight="false" outlineLevelRow="0" outlineLevelCol="0"/>
  <cols>
    <col collapsed="false" customWidth="true" hidden="false" outlineLevel="0" max="2" min="1" style="1" width="19.27"/>
    <col collapsed="false" customWidth="false" hidden="false" outlineLevel="0" max="3" min="3" style="2" width="8.59"/>
    <col collapsed="false" customWidth="true" hidden="false" outlineLevel="0" max="5" min="5" style="3" width="11.51"/>
    <col collapsed="false" customWidth="true" hidden="false" outlineLevel="0" max="6" min="6" style="1" width="13.88"/>
    <col collapsed="false" customWidth="true" hidden="false" outlineLevel="0" max="7" min="7" style="3" width="13.84"/>
    <col collapsed="false" customWidth="true" hidden="false" outlineLevel="0" max="8" min="8" style="1" width="11.02"/>
    <col collapsed="false" customWidth="true" hidden="false" outlineLevel="0" max="9" min="9" style="1" width="17.8"/>
    <col collapsed="false" customWidth="true" hidden="false" outlineLevel="0" max="10" min="10" style="1" width="13.27"/>
    <col collapsed="false" customWidth="true" hidden="false" outlineLevel="0" max="11" min="11" style="1" width="12.41"/>
    <col collapsed="false" customWidth="true" hidden="false" outlineLevel="0" max="12" min="12" style="1" width="13.63"/>
  </cols>
  <sheetData>
    <row r="1" s="6" customFormat="true" ht="26.1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Format="false" ht="13.8" hidden="false" customHeight="false" outlineLevel="0" collapsed="false">
      <c r="A2" s="4" t="s">
        <v>12</v>
      </c>
      <c r="B2" s="7" t="s">
        <v>12</v>
      </c>
      <c r="C2" s="8" t="n">
        <v>34.5</v>
      </c>
      <c r="D2" s="9" t="n">
        <v>13.8</v>
      </c>
      <c r="E2" s="10" t="n">
        <v>5</v>
      </c>
      <c r="F2" s="11" t="s">
        <v>13</v>
      </c>
      <c r="G2" s="12" t="n">
        <v>1.47519230769231</v>
      </c>
      <c r="H2" s="13"/>
      <c r="I2" s="9" t="s">
        <v>14</v>
      </c>
      <c r="J2" s="9" t="n">
        <f aca="false">SUM(E10:E12)+G13</f>
        <v>120.125175848537</v>
      </c>
      <c r="K2" s="9" t="s">
        <v>15</v>
      </c>
      <c r="L2" s="14"/>
    </row>
    <row r="3" customFormat="false" ht="13.8" hidden="false" customHeight="false" outlineLevel="0" collapsed="false">
      <c r="A3" s="4"/>
      <c r="B3" s="15" t="s">
        <v>12</v>
      </c>
      <c r="C3" s="16" t="n">
        <v>34.5</v>
      </c>
      <c r="D3" s="17" t="n">
        <v>13.8</v>
      </c>
      <c r="E3" s="18" t="n">
        <v>4</v>
      </c>
      <c r="F3" s="19" t="s">
        <v>16</v>
      </c>
      <c r="G3" s="20" t="n">
        <v>2.04673076923077</v>
      </c>
      <c r="H3" s="21"/>
      <c r="I3" s="17" t="s">
        <v>14</v>
      </c>
      <c r="J3" s="17"/>
      <c r="K3" s="17" t="s">
        <v>15</v>
      </c>
      <c r="L3" s="22"/>
    </row>
    <row r="4" customFormat="false" ht="13.8" hidden="false" customHeight="false" outlineLevel="0" collapsed="false">
      <c r="A4" s="4"/>
      <c r="B4" s="15" t="s">
        <v>12</v>
      </c>
      <c r="C4" s="16" t="n">
        <v>34.5</v>
      </c>
      <c r="D4" s="17" t="n">
        <v>13.8</v>
      </c>
      <c r="E4" s="18" t="n">
        <v>4</v>
      </c>
      <c r="F4" s="19" t="s">
        <v>17</v>
      </c>
      <c r="G4" s="20" t="n">
        <v>1.8622</v>
      </c>
      <c r="H4" s="21"/>
      <c r="I4" s="17" t="s">
        <v>14</v>
      </c>
      <c r="J4" s="17"/>
      <c r="K4" s="23"/>
      <c r="L4" s="22"/>
    </row>
    <row r="5" customFormat="false" ht="13.8" hidden="false" customHeight="false" outlineLevel="0" collapsed="false">
      <c r="A5" s="4"/>
      <c r="B5" s="15" t="s">
        <v>12</v>
      </c>
      <c r="C5" s="16" t="n">
        <v>34.5</v>
      </c>
      <c r="D5" s="17" t="n">
        <v>13.8</v>
      </c>
      <c r="E5" s="18" t="n">
        <v>6</v>
      </c>
      <c r="F5" s="19" t="s">
        <v>18</v>
      </c>
      <c r="G5" s="20" t="n">
        <v>1.03390619512195</v>
      </c>
      <c r="H5" s="21"/>
      <c r="I5" s="17" t="s">
        <v>14</v>
      </c>
      <c r="J5" s="17"/>
      <c r="K5" s="17" t="s">
        <v>19</v>
      </c>
      <c r="L5" s="22"/>
    </row>
    <row r="6" customFormat="false" ht="13.8" hidden="false" customHeight="false" outlineLevel="0" collapsed="false">
      <c r="A6" s="4"/>
      <c r="B6" s="15" t="s">
        <v>12</v>
      </c>
      <c r="C6" s="16" t="n">
        <v>34.5</v>
      </c>
      <c r="D6" s="17" t="n">
        <v>13.8</v>
      </c>
      <c r="E6" s="18" t="n">
        <v>12.5</v>
      </c>
      <c r="F6" s="19" t="s">
        <v>20</v>
      </c>
      <c r="G6" s="20" t="n">
        <v>3.571521739</v>
      </c>
      <c r="H6" s="21"/>
      <c r="I6" s="17" t="s">
        <v>14</v>
      </c>
      <c r="J6" s="17"/>
      <c r="K6" s="17" t="s">
        <v>19</v>
      </c>
      <c r="L6" s="22"/>
    </row>
    <row r="7" customFormat="false" ht="13.8" hidden="false" customHeight="false" outlineLevel="0" collapsed="false">
      <c r="A7" s="4"/>
      <c r="B7" s="15" t="s">
        <v>12</v>
      </c>
      <c r="C7" s="16" t="n">
        <v>34.5</v>
      </c>
      <c r="D7" s="17" t="n">
        <v>13.8</v>
      </c>
      <c r="E7" s="18" t="n">
        <v>12.5</v>
      </c>
      <c r="F7" s="19" t="s">
        <v>21</v>
      </c>
      <c r="G7" s="20" t="n">
        <v>4.601304348</v>
      </c>
      <c r="H7" s="21"/>
      <c r="I7" s="17" t="s">
        <v>14</v>
      </c>
      <c r="J7" s="17"/>
      <c r="K7" s="17" t="s">
        <v>19</v>
      </c>
      <c r="L7" s="22"/>
    </row>
    <row r="8" customFormat="false" ht="13.8" hidden="false" customHeight="false" outlineLevel="0" collapsed="false">
      <c r="A8" s="4"/>
      <c r="B8" s="15" t="s">
        <v>12</v>
      </c>
      <c r="C8" s="16" t="n">
        <v>34.5</v>
      </c>
      <c r="D8" s="17" t="n">
        <v>13.8</v>
      </c>
      <c r="E8" s="18" t="n">
        <v>3.5</v>
      </c>
      <c r="F8" s="19" t="s">
        <v>22</v>
      </c>
      <c r="G8" s="20" t="n">
        <v>1.49901960784314</v>
      </c>
      <c r="H8" s="21"/>
      <c r="I8" s="17" t="s">
        <v>14</v>
      </c>
      <c r="J8" s="17"/>
      <c r="K8" s="17" t="s">
        <v>23</v>
      </c>
      <c r="L8" s="22"/>
    </row>
    <row r="9" customFormat="false" ht="14.9" hidden="false" customHeight="false" outlineLevel="0" collapsed="false">
      <c r="A9" s="4"/>
      <c r="B9" s="15" t="s">
        <v>12</v>
      </c>
      <c r="C9" s="16" t="n">
        <v>34.5</v>
      </c>
      <c r="D9" s="17" t="n">
        <v>13.8</v>
      </c>
      <c r="E9" s="18" t="n">
        <v>4</v>
      </c>
      <c r="F9" s="19" t="s">
        <v>24</v>
      </c>
      <c r="G9" s="20" t="n">
        <v>2.33631261904762</v>
      </c>
      <c r="H9" s="24" t="n">
        <f aca="false">SUM(G2:G9)</f>
        <v>18.4261875859358</v>
      </c>
      <c r="I9" s="17" t="s">
        <v>14</v>
      </c>
      <c r="J9" s="17"/>
      <c r="K9" s="17" t="s">
        <v>25</v>
      </c>
      <c r="L9" s="22"/>
    </row>
    <row r="10" customFormat="false" ht="13.8" hidden="false" customHeight="false" outlineLevel="0" collapsed="false">
      <c r="A10" s="4"/>
      <c r="B10" s="15" t="s">
        <v>12</v>
      </c>
      <c r="C10" s="16" t="n">
        <v>115</v>
      </c>
      <c r="D10" s="17" t="n">
        <v>13.8</v>
      </c>
      <c r="E10" s="18" t="n">
        <v>25</v>
      </c>
      <c r="F10" s="19" t="s">
        <v>26</v>
      </c>
      <c r="G10" s="20" t="n">
        <v>5.0236139950859</v>
      </c>
      <c r="H10" s="17"/>
      <c r="I10" s="17" t="s">
        <v>14</v>
      </c>
      <c r="J10" s="17"/>
      <c r="K10" s="17" t="s">
        <v>19</v>
      </c>
      <c r="L10" s="25"/>
    </row>
    <row r="11" customFormat="false" ht="13.8" hidden="false" customHeight="false" outlineLevel="0" collapsed="false">
      <c r="A11" s="4"/>
      <c r="B11" s="15" t="s">
        <v>12</v>
      </c>
      <c r="C11" s="16" t="n">
        <v>115</v>
      </c>
      <c r="D11" s="17" t="n">
        <v>13.8</v>
      </c>
      <c r="E11" s="18" t="n">
        <v>40</v>
      </c>
      <c r="F11" s="19" t="s">
        <v>26</v>
      </c>
      <c r="G11" s="20" t="n">
        <v>14.8188349845059</v>
      </c>
      <c r="H11" s="26" t="n">
        <f aca="false">SUM(G10:G12)</f>
        <v>26.5513634344724</v>
      </c>
      <c r="I11" s="17" t="s">
        <v>14</v>
      </c>
      <c r="J11" s="17"/>
      <c r="K11" s="17" t="s">
        <v>19</v>
      </c>
      <c r="L11" s="25"/>
    </row>
    <row r="12" customFormat="false" ht="13.8" hidden="false" customHeight="false" outlineLevel="0" collapsed="false">
      <c r="A12" s="4"/>
      <c r="B12" s="15" t="s">
        <v>12</v>
      </c>
      <c r="C12" s="16" t="n">
        <v>115</v>
      </c>
      <c r="D12" s="17" t="n">
        <v>34.5</v>
      </c>
      <c r="E12" s="18" t="n">
        <v>47</v>
      </c>
      <c r="F12" s="19" t="s">
        <v>26</v>
      </c>
      <c r="G12" s="20" t="n">
        <v>6.70891445488054</v>
      </c>
      <c r="H12" s="17"/>
      <c r="I12" s="17" t="s">
        <v>14</v>
      </c>
      <c r="J12" s="17"/>
      <c r="K12" s="17" t="s">
        <v>19</v>
      </c>
      <c r="L12" s="25"/>
    </row>
    <row r="13" customFormat="false" ht="13.8" hidden="false" customHeight="false" outlineLevel="0" collapsed="false">
      <c r="A13" s="4"/>
      <c r="B13" s="27" t="s">
        <v>12</v>
      </c>
      <c r="C13" s="28"/>
      <c r="D13" s="29"/>
      <c r="E13" s="30"/>
      <c r="F13" s="31"/>
      <c r="G13" s="32" t="n">
        <f aca="false">H11-H9</f>
        <v>8.12517584853659</v>
      </c>
      <c r="H13" s="31"/>
      <c r="I13" s="31" t="s">
        <v>14</v>
      </c>
      <c r="J13" s="31"/>
      <c r="K13" s="31" t="s">
        <v>19</v>
      </c>
      <c r="L13" s="33"/>
    </row>
    <row r="14" customFormat="false" ht="13.8" hidden="false" customHeight="false" outlineLevel="0" collapsed="false">
      <c r="A14" s="4" t="s">
        <v>27</v>
      </c>
      <c r="B14" s="7" t="s">
        <v>27</v>
      </c>
      <c r="C14" s="34"/>
      <c r="D14" s="35"/>
      <c r="E14" s="10"/>
      <c r="F14" s="36" t="s">
        <v>28</v>
      </c>
      <c r="G14" s="10" t="n">
        <v>7.62</v>
      </c>
      <c r="H14" s="9"/>
      <c r="I14" s="9" t="s">
        <v>14</v>
      </c>
      <c r="J14" s="9" t="n">
        <f aca="false">G19+SUM(E16:E18)</f>
        <v>175.974941453895</v>
      </c>
      <c r="K14" s="9" t="s">
        <v>19</v>
      </c>
      <c r="L14" s="37"/>
    </row>
    <row r="15" customFormat="false" ht="13.8" hidden="false" customHeight="false" outlineLevel="0" collapsed="false">
      <c r="A15" s="4"/>
      <c r="B15" s="15" t="s">
        <v>27</v>
      </c>
      <c r="C15" s="38"/>
      <c r="D15" s="23"/>
      <c r="E15" s="18"/>
      <c r="F15" s="39" t="s">
        <v>29</v>
      </c>
      <c r="G15" s="40" t="n">
        <v>5.34615384615385</v>
      </c>
      <c r="H15" s="41" t="n">
        <f aca="false">SUM(G14:G15)</f>
        <v>12.9661538461538</v>
      </c>
      <c r="I15" s="17" t="s">
        <v>14</v>
      </c>
      <c r="J15" s="17"/>
      <c r="K15" s="17" t="s">
        <v>19</v>
      </c>
      <c r="L15" s="25"/>
    </row>
    <row r="16" customFormat="false" ht="13.8" hidden="false" customHeight="false" outlineLevel="0" collapsed="false">
      <c r="A16" s="4"/>
      <c r="B16" s="15" t="s">
        <v>27</v>
      </c>
      <c r="C16" s="16" t="n">
        <v>115</v>
      </c>
      <c r="D16" s="17" t="n">
        <v>34.5</v>
      </c>
      <c r="E16" s="18" t="n">
        <v>47</v>
      </c>
      <c r="F16" s="19" t="s">
        <v>27</v>
      </c>
      <c r="G16" s="40" t="n">
        <v>16.1205162926265</v>
      </c>
      <c r="H16" s="23"/>
      <c r="I16" s="17" t="s">
        <v>14</v>
      </c>
      <c r="J16" s="17"/>
      <c r="K16" s="17" t="s">
        <v>19</v>
      </c>
      <c r="L16" s="25"/>
    </row>
    <row r="17" customFormat="false" ht="13.8" hidden="false" customHeight="false" outlineLevel="0" collapsed="false">
      <c r="A17" s="4"/>
      <c r="B17" s="15" t="s">
        <v>27</v>
      </c>
      <c r="C17" s="16" t="n">
        <v>115</v>
      </c>
      <c r="D17" s="17" t="n">
        <v>13.8</v>
      </c>
      <c r="E17" s="18" t="n">
        <v>47</v>
      </c>
      <c r="F17" s="19" t="s">
        <v>27</v>
      </c>
      <c r="G17" s="40" t="n">
        <v>24.5952529381428</v>
      </c>
      <c r="H17" s="17"/>
      <c r="I17" s="17" t="s">
        <v>14</v>
      </c>
      <c r="J17" s="17"/>
      <c r="K17" s="17" t="s">
        <v>19</v>
      </c>
      <c r="L17" s="25"/>
    </row>
    <row r="18" customFormat="false" ht="13.8" hidden="false" customHeight="false" outlineLevel="0" collapsed="false">
      <c r="A18" s="4"/>
      <c r="B18" s="15" t="s">
        <v>27</v>
      </c>
      <c r="C18" s="16" t="n">
        <v>115</v>
      </c>
      <c r="D18" s="17" t="n">
        <v>13.8</v>
      </c>
      <c r="E18" s="18" t="n">
        <v>40</v>
      </c>
      <c r="F18" s="19" t="s">
        <v>27</v>
      </c>
      <c r="G18" s="40" t="n">
        <v>14.2253260692796</v>
      </c>
      <c r="H18" s="17" t="n">
        <f aca="false">SUM(G16:G18)</f>
        <v>54.9410953000488</v>
      </c>
      <c r="I18" s="17" t="s">
        <v>14</v>
      </c>
      <c r="J18" s="17"/>
      <c r="K18" s="17" t="s">
        <v>19</v>
      </c>
      <c r="L18" s="25"/>
    </row>
    <row r="19" customFormat="false" ht="13.8" hidden="false" customHeight="false" outlineLevel="0" collapsed="false">
      <c r="A19" s="4"/>
      <c r="B19" s="27"/>
      <c r="C19" s="30"/>
      <c r="D19" s="31"/>
      <c r="E19" s="30"/>
      <c r="F19" s="31"/>
      <c r="G19" s="32" t="n">
        <f aca="false">H18-H15</f>
        <v>41.974941453895</v>
      </c>
      <c r="H19" s="31"/>
      <c r="I19" s="31" t="s">
        <v>14</v>
      </c>
      <c r="J19" s="31"/>
      <c r="K19" s="31" t="s">
        <v>19</v>
      </c>
      <c r="L19" s="33"/>
    </row>
    <row r="20" customFormat="false" ht="13.8" hidden="false" customHeight="false" outlineLevel="0" collapsed="false">
      <c r="A20" s="42" t="s">
        <v>30</v>
      </c>
      <c r="B20" s="43" t="s">
        <v>30</v>
      </c>
      <c r="C20" s="44" t="n">
        <v>34.5</v>
      </c>
      <c r="D20" s="43" t="n">
        <v>13.8</v>
      </c>
      <c r="E20" s="44" t="n">
        <v>22</v>
      </c>
      <c r="F20" s="43" t="s">
        <v>30</v>
      </c>
      <c r="G20" s="45" t="n">
        <v>6.5206</v>
      </c>
      <c r="H20" s="46" t="n">
        <v>6.5206</v>
      </c>
      <c r="I20" s="43" t="s">
        <v>14</v>
      </c>
      <c r="J20" s="43" t="n">
        <f aca="false">G20+E20</f>
        <v>28.5206</v>
      </c>
      <c r="K20" s="43" t="s">
        <v>19</v>
      </c>
      <c r="L20" s="47"/>
    </row>
    <row r="21" customFormat="false" ht="13.8" hidden="false" customHeight="false" outlineLevel="0" collapsed="false">
      <c r="A21" s="42" t="s">
        <v>31</v>
      </c>
      <c r="B21" s="7" t="s">
        <v>31</v>
      </c>
      <c r="C21" s="34"/>
      <c r="D21" s="35" t="n">
        <v>34.5</v>
      </c>
      <c r="E21" s="34"/>
      <c r="F21" s="11" t="s">
        <v>31</v>
      </c>
      <c r="G21" s="48" t="n">
        <v>15.0385759255488</v>
      </c>
      <c r="H21" s="11"/>
      <c r="I21" s="11" t="s">
        <v>14</v>
      </c>
      <c r="J21" s="49" t="n">
        <f aca="false">G26+SUM(E22:E25)</f>
        <v>195.889401179991</v>
      </c>
      <c r="K21" s="49" t="s">
        <v>19</v>
      </c>
      <c r="L21" s="50" t="s">
        <v>32</v>
      </c>
    </row>
    <row r="22" customFormat="false" ht="13.8" hidden="false" customHeight="false" outlineLevel="0" collapsed="false">
      <c r="A22" s="42"/>
      <c r="B22" s="15" t="s">
        <v>31</v>
      </c>
      <c r="C22" s="3" t="n">
        <v>115</v>
      </c>
      <c r="D22" s="1" t="n">
        <v>13.8</v>
      </c>
      <c r="E22" s="3" t="n">
        <v>20</v>
      </c>
      <c r="F22" s="51" t="s">
        <v>31</v>
      </c>
      <c r="G22" s="40" t="n">
        <v>17.3828007997358</v>
      </c>
      <c r="H22" s="51"/>
      <c r="I22" s="51" t="s">
        <v>14</v>
      </c>
      <c r="K22" s="1" t="s">
        <v>19</v>
      </c>
      <c r="L22" s="25"/>
    </row>
    <row r="23" customFormat="false" ht="13.8" hidden="false" customHeight="false" outlineLevel="0" collapsed="false">
      <c r="A23" s="42"/>
      <c r="B23" s="15" t="s">
        <v>31</v>
      </c>
      <c r="C23" s="3" t="n">
        <v>115</v>
      </c>
      <c r="D23" s="1" t="n">
        <v>13.8</v>
      </c>
      <c r="E23" s="3" t="n">
        <v>32</v>
      </c>
      <c r="F23" s="51" t="s">
        <v>31</v>
      </c>
      <c r="G23" s="40" t="n">
        <v>9.67158353239921</v>
      </c>
      <c r="H23" s="51"/>
      <c r="I23" s="51" t="s">
        <v>14</v>
      </c>
      <c r="K23" s="1" t="s">
        <v>19</v>
      </c>
      <c r="L23" s="25"/>
    </row>
    <row r="24" customFormat="false" ht="13.8" hidden="false" customHeight="false" outlineLevel="0" collapsed="false">
      <c r="A24" s="42"/>
      <c r="B24" s="15" t="s">
        <v>31</v>
      </c>
      <c r="C24" s="3" t="n">
        <v>115</v>
      </c>
      <c r="D24" s="1" t="n">
        <v>34.5</v>
      </c>
      <c r="E24" s="3" t="n">
        <v>47</v>
      </c>
      <c r="F24" s="51" t="s">
        <v>31</v>
      </c>
      <c r="G24" s="52" t="n">
        <v>7.79644092230769</v>
      </c>
      <c r="H24" s="51"/>
      <c r="I24" s="51" t="s">
        <v>14</v>
      </c>
      <c r="K24" s="1" t="s">
        <v>19</v>
      </c>
      <c r="L24" s="25"/>
    </row>
    <row r="25" customFormat="false" ht="13.8" hidden="false" customHeight="false" outlineLevel="0" collapsed="false">
      <c r="A25" s="42"/>
      <c r="B25" s="15" t="s">
        <v>31</v>
      </c>
      <c r="C25" s="16" t="n">
        <v>115</v>
      </c>
      <c r="D25" s="17" t="n">
        <v>13.8</v>
      </c>
      <c r="E25" s="16" t="n">
        <v>47</v>
      </c>
      <c r="F25" s="17" t="s">
        <v>31</v>
      </c>
      <c r="G25" s="38"/>
      <c r="H25" s="17" t="n">
        <f aca="false">SUM(G21:G24)</f>
        <v>49.8894011799915</v>
      </c>
      <c r="I25" s="17" t="s">
        <v>14</v>
      </c>
      <c r="J25" s="17"/>
      <c r="K25" s="17" t="s">
        <v>19</v>
      </c>
      <c r="L25" s="25"/>
    </row>
    <row r="26" customFormat="false" ht="13.8" hidden="false" customHeight="false" outlineLevel="0" collapsed="false">
      <c r="A26" s="42"/>
      <c r="B26" s="27" t="s">
        <v>31</v>
      </c>
      <c r="C26" s="28"/>
      <c r="D26" s="29"/>
      <c r="E26" s="28"/>
      <c r="F26" s="31"/>
      <c r="G26" s="32" t="n">
        <f aca="false">H25</f>
        <v>49.8894011799915</v>
      </c>
      <c r="H26" s="31"/>
      <c r="I26" s="31" t="s">
        <v>14</v>
      </c>
      <c r="J26" s="31"/>
      <c r="K26" s="31" t="s">
        <v>19</v>
      </c>
      <c r="L26" s="33"/>
    </row>
    <row r="27" customFormat="false" ht="13.8" hidden="false" customHeight="false" outlineLevel="0" collapsed="false">
      <c r="A27" s="42" t="s">
        <v>33</v>
      </c>
      <c r="B27" s="7" t="s">
        <v>33</v>
      </c>
      <c r="C27" s="10" t="n">
        <v>34.5</v>
      </c>
      <c r="D27" s="11" t="n">
        <v>13.8</v>
      </c>
      <c r="E27" s="10" t="n">
        <v>22</v>
      </c>
      <c r="F27" s="11" t="s">
        <v>30</v>
      </c>
      <c r="G27" s="53" t="n">
        <v>6.5206</v>
      </c>
      <c r="H27" s="11"/>
      <c r="I27" s="49" t="s">
        <v>14</v>
      </c>
      <c r="J27" s="49" t="n">
        <f aca="false">G32+SUM(E29:E32)</f>
        <v>139.245892307692</v>
      </c>
      <c r="K27" s="49" t="s">
        <v>19</v>
      </c>
      <c r="L27" s="50"/>
    </row>
    <row r="28" customFormat="false" ht="13.8" hidden="false" customHeight="false" outlineLevel="0" collapsed="false">
      <c r="A28" s="42"/>
      <c r="B28" s="15" t="s">
        <v>33</v>
      </c>
      <c r="C28" s="54" t="n">
        <v>34.5</v>
      </c>
      <c r="D28" s="54" t="n">
        <v>13.8</v>
      </c>
      <c r="E28" s="54" t="n">
        <v>12.5</v>
      </c>
      <c r="F28" s="39" t="s">
        <v>34</v>
      </c>
      <c r="G28" s="40" t="n">
        <v>2.3573</v>
      </c>
      <c r="H28" s="51" t="n">
        <f aca="false">SUM(G27:G28)</f>
        <v>8.8779</v>
      </c>
      <c r="I28" s="1" t="s">
        <v>14</v>
      </c>
      <c r="K28" s="1" t="s">
        <v>19</v>
      </c>
      <c r="L28" s="25"/>
    </row>
    <row r="29" customFormat="false" ht="13.8" hidden="false" customHeight="false" outlineLevel="0" collapsed="false">
      <c r="A29" s="42"/>
      <c r="B29" s="15" t="s">
        <v>33</v>
      </c>
      <c r="C29" s="52" t="n">
        <v>115</v>
      </c>
      <c r="D29" s="51" t="n">
        <v>34.5</v>
      </c>
      <c r="E29" s="52" t="n">
        <v>40</v>
      </c>
      <c r="F29" s="51" t="s">
        <v>35</v>
      </c>
      <c r="G29" s="52"/>
      <c r="H29" s="55"/>
      <c r="I29" s="1" t="s">
        <v>14</v>
      </c>
      <c r="K29" s="1" t="s">
        <v>19</v>
      </c>
      <c r="L29" s="25"/>
    </row>
    <row r="30" customFormat="false" ht="13.8" hidden="false" customHeight="false" outlineLevel="0" collapsed="false">
      <c r="A30" s="42"/>
      <c r="B30" s="15" t="s">
        <v>33</v>
      </c>
      <c r="C30" s="52" t="n">
        <v>115</v>
      </c>
      <c r="D30" s="51" t="n">
        <v>13.8</v>
      </c>
      <c r="E30" s="52" t="n">
        <v>25</v>
      </c>
      <c r="F30" s="51" t="s">
        <v>35</v>
      </c>
      <c r="G30" s="40" t="n">
        <v>9.4292</v>
      </c>
      <c r="H30" s="56" t="n">
        <f aca="false">SUM(G30:G31)</f>
        <v>18.1237923076923</v>
      </c>
      <c r="I30" s="1" t="s">
        <v>14</v>
      </c>
      <c r="K30" s="1" t="s">
        <v>19</v>
      </c>
      <c r="L30" s="25"/>
    </row>
    <row r="31" customFormat="false" ht="13.8" hidden="false" customHeight="false" outlineLevel="0" collapsed="false">
      <c r="A31" s="42"/>
      <c r="B31" s="15" t="s">
        <v>33</v>
      </c>
      <c r="C31" s="52" t="n">
        <v>115</v>
      </c>
      <c r="D31" s="51" t="n">
        <v>34.5</v>
      </c>
      <c r="E31" s="52" t="n">
        <v>40</v>
      </c>
      <c r="F31" s="51" t="s">
        <v>35</v>
      </c>
      <c r="G31" s="40" t="n">
        <v>8.69459230769231</v>
      </c>
      <c r="H31" s="51"/>
      <c r="I31" s="1" t="s">
        <v>14</v>
      </c>
      <c r="K31" s="1" t="s">
        <v>19</v>
      </c>
      <c r="L31" s="25"/>
    </row>
    <row r="32" customFormat="false" ht="13.8" hidden="false" customHeight="false" outlineLevel="0" collapsed="false">
      <c r="A32" s="42"/>
      <c r="B32" s="27" t="s">
        <v>33</v>
      </c>
      <c r="C32" s="30" t="n">
        <v>115</v>
      </c>
      <c r="D32" s="31" t="n">
        <v>13.8</v>
      </c>
      <c r="E32" s="30" t="n">
        <v>25</v>
      </c>
      <c r="F32" s="31" t="s">
        <v>35</v>
      </c>
      <c r="G32" s="32" t="n">
        <f aca="false">H30-H28</f>
        <v>9.24589230769231</v>
      </c>
      <c r="H32" s="31"/>
      <c r="I32" s="31" t="s">
        <v>14</v>
      </c>
      <c r="J32" s="31"/>
      <c r="K32" s="31" t="s">
        <v>19</v>
      </c>
      <c r="L32" s="33"/>
    </row>
    <row r="33" s="23" customFormat="true" ht="13.8" hidden="false" customHeight="false" outlineLevel="0" collapsed="false">
      <c r="A33" s="42" t="s">
        <v>36</v>
      </c>
      <c r="B33" s="43" t="s">
        <v>36</v>
      </c>
      <c r="C33" s="44" t="n">
        <v>34.5</v>
      </c>
      <c r="D33" s="43" t="n">
        <v>13.8</v>
      </c>
      <c r="E33" s="44" t="n">
        <v>18</v>
      </c>
      <c r="F33" s="43" t="s">
        <v>36</v>
      </c>
      <c r="G33" s="45" t="n">
        <v>5.34615384615385</v>
      </c>
      <c r="H33" s="57" t="n">
        <f aca="false">G33</f>
        <v>5.34615384615385</v>
      </c>
      <c r="I33" s="43" t="s">
        <v>14</v>
      </c>
      <c r="J33" s="43" t="n">
        <f aca="false">G33+E33</f>
        <v>23.3461538461538</v>
      </c>
      <c r="K33" s="43" t="s">
        <v>19</v>
      </c>
      <c r="L33" s="47"/>
    </row>
    <row r="34" customFormat="false" ht="13.8" hidden="false" customHeight="false" outlineLevel="0" collapsed="false">
      <c r="A34" s="42" t="s">
        <v>28</v>
      </c>
      <c r="B34" s="7" t="s">
        <v>28</v>
      </c>
      <c r="C34" s="8" t="n">
        <v>34.5</v>
      </c>
      <c r="D34" s="49" t="n">
        <v>13.8</v>
      </c>
      <c r="E34" s="8" t="n">
        <v>12.5</v>
      </c>
      <c r="F34" s="9" t="s">
        <v>28</v>
      </c>
      <c r="G34" s="8"/>
      <c r="H34" s="58" t="n">
        <v>7.62488372093023</v>
      </c>
      <c r="I34" s="49" t="s">
        <v>14</v>
      </c>
      <c r="J34" s="49" t="n">
        <f aca="false">G35+SUM(E34:E35)</f>
        <v>45.1248837209302</v>
      </c>
      <c r="K34" s="49" t="s">
        <v>19</v>
      </c>
      <c r="L34" s="50"/>
    </row>
    <row r="35" customFormat="false" ht="13.8" hidden="false" customHeight="false" outlineLevel="0" collapsed="false">
      <c r="A35" s="42"/>
      <c r="B35" s="27" t="s">
        <v>28</v>
      </c>
      <c r="C35" s="30" t="n">
        <v>34.5</v>
      </c>
      <c r="D35" s="31" t="n">
        <v>13.8</v>
      </c>
      <c r="E35" s="30" t="n">
        <v>25</v>
      </c>
      <c r="F35" s="31" t="s">
        <v>28</v>
      </c>
      <c r="G35" s="59" t="n">
        <f aca="false">H34</f>
        <v>7.62488372093023</v>
      </c>
      <c r="H35" s="31"/>
      <c r="I35" s="31" t="s">
        <v>14</v>
      </c>
      <c r="J35" s="31"/>
      <c r="K35" s="31" t="s">
        <v>19</v>
      </c>
      <c r="L35" s="33"/>
    </row>
    <row r="36" customFormat="false" ht="13.8" hidden="false" customHeight="false" outlineLevel="0" collapsed="false">
      <c r="A36" s="42" t="s">
        <v>37</v>
      </c>
      <c r="B36" s="7" t="s">
        <v>38</v>
      </c>
      <c r="C36" s="8" t="n">
        <v>115</v>
      </c>
      <c r="D36" s="49" t="n">
        <v>13.8</v>
      </c>
      <c r="E36" s="8" t="n">
        <v>11</v>
      </c>
      <c r="F36" s="36" t="s">
        <v>39</v>
      </c>
      <c r="G36" s="10" t="n">
        <v>1.7064911029304</v>
      </c>
      <c r="H36" s="53" t="n">
        <v>3.922083333</v>
      </c>
      <c r="I36" s="49" t="s">
        <v>14</v>
      </c>
      <c r="J36" s="49" t="n">
        <f aca="false">G38+E37</f>
        <v>27.2155922300696</v>
      </c>
      <c r="K36" s="49" t="s">
        <v>19</v>
      </c>
      <c r="L36" s="50"/>
    </row>
    <row r="37" customFormat="false" ht="13.8" hidden="false" customHeight="false" outlineLevel="0" collapsed="false">
      <c r="A37" s="42"/>
      <c r="B37" s="15" t="s">
        <v>38</v>
      </c>
      <c r="C37" s="3" t="n">
        <v>115</v>
      </c>
      <c r="D37" s="1" t="n">
        <v>34.5</v>
      </c>
      <c r="E37" s="3" t="n">
        <v>25</v>
      </c>
      <c r="F37" s="56" t="s">
        <v>38</v>
      </c>
      <c r="G37" s="40" t="n">
        <v>3.922083333</v>
      </c>
      <c r="H37" s="51"/>
      <c r="I37" s="1" t="s">
        <v>14</v>
      </c>
      <c r="K37" s="1" t="s">
        <v>19</v>
      </c>
      <c r="L37" s="25"/>
    </row>
    <row r="38" customFormat="false" ht="13.8" hidden="false" customHeight="false" outlineLevel="0" collapsed="false">
      <c r="A38" s="42"/>
      <c r="B38" s="27"/>
      <c r="C38" s="30"/>
      <c r="D38" s="31"/>
      <c r="E38" s="30"/>
      <c r="F38" s="31"/>
      <c r="G38" s="32" t="n">
        <f aca="false">H36-G36</f>
        <v>2.2155922300696</v>
      </c>
      <c r="H38" s="60"/>
      <c r="I38" s="31" t="s">
        <v>14</v>
      </c>
      <c r="J38" s="31"/>
      <c r="K38" s="31" t="s">
        <v>19</v>
      </c>
      <c r="L38" s="33"/>
    </row>
    <row r="39" customFormat="false" ht="13.8" hidden="false" customHeight="false" outlineLevel="0" collapsed="false">
      <c r="A39" s="42" t="s">
        <v>40</v>
      </c>
      <c r="B39" s="61" t="s">
        <v>40</v>
      </c>
      <c r="C39" s="44" t="n">
        <v>34.5</v>
      </c>
      <c r="D39" s="43" t="n">
        <v>13.8</v>
      </c>
      <c r="E39" s="44" t="n">
        <v>12.5</v>
      </c>
      <c r="F39" s="43" t="s">
        <v>40</v>
      </c>
      <c r="G39" s="62" t="n">
        <f aca="false">H39</f>
        <v>4.759375</v>
      </c>
      <c r="H39" s="46" t="n">
        <v>4.759375</v>
      </c>
      <c r="I39" s="43" t="s">
        <v>14</v>
      </c>
      <c r="J39" s="43" t="n">
        <f aca="false">G39+E39</f>
        <v>17.259375</v>
      </c>
      <c r="K39" s="43" t="s">
        <v>41</v>
      </c>
      <c r="L39" s="47" t="s">
        <v>42</v>
      </c>
    </row>
    <row r="40" customFormat="false" ht="13.8" hidden="false" customHeight="false" outlineLevel="0" collapsed="false">
      <c r="A40" s="42" t="s">
        <v>43</v>
      </c>
      <c r="B40" s="61" t="s">
        <v>43</v>
      </c>
      <c r="C40" s="44" t="n">
        <v>34.5</v>
      </c>
      <c r="D40" s="43" t="n">
        <v>13.8</v>
      </c>
      <c r="E40" s="44" t="n">
        <v>12.5</v>
      </c>
      <c r="F40" s="43" t="s">
        <v>43</v>
      </c>
      <c r="G40" s="62" t="n">
        <f aca="false">H40</f>
        <v>4.601304348</v>
      </c>
      <c r="H40" s="46" t="n">
        <v>4.601304348</v>
      </c>
      <c r="I40" s="43" t="s">
        <v>14</v>
      </c>
      <c r="J40" s="43" t="n">
        <f aca="false">H40+E40</f>
        <v>17.101304348</v>
      </c>
      <c r="K40" s="43" t="s">
        <v>44</v>
      </c>
      <c r="L40" s="47"/>
    </row>
    <row r="41" customFormat="false" ht="13.8" hidden="false" customHeight="false" outlineLevel="0" collapsed="false">
      <c r="A41" s="42" t="s">
        <v>45</v>
      </c>
      <c r="B41" s="7" t="s">
        <v>45</v>
      </c>
      <c r="C41" s="63" t="n">
        <v>34.5</v>
      </c>
      <c r="D41" s="48" t="n">
        <v>13.8</v>
      </c>
      <c r="E41" s="63" t="n">
        <v>12</v>
      </c>
      <c r="F41" s="36" t="s">
        <v>46</v>
      </c>
      <c r="G41" s="58" t="n">
        <v>2.20528115384615</v>
      </c>
      <c r="H41" s="11"/>
      <c r="I41" s="49" t="s">
        <v>14</v>
      </c>
      <c r="J41" s="49" t="n">
        <f aca="false">G47+SUM(E44:E47)</f>
        <v>67.8809693877551</v>
      </c>
      <c r="K41" s="49" t="s">
        <v>47</v>
      </c>
      <c r="L41" s="50"/>
    </row>
    <row r="42" customFormat="false" ht="13.8" hidden="false" customHeight="false" outlineLevel="0" collapsed="false">
      <c r="A42" s="42"/>
      <c r="B42" s="15" t="s">
        <v>45</v>
      </c>
      <c r="C42" s="64" t="n">
        <v>34.5</v>
      </c>
      <c r="D42" s="64" t="n">
        <v>13.8</v>
      </c>
      <c r="E42" s="64" t="n">
        <v>2</v>
      </c>
      <c r="F42" s="39" t="s">
        <v>48</v>
      </c>
      <c r="G42" s="65" t="n">
        <v>1.60115384615385</v>
      </c>
      <c r="H42" s="51"/>
      <c r="I42" s="1" t="s">
        <v>14</v>
      </c>
      <c r="K42" s="1" t="s">
        <v>47</v>
      </c>
      <c r="L42" s="25"/>
    </row>
    <row r="43" customFormat="false" ht="13.8" hidden="false" customHeight="false" outlineLevel="0" collapsed="false">
      <c r="A43" s="42"/>
      <c r="B43" s="15" t="s">
        <v>45</v>
      </c>
      <c r="C43" s="64" t="n">
        <v>34.5</v>
      </c>
      <c r="D43" s="64" t="n">
        <v>13.8</v>
      </c>
      <c r="E43" s="64" t="n">
        <v>2</v>
      </c>
      <c r="F43" s="39" t="s">
        <v>49</v>
      </c>
      <c r="G43" s="65" t="n">
        <v>1.6525</v>
      </c>
      <c r="H43" s="66" t="n">
        <f aca="false">G41:G43</f>
        <v>1.6525</v>
      </c>
      <c r="I43" s="1" t="s">
        <v>14</v>
      </c>
      <c r="K43" s="67" t="s">
        <v>50</v>
      </c>
      <c r="L43" s="25"/>
    </row>
    <row r="44" customFormat="false" ht="13.8" hidden="false" customHeight="false" outlineLevel="0" collapsed="false">
      <c r="A44" s="42"/>
      <c r="B44" s="15" t="s">
        <v>45</v>
      </c>
      <c r="C44" s="64" t="n">
        <v>115</v>
      </c>
      <c r="D44" s="64" t="n">
        <v>34.5</v>
      </c>
      <c r="E44" s="64" t="n">
        <v>25</v>
      </c>
      <c r="F44" s="51" t="s">
        <v>51</v>
      </c>
      <c r="G44" s="65" t="n">
        <v>4.0575</v>
      </c>
      <c r="H44" s="51"/>
      <c r="I44" s="1" t="s">
        <v>14</v>
      </c>
      <c r="K44" s="1" t="s">
        <v>47</v>
      </c>
      <c r="L44" s="25"/>
    </row>
    <row r="45" customFormat="false" ht="13.8" hidden="false" customHeight="false" outlineLevel="0" collapsed="false">
      <c r="A45" s="42"/>
      <c r="B45" s="15" t="s">
        <v>52</v>
      </c>
      <c r="C45" s="64" t="n">
        <v>115</v>
      </c>
      <c r="D45" s="64" t="n">
        <v>13.8</v>
      </c>
      <c r="E45" s="64" t="n">
        <v>11</v>
      </c>
      <c r="F45" s="51" t="s">
        <v>51</v>
      </c>
      <c r="G45" s="65" t="n">
        <v>0.938180384615385</v>
      </c>
      <c r="H45" s="51"/>
      <c r="I45" s="1" t="s">
        <v>14</v>
      </c>
      <c r="K45" s="1" t="s">
        <v>47</v>
      </c>
      <c r="L45" s="25"/>
    </row>
    <row r="46" customFormat="false" ht="13.8" hidden="false" customHeight="false" outlineLevel="0" collapsed="false">
      <c r="A46" s="42"/>
      <c r="B46" s="15" t="s">
        <v>52</v>
      </c>
      <c r="C46" s="64" t="n">
        <v>115</v>
      </c>
      <c r="D46" s="64" t="n">
        <v>13.8</v>
      </c>
      <c r="E46" s="64" t="n">
        <v>18</v>
      </c>
      <c r="F46" s="51" t="s">
        <v>51</v>
      </c>
      <c r="G46" s="65" t="n">
        <v>3.5334693877551</v>
      </c>
      <c r="H46" s="66" t="n">
        <f aca="false">G44:G46</f>
        <v>3.5334693877551</v>
      </c>
      <c r="I46" s="1" t="s">
        <v>14</v>
      </c>
      <c r="K46" s="1" t="s">
        <v>47</v>
      </c>
      <c r="L46" s="25"/>
    </row>
    <row r="47" customFormat="false" ht="13.8" hidden="false" customHeight="false" outlineLevel="0" collapsed="false">
      <c r="A47" s="42"/>
      <c r="B47" s="27" t="s">
        <v>52</v>
      </c>
      <c r="C47" s="68" t="n">
        <v>115</v>
      </c>
      <c r="D47" s="68" t="n">
        <v>34.5</v>
      </c>
      <c r="E47" s="68" t="n">
        <v>12</v>
      </c>
      <c r="F47" s="31" t="s">
        <v>51</v>
      </c>
      <c r="G47" s="32" t="n">
        <f aca="false">H46-H43</f>
        <v>1.8809693877551</v>
      </c>
      <c r="H47" s="31"/>
      <c r="I47" s="31" t="s">
        <v>14</v>
      </c>
      <c r="J47" s="31"/>
      <c r="K47" s="31" t="s">
        <v>47</v>
      </c>
      <c r="L47" s="33"/>
    </row>
    <row r="48" customFormat="false" ht="13.8" hidden="false" customHeight="false" outlineLevel="0" collapsed="false">
      <c r="A48" s="42" t="s">
        <v>53</v>
      </c>
      <c r="B48" s="7" t="s">
        <v>53</v>
      </c>
      <c r="C48" s="10" t="n">
        <v>34.5</v>
      </c>
      <c r="D48" s="69" t="n">
        <v>13.8</v>
      </c>
      <c r="E48" s="10" t="n">
        <v>12</v>
      </c>
      <c r="F48" s="35" t="s">
        <v>50</v>
      </c>
      <c r="G48" s="9" t="n">
        <v>1.59202</v>
      </c>
      <c r="H48" s="35"/>
      <c r="I48" s="49" t="s">
        <v>14</v>
      </c>
      <c r="J48" s="35" t="n">
        <f aca="false">G53+SUM(E50:E52)</f>
        <v>44.7260606060606</v>
      </c>
      <c r="K48" s="9" t="s">
        <v>50</v>
      </c>
      <c r="L48" s="50"/>
    </row>
    <row r="49" customFormat="false" ht="13.8" hidden="false" customHeight="false" outlineLevel="0" collapsed="false">
      <c r="A49" s="42"/>
      <c r="B49" s="15" t="s">
        <v>53</v>
      </c>
      <c r="C49" s="52" t="n">
        <v>34.5</v>
      </c>
      <c r="D49" s="56" t="n">
        <v>13.8</v>
      </c>
      <c r="E49" s="52" t="n">
        <v>5</v>
      </c>
      <c r="F49" s="67" t="s">
        <v>54</v>
      </c>
      <c r="G49" s="67" t="n">
        <v>0.975234042553192</v>
      </c>
      <c r="H49" s="0" t="n">
        <f aca="false">SUM(G48:G49)</f>
        <v>2.56725404255319</v>
      </c>
      <c r="I49" s="1" t="s">
        <v>14</v>
      </c>
      <c r="J49" s="0"/>
      <c r="K49" s="67" t="s">
        <v>55</v>
      </c>
      <c r="L49" s="25"/>
    </row>
    <row r="50" customFormat="false" ht="13.8" hidden="false" customHeight="false" outlineLevel="0" collapsed="false">
      <c r="A50" s="42"/>
      <c r="B50" s="15" t="s">
        <v>53</v>
      </c>
      <c r="C50" s="64" t="n">
        <v>115</v>
      </c>
      <c r="D50" s="64" t="n">
        <v>34.5</v>
      </c>
      <c r="E50" s="64" t="n">
        <v>10</v>
      </c>
      <c r="F50" s="67" t="s">
        <v>53</v>
      </c>
      <c r="G50" s="65" t="n">
        <v>2.72606060606061</v>
      </c>
      <c r="H50" s="67"/>
      <c r="I50" s="67" t="s">
        <v>14</v>
      </c>
      <c r="J50" s="67"/>
      <c r="K50" s="67" t="s">
        <v>56</v>
      </c>
      <c r="L50" s="25"/>
    </row>
    <row r="51" customFormat="false" ht="13.8" hidden="false" customHeight="false" outlineLevel="0" collapsed="false">
      <c r="A51" s="42"/>
      <c r="B51" s="15" t="s">
        <v>53</v>
      </c>
      <c r="C51" s="64" t="n">
        <v>34.5</v>
      </c>
      <c r="D51" s="64" t="n">
        <v>13.8</v>
      </c>
      <c r="E51" s="64" t="n">
        <v>7</v>
      </c>
      <c r="F51" s="67" t="s">
        <v>53</v>
      </c>
      <c r="G51" s="65" t="n">
        <v>1.59202</v>
      </c>
      <c r="I51" s="1" t="s">
        <v>14</v>
      </c>
      <c r="K51" s="1" t="s">
        <v>56</v>
      </c>
      <c r="L51" s="25"/>
    </row>
    <row r="52" customFormat="false" ht="13.8" hidden="false" customHeight="false" outlineLevel="0" collapsed="false">
      <c r="A52" s="42"/>
      <c r="B52" s="15" t="s">
        <v>53</v>
      </c>
      <c r="C52" s="64" t="n">
        <v>115</v>
      </c>
      <c r="D52" s="64" t="n">
        <v>34.5</v>
      </c>
      <c r="E52" s="64" t="n">
        <v>25</v>
      </c>
      <c r="F52" s="67" t="s">
        <v>53</v>
      </c>
      <c r="G52" s="65" t="n">
        <v>0.975234042553192</v>
      </c>
      <c r="H52" s="1" t="n">
        <f aca="false">SUM(G50:G52)</f>
        <v>5.2933146486138</v>
      </c>
      <c r="I52" s="1" t="s">
        <v>14</v>
      </c>
      <c r="K52" s="1" t="s">
        <v>56</v>
      </c>
      <c r="L52" s="25"/>
    </row>
    <row r="53" customFormat="false" ht="13.8" hidden="false" customHeight="false" outlineLevel="0" collapsed="false">
      <c r="A53" s="42"/>
      <c r="B53" s="27"/>
      <c r="C53" s="31"/>
      <c r="D53" s="31"/>
      <c r="E53" s="31"/>
      <c r="F53" s="31"/>
      <c r="G53" s="32" t="n">
        <f aca="false">H52-H49</f>
        <v>2.72606060606061</v>
      </c>
      <c r="H53" s="31"/>
      <c r="I53" s="31" t="s">
        <v>14</v>
      </c>
      <c r="J53" s="31"/>
      <c r="K53" s="31" t="s">
        <v>56</v>
      </c>
      <c r="L53" s="33"/>
    </row>
    <row r="54" customFormat="false" ht="13.8" hidden="false" customHeight="false" outlineLevel="0" collapsed="false">
      <c r="A54" s="42" t="s">
        <v>57</v>
      </c>
      <c r="B54" s="7" t="s">
        <v>57</v>
      </c>
      <c r="C54" s="63" t="n">
        <v>34.5</v>
      </c>
      <c r="D54" s="63" t="n">
        <v>13.8</v>
      </c>
      <c r="E54" s="63" t="n">
        <v>6</v>
      </c>
      <c r="F54" s="36" t="s">
        <v>58</v>
      </c>
      <c r="G54" s="58" t="n">
        <v>1.91692307692308</v>
      </c>
      <c r="H54" s="49"/>
      <c r="I54" s="49" t="s">
        <v>14</v>
      </c>
      <c r="J54" s="49" t="n">
        <f aca="false">G59+SUM(E57:E58)</f>
        <v>63.818685400576</v>
      </c>
      <c r="K54" s="9" t="s">
        <v>59</v>
      </c>
      <c r="L54" s="50"/>
    </row>
    <row r="55" customFormat="false" ht="13.8" hidden="false" customHeight="false" outlineLevel="0" collapsed="false">
      <c r="A55" s="42"/>
      <c r="B55" s="15" t="s">
        <v>57</v>
      </c>
      <c r="C55" s="64" t="n">
        <v>34.5</v>
      </c>
      <c r="D55" s="64" t="n">
        <v>13.8</v>
      </c>
      <c r="E55" s="64" t="n">
        <v>3</v>
      </c>
      <c r="F55" s="39" t="s">
        <v>60</v>
      </c>
      <c r="G55" s="65" t="n">
        <v>0.556577262251407</v>
      </c>
      <c r="I55" s="1" t="s">
        <v>14</v>
      </c>
      <c r="K55" s="1" t="s">
        <v>61</v>
      </c>
      <c r="L55" s="25"/>
    </row>
    <row r="56" customFormat="false" ht="13.8" hidden="false" customHeight="false" outlineLevel="0" collapsed="false">
      <c r="A56" s="42"/>
      <c r="B56" s="15" t="s">
        <v>57</v>
      </c>
      <c r="C56" s="64" t="n">
        <v>34.5</v>
      </c>
      <c r="D56" s="64" t="n">
        <v>13.8</v>
      </c>
      <c r="E56" s="64" t="n">
        <v>5</v>
      </c>
      <c r="F56" s="39" t="s">
        <v>62</v>
      </c>
      <c r="G56" s="65" t="n">
        <v>1.93801033868093</v>
      </c>
      <c r="H56" s="1" t="n">
        <f aca="false">SUM(G54:G56)</f>
        <v>4.41151067785541</v>
      </c>
      <c r="I56" s="1" t="s">
        <v>14</v>
      </c>
      <c r="K56" s="1" t="s">
        <v>61</v>
      </c>
      <c r="L56" s="25"/>
    </row>
    <row r="57" customFormat="false" ht="13.8" hidden="false" customHeight="false" outlineLevel="0" collapsed="false">
      <c r="A57" s="42"/>
      <c r="B57" s="15" t="s">
        <v>57</v>
      </c>
      <c r="C57" s="64" t="n">
        <v>115</v>
      </c>
      <c r="D57" s="64" t="n">
        <v>34.5</v>
      </c>
      <c r="E57" s="64" t="n">
        <v>25</v>
      </c>
      <c r="F57" s="56" t="s">
        <v>57</v>
      </c>
      <c r="G57" s="65" t="n">
        <v>13.2301960784314</v>
      </c>
      <c r="I57" s="1" t="s">
        <v>14</v>
      </c>
      <c r="K57" s="1" t="s">
        <v>61</v>
      </c>
      <c r="L57" s="25"/>
    </row>
    <row r="58" customFormat="false" ht="13.8" hidden="false" customHeight="false" outlineLevel="0" collapsed="false">
      <c r="A58" s="42"/>
      <c r="B58" s="15" t="s">
        <v>57</v>
      </c>
      <c r="C58" s="64" t="n">
        <v>115</v>
      </c>
      <c r="D58" s="64" t="n">
        <v>13.8</v>
      </c>
      <c r="E58" s="64" t="n">
        <v>30</v>
      </c>
      <c r="F58" s="56" t="s">
        <v>57</v>
      </c>
      <c r="G58" s="65"/>
      <c r="H58" s="70" t="n">
        <f aca="false">G57</f>
        <v>13.2301960784314</v>
      </c>
      <c r="I58" s="1" t="s">
        <v>14</v>
      </c>
      <c r="K58" s="1" t="s">
        <v>61</v>
      </c>
      <c r="L58" s="25"/>
    </row>
    <row r="59" customFormat="false" ht="13.8" hidden="false" customHeight="false" outlineLevel="0" collapsed="false">
      <c r="A59" s="42"/>
      <c r="B59" s="27" t="s">
        <v>57</v>
      </c>
      <c r="C59" s="68" t="n">
        <v>115</v>
      </c>
      <c r="D59" s="68" t="n">
        <v>34.5</v>
      </c>
      <c r="E59" s="68" t="n">
        <v>8</v>
      </c>
      <c r="F59" s="60"/>
      <c r="G59" s="32" t="n">
        <f aca="false">H58-H56</f>
        <v>8.81868540057596</v>
      </c>
      <c r="H59" s="31"/>
      <c r="I59" s="31" t="s">
        <v>14</v>
      </c>
      <c r="J59" s="31"/>
      <c r="K59" s="31" t="s">
        <v>61</v>
      </c>
      <c r="L59" s="33"/>
    </row>
    <row r="60" customFormat="false" ht="13.8" hidden="false" customHeight="false" outlineLevel="0" collapsed="false">
      <c r="A60" s="42" t="s">
        <v>63</v>
      </c>
      <c r="B60" s="7" t="s">
        <v>63</v>
      </c>
      <c r="C60" s="63" t="n">
        <v>34.5</v>
      </c>
      <c r="D60" s="63" t="n">
        <v>13.8</v>
      </c>
      <c r="E60" s="63" t="n">
        <v>3</v>
      </c>
      <c r="F60" s="36" t="s">
        <v>64</v>
      </c>
      <c r="G60" s="58" t="n">
        <v>0.179576923076923</v>
      </c>
      <c r="H60" s="49"/>
      <c r="I60" s="49" t="s">
        <v>65</v>
      </c>
      <c r="J60" s="49" t="n">
        <f aca="false">G65+SUM(E62:E63)</f>
        <v>21.3464876371237</v>
      </c>
      <c r="K60" s="49" t="s">
        <v>66</v>
      </c>
      <c r="L60" s="50"/>
    </row>
    <row r="61" customFormat="false" ht="13.8" hidden="false" customHeight="false" outlineLevel="0" collapsed="false">
      <c r="A61" s="42"/>
      <c r="B61" s="15" t="s">
        <v>63</v>
      </c>
      <c r="C61" s="64" t="n">
        <v>34.5</v>
      </c>
      <c r="D61" s="64" t="n">
        <v>13.8</v>
      </c>
      <c r="E61" s="64" t="n">
        <v>4</v>
      </c>
      <c r="F61" s="39" t="s">
        <v>67</v>
      </c>
      <c r="G61" s="65" t="n">
        <v>1.93269230769231</v>
      </c>
      <c r="H61" s="1" t="n">
        <f aca="false">SUM(G60:G61)</f>
        <v>2.11226923076923</v>
      </c>
      <c r="I61" s="1" t="s">
        <v>65</v>
      </c>
      <c r="K61" s="1" t="s">
        <v>66</v>
      </c>
      <c r="L61" s="25"/>
    </row>
    <row r="62" customFormat="false" ht="13.8" hidden="false" customHeight="false" outlineLevel="0" collapsed="false">
      <c r="A62" s="42"/>
      <c r="B62" s="15" t="s">
        <v>63</v>
      </c>
      <c r="C62" s="64" t="n">
        <v>115</v>
      </c>
      <c r="D62" s="64" t="n">
        <v>34.5</v>
      </c>
      <c r="E62" s="64" t="n">
        <v>13</v>
      </c>
      <c r="F62" s="51" t="s">
        <v>63</v>
      </c>
      <c r="G62" s="65" t="n">
        <v>0.47962852173913</v>
      </c>
      <c r="I62" s="1" t="s">
        <v>65</v>
      </c>
      <c r="K62" s="1" t="s">
        <v>66</v>
      </c>
      <c r="L62" s="25"/>
    </row>
    <row r="63" customFormat="false" ht="13.8" hidden="false" customHeight="false" outlineLevel="0" collapsed="false">
      <c r="A63" s="42"/>
      <c r="B63" s="15" t="s">
        <v>63</v>
      </c>
      <c r="C63" s="64" t="n">
        <v>34.5</v>
      </c>
      <c r="D63" s="64" t="n">
        <v>13.8</v>
      </c>
      <c r="E63" s="64" t="n">
        <v>3</v>
      </c>
      <c r="F63" s="51" t="s">
        <v>63</v>
      </c>
      <c r="G63" s="65" t="n">
        <v>1.36619230769231</v>
      </c>
      <c r="I63" s="1" t="s">
        <v>65</v>
      </c>
      <c r="K63" s="1" t="s">
        <v>66</v>
      </c>
      <c r="L63" s="25"/>
    </row>
    <row r="64" customFormat="false" ht="13.8" hidden="false" customHeight="false" outlineLevel="0" collapsed="false">
      <c r="A64" s="42"/>
      <c r="B64" s="15" t="s">
        <v>63</v>
      </c>
      <c r="C64" s="52"/>
      <c r="D64" s="51"/>
      <c r="E64" s="52"/>
      <c r="F64" s="51" t="s">
        <v>63</v>
      </c>
      <c r="G64" s="65" t="n">
        <v>5.61293603846154</v>
      </c>
      <c r="H64" s="1" t="n">
        <f aca="false">SUM(G62:G64)</f>
        <v>7.45875686789298</v>
      </c>
      <c r="I64" s="1" t="s">
        <v>65</v>
      </c>
      <c r="K64" s="1" t="s">
        <v>66</v>
      </c>
      <c r="L64" s="25"/>
    </row>
    <row r="65" customFormat="false" ht="13.8" hidden="false" customHeight="false" outlineLevel="0" collapsed="false">
      <c r="A65" s="42"/>
      <c r="B65" s="27" t="s">
        <v>63</v>
      </c>
      <c r="C65" s="29"/>
      <c r="D65" s="29"/>
      <c r="E65" s="29"/>
      <c r="F65" s="31"/>
      <c r="G65" s="71" t="n">
        <f aca="false">H64-H61</f>
        <v>5.34648763712375</v>
      </c>
      <c r="H65" s="31"/>
      <c r="I65" s="31" t="s">
        <v>65</v>
      </c>
      <c r="J65" s="31"/>
      <c r="K65" s="31" t="s">
        <v>66</v>
      </c>
      <c r="L65" s="33"/>
    </row>
    <row r="66" customFormat="false" ht="13.8" hidden="false" customHeight="false" outlineLevel="0" collapsed="false">
      <c r="A66" s="42" t="s">
        <v>68</v>
      </c>
      <c r="B66" s="7" t="s">
        <v>68</v>
      </c>
      <c r="C66" s="63" t="n">
        <v>34.5</v>
      </c>
      <c r="D66" s="63" t="n">
        <v>13.8</v>
      </c>
      <c r="E66" s="63" t="n">
        <v>18</v>
      </c>
      <c r="F66" s="11" t="s">
        <v>68</v>
      </c>
      <c r="G66" s="58" t="n">
        <v>6.89765804319875</v>
      </c>
      <c r="H66" s="49" t="n">
        <v>0.0181379220196971</v>
      </c>
      <c r="I66" s="49" t="s">
        <v>65</v>
      </c>
      <c r="J66" s="49" t="n">
        <f aca="false">G69+SUM(E66:E68)</f>
        <v>68.0181379220197</v>
      </c>
      <c r="K66" s="49" t="s">
        <v>69</v>
      </c>
      <c r="L66" s="50"/>
    </row>
    <row r="67" customFormat="false" ht="13.8" hidden="false" customHeight="false" outlineLevel="0" collapsed="false">
      <c r="A67" s="42"/>
      <c r="B67" s="15" t="s">
        <v>68</v>
      </c>
      <c r="C67" s="64" t="n">
        <v>34.5</v>
      </c>
      <c r="D67" s="64" t="n">
        <v>13.8</v>
      </c>
      <c r="E67" s="64" t="n">
        <v>18</v>
      </c>
      <c r="F67" s="51" t="s">
        <v>68</v>
      </c>
      <c r="G67" s="65" t="n">
        <v>6.73546467281054</v>
      </c>
      <c r="I67" s="1" t="s">
        <v>65</v>
      </c>
      <c r="K67" s="1" t="s">
        <v>69</v>
      </c>
      <c r="L67" s="25"/>
    </row>
    <row r="68" customFormat="false" ht="13.8" hidden="false" customHeight="false" outlineLevel="0" collapsed="false">
      <c r="A68" s="42"/>
      <c r="B68" s="15" t="s">
        <v>68</v>
      </c>
      <c r="C68" s="64" t="n">
        <v>115</v>
      </c>
      <c r="D68" s="64" t="n">
        <v>34.5</v>
      </c>
      <c r="E68" s="64" t="n">
        <v>32</v>
      </c>
      <c r="F68" s="51" t="s">
        <v>68</v>
      </c>
      <c r="G68" s="65" t="n">
        <v>0.0154272213791667</v>
      </c>
      <c r="I68" s="1" t="s">
        <v>65</v>
      </c>
      <c r="K68" s="1" t="s">
        <v>69</v>
      </c>
      <c r="L68" s="25"/>
    </row>
    <row r="69" customFormat="false" ht="13.8" hidden="false" customHeight="false" outlineLevel="0" collapsed="false">
      <c r="A69" s="42"/>
      <c r="B69" s="27"/>
      <c r="C69" s="68"/>
      <c r="D69" s="68"/>
      <c r="E69" s="68"/>
      <c r="F69" s="60"/>
      <c r="G69" s="32" t="n">
        <f aca="false">H66</f>
        <v>0.0181379220196971</v>
      </c>
      <c r="H69" s="31"/>
      <c r="I69" s="31" t="s">
        <v>65</v>
      </c>
      <c r="J69" s="31"/>
      <c r="K69" s="31" t="s">
        <v>69</v>
      </c>
      <c r="L69" s="33"/>
    </row>
    <row r="70" customFormat="false" ht="13.8" hidden="false" customHeight="false" outlineLevel="0" collapsed="false">
      <c r="A70" s="42" t="s">
        <v>13</v>
      </c>
      <c r="B70" s="61" t="s">
        <v>13</v>
      </c>
      <c r="C70" s="72" t="n">
        <v>34.5</v>
      </c>
      <c r="D70" s="73" t="n">
        <v>13.8</v>
      </c>
      <c r="E70" s="72" t="n">
        <v>5</v>
      </c>
      <c r="F70" s="43" t="s">
        <v>13</v>
      </c>
      <c r="G70" s="74" t="n">
        <f aca="false">H70</f>
        <v>1.47519230769231</v>
      </c>
      <c r="H70" s="43" t="n">
        <v>1.47519230769231</v>
      </c>
      <c r="I70" s="43" t="s">
        <v>14</v>
      </c>
      <c r="J70" s="43" t="n">
        <f aca="false">G70+E70</f>
        <v>6.47519230769231</v>
      </c>
      <c r="K70" s="43" t="s">
        <v>15</v>
      </c>
      <c r="L70" s="47"/>
    </row>
    <row r="71" customFormat="false" ht="13.8" hidden="false" customHeight="false" outlineLevel="0" collapsed="false">
      <c r="A71" s="42" t="s">
        <v>16</v>
      </c>
      <c r="B71" s="61" t="s">
        <v>16</v>
      </c>
      <c r="C71" s="72" t="n">
        <v>34.5</v>
      </c>
      <c r="D71" s="73" t="n">
        <v>13.8</v>
      </c>
      <c r="E71" s="72" t="n">
        <v>4</v>
      </c>
      <c r="F71" s="43" t="s">
        <v>16</v>
      </c>
      <c r="G71" s="74" t="n">
        <f aca="false">H71</f>
        <v>2.04673076923077</v>
      </c>
      <c r="H71" s="43" t="n">
        <v>2.04673076923077</v>
      </c>
      <c r="I71" s="43" t="s">
        <v>14</v>
      </c>
      <c r="J71" s="43" t="n">
        <f aca="false">G71+E71</f>
        <v>6.04673076923077</v>
      </c>
      <c r="K71" s="43" t="s">
        <v>15</v>
      </c>
      <c r="L71" s="47"/>
    </row>
    <row r="72" customFormat="false" ht="13.8" hidden="false" customHeight="false" outlineLevel="0" collapsed="false">
      <c r="A72" s="42" t="s">
        <v>22</v>
      </c>
      <c r="B72" s="61" t="s">
        <v>22</v>
      </c>
      <c r="C72" s="44" t="n">
        <v>34.5</v>
      </c>
      <c r="D72" s="43" t="n">
        <v>13.8</v>
      </c>
      <c r="E72" s="44" t="n">
        <v>3.5</v>
      </c>
      <c r="F72" s="43" t="s">
        <v>22</v>
      </c>
      <c r="G72" s="74" t="n">
        <f aca="false">H72</f>
        <v>1.49901960784314</v>
      </c>
      <c r="H72" s="43" t="n">
        <v>1.49901960784314</v>
      </c>
      <c r="I72" s="43" t="s">
        <v>14</v>
      </c>
      <c r="J72" s="43" t="n">
        <f aca="false">G72+E72</f>
        <v>4.99901960784314</v>
      </c>
      <c r="K72" s="43" t="s">
        <v>23</v>
      </c>
      <c r="L72" s="47"/>
    </row>
    <row r="73" customFormat="false" ht="13.8" hidden="false" customHeight="false" outlineLevel="0" collapsed="false">
      <c r="A73" s="42" t="s">
        <v>24</v>
      </c>
      <c r="B73" s="7" t="s">
        <v>24</v>
      </c>
      <c r="C73" s="8" t="n">
        <v>34.5</v>
      </c>
      <c r="D73" s="49" t="n">
        <v>13.8</v>
      </c>
      <c r="E73" s="8" t="n">
        <v>4</v>
      </c>
      <c r="F73" s="9" t="s">
        <v>24</v>
      </c>
      <c r="G73" s="35"/>
      <c r="H73" s="49" t="n">
        <v>2.33631261904762</v>
      </c>
      <c r="I73" s="49" t="s">
        <v>14</v>
      </c>
      <c r="J73" s="49" t="n">
        <f aca="false">G74+SUM(E73:E74)</f>
        <v>18.8363126190476</v>
      </c>
      <c r="K73" s="49" t="s">
        <v>25</v>
      </c>
      <c r="L73" s="50"/>
    </row>
    <row r="74" customFormat="false" ht="13.8" hidden="false" customHeight="false" outlineLevel="0" collapsed="false">
      <c r="A74" s="42"/>
      <c r="B74" s="27" t="s">
        <v>24</v>
      </c>
      <c r="C74" s="30" t="n">
        <v>34.5</v>
      </c>
      <c r="D74" s="31" t="n">
        <v>13.8</v>
      </c>
      <c r="E74" s="30" t="n">
        <v>12.5</v>
      </c>
      <c r="F74" s="31" t="s">
        <v>24</v>
      </c>
      <c r="G74" s="32" t="n">
        <f aca="false">H73</f>
        <v>2.33631261904762</v>
      </c>
      <c r="H74" s="31"/>
      <c r="I74" s="31" t="s">
        <v>14</v>
      </c>
      <c r="J74" s="31"/>
      <c r="K74" s="31" t="s">
        <v>25</v>
      </c>
      <c r="L74" s="33"/>
    </row>
    <row r="75" customFormat="false" ht="13.8" hidden="false" customHeight="false" outlineLevel="0" collapsed="false">
      <c r="A75" s="42" t="s">
        <v>70</v>
      </c>
      <c r="B75" s="43" t="s">
        <v>70</v>
      </c>
      <c r="C75" s="44" t="n">
        <v>34.5</v>
      </c>
      <c r="D75" s="43" t="n">
        <v>13.8</v>
      </c>
      <c r="E75" s="44" t="n">
        <v>5</v>
      </c>
      <c r="F75" s="43" t="s">
        <v>70</v>
      </c>
      <c r="G75" s="74" t="n">
        <f aca="false">H75</f>
        <v>1.59202</v>
      </c>
      <c r="H75" s="43" t="n">
        <v>1.59202</v>
      </c>
      <c r="I75" s="43" t="s">
        <v>14</v>
      </c>
      <c r="J75" s="43" t="n">
        <f aca="false">G75+E75</f>
        <v>6.59202</v>
      </c>
      <c r="K75" s="43" t="s">
        <v>50</v>
      </c>
      <c r="L75" s="47"/>
    </row>
    <row r="76" s="23" customFormat="true" ht="13.8" hidden="false" customHeight="false" outlineLevel="0" collapsed="false">
      <c r="A76" s="42" t="s">
        <v>71</v>
      </c>
      <c r="B76" s="43" t="s">
        <v>71</v>
      </c>
      <c r="C76" s="44" t="n">
        <v>34.5</v>
      </c>
      <c r="D76" s="43" t="n">
        <v>13.8</v>
      </c>
      <c r="E76" s="44" t="n">
        <v>12</v>
      </c>
      <c r="F76" s="43" t="s">
        <v>71</v>
      </c>
      <c r="G76" s="74" t="n">
        <f aca="false">H76</f>
        <v>1.51584090909091</v>
      </c>
      <c r="H76" s="43" t="n">
        <v>1.51584090909091</v>
      </c>
      <c r="I76" s="43" t="s">
        <v>65</v>
      </c>
      <c r="J76" s="43" t="n">
        <f aca="false">G76+E76</f>
        <v>13.5158409090909</v>
      </c>
      <c r="K76" s="43" t="s">
        <v>72</v>
      </c>
      <c r="L76" s="47"/>
    </row>
    <row r="77" s="23" customFormat="true" ht="13.8" hidden="false" customHeight="false" outlineLevel="0" collapsed="false">
      <c r="A77" s="42" t="s">
        <v>49</v>
      </c>
      <c r="B77" s="43" t="s">
        <v>49</v>
      </c>
      <c r="C77" s="44" t="n">
        <v>34.5</v>
      </c>
      <c r="D77" s="43" t="n">
        <v>13.8</v>
      </c>
      <c r="E77" s="44" t="n">
        <v>2</v>
      </c>
      <c r="F77" s="43" t="s">
        <v>49</v>
      </c>
      <c r="G77" s="74" t="n">
        <f aca="false">H77</f>
        <v>1.6525</v>
      </c>
      <c r="H77" s="43" t="n">
        <v>1.6525</v>
      </c>
      <c r="I77" s="43" t="s">
        <v>14</v>
      </c>
      <c r="J77" s="43" t="n">
        <f aca="false">G77+E77</f>
        <v>3.6525</v>
      </c>
      <c r="K77" s="43" t="s">
        <v>50</v>
      </c>
      <c r="L77" s="47"/>
    </row>
    <row r="78" customFormat="false" ht="13.8" hidden="false" customHeight="false" outlineLevel="0" collapsed="false">
      <c r="A78" s="42" t="s">
        <v>67</v>
      </c>
      <c r="B78" s="1" t="s">
        <v>67</v>
      </c>
      <c r="C78" s="3" t="n">
        <v>34.5</v>
      </c>
      <c r="D78" s="1" t="n">
        <v>13.8</v>
      </c>
      <c r="E78" s="3" t="n">
        <v>4</v>
      </c>
      <c r="F78" s="1" t="s">
        <v>67</v>
      </c>
      <c r="G78" s="75" t="n">
        <f aca="false">H78</f>
        <v>1.93269230769231</v>
      </c>
      <c r="H78" s="3" t="n">
        <v>1.93269230769231</v>
      </c>
      <c r="I78" s="1" t="s">
        <v>65</v>
      </c>
      <c r="J78" s="1" t="n">
        <f aca="false">G78+E78</f>
        <v>5.93269230769231</v>
      </c>
      <c r="K78" s="1" t="s">
        <v>73</v>
      </c>
      <c r="L78" s="25"/>
    </row>
    <row r="79" s="23" customFormat="true" ht="13.8" hidden="false" customHeight="false" outlineLevel="0" collapsed="false">
      <c r="A79" s="42" t="s">
        <v>17</v>
      </c>
      <c r="B79" s="49" t="s">
        <v>17</v>
      </c>
      <c r="C79" s="8" t="n">
        <v>34.5</v>
      </c>
      <c r="D79" s="49" t="n">
        <v>13.8</v>
      </c>
      <c r="E79" s="8" t="n">
        <v>4</v>
      </c>
      <c r="F79" s="49" t="s">
        <v>17</v>
      </c>
      <c r="G79" s="8"/>
      <c r="H79" s="49" t="n">
        <v>1.8622</v>
      </c>
      <c r="I79" s="49" t="s">
        <v>14</v>
      </c>
      <c r="J79" s="49" t="n">
        <f aca="false">G80+SUM(E79:E80)</f>
        <v>11.8622</v>
      </c>
      <c r="K79" s="49" t="s">
        <v>15</v>
      </c>
      <c r="L79" s="50"/>
    </row>
    <row r="80" s="23" customFormat="true" ht="13.8" hidden="false" customHeight="false" outlineLevel="0" collapsed="false">
      <c r="A80" s="42"/>
      <c r="B80" s="31" t="s">
        <v>17</v>
      </c>
      <c r="C80" s="30" t="n">
        <v>34.5</v>
      </c>
      <c r="D80" s="31" t="n">
        <v>13.8</v>
      </c>
      <c r="E80" s="30" t="n">
        <v>6</v>
      </c>
      <c r="F80" s="31" t="s">
        <v>17</v>
      </c>
      <c r="G80" s="32" t="n">
        <f aca="false">H79</f>
        <v>1.8622</v>
      </c>
      <c r="H80" s="31"/>
      <c r="I80" s="31" t="s">
        <v>14</v>
      </c>
      <c r="J80" s="31"/>
      <c r="K80" s="31" t="s">
        <v>15</v>
      </c>
      <c r="L80" s="33"/>
    </row>
    <row r="81" s="23" customFormat="true" ht="13.8" hidden="false" customHeight="false" outlineLevel="0" collapsed="false">
      <c r="A81" s="42" t="s">
        <v>58</v>
      </c>
      <c r="B81" s="43" t="s">
        <v>58</v>
      </c>
      <c r="C81" s="44" t="n">
        <v>34.5</v>
      </c>
      <c r="D81" s="43" t="n">
        <v>13.8</v>
      </c>
      <c r="E81" s="44" t="n">
        <v>6</v>
      </c>
      <c r="F81" s="43" t="s">
        <v>58</v>
      </c>
      <c r="G81" s="76" t="n">
        <f aca="false">H81</f>
        <v>1.91692307692308</v>
      </c>
      <c r="H81" s="44" t="n">
        <v>1.91692307692308</v>
      </c>
      <c r="I81" s="43" t="s">
        <v>14</v>
      </c>
      <c r="J81" s="43" t="n">
        <f aca="false">G81+E81</f>
        <v>7.91692307692308</v>
      </c>
      <c r="K81" s="43" t="s">
        <v>59</v>
      </c>
      <c r="L81" s="47"/>
    </row>
    <row r="82" s="23" customFormat="true" ht="13.8" hidden="false" customHeight="false" outlineLevel="0" collapsed="false">
      <c r="A82" s="42" t="s">
        <v>46</v>
      </c>
      <c r="B82" s="43" t="s">
        <v>46</v>
      </c>
      <c r="C82" s="44" t="n">
        <v>34.5</v>
      </c>
      <c r="D82" s="43" t="n">
        <v>13.8</v>
      </c>
      <c r="E82" s="44" t="n">
        <v>12</v>
      </c>
      <c r="F82" s="43" t="s">
        <v>46</v>
      </c>
      <c r="G82" s="76" t="n">
        <f aca="false">H82</f>
        <v>2.20528115384615</v>
      </c>
      <c r="H82" s="44" t="n">
        <v>2.20528115384615</v>
      </c>
      <c r="I82" s="43" t="s">
        <v>14</v>
      </c>
      <c r="J82" s="43" t="n">
        <f aca="false">G82+E82</f>
        <v>14.2052811538462</v>
      </c>
      <c r="K82" s="43" t="s">
        <v>47</v>
      </c>
      <c r="L82" s="47"/>
    </row>
    <row r="83" s="23" customFormat="true" ht="13.8" hidden="false" customHeight="false" outlineLevel="0" collapsed="false">
      <c r="A83" s="42" t="s">
        <v>48</v>
      </c>
      <c r="B83" s="49" t="s">
        <v>48</v>
      </c>
      <c r="C83" s="8" t="n">
        <v>34.5</v>
      </c>
      <c r="D83" s="49" t="n">
        <v>13.8</v>
      </c>
      <c r="E83" s="8" t="n">
        <v>2</v>
      </c>
      <c r="F83" s="49" t="s">
        <v>48</v>
      </c>
      <c r="G83" s="35"/>
      <c r="H83" s="8" t="n">
        <v>1.60115384615385</v>
      </c>
      <c r="I83" s="49" t="s">
        <v>14</v>
      </c>
      <c r="J83" s="49" t="n">
        <f aca="false">G84+SUM(E83:E84)</f>
        <v>8.60115384615385</v>
      </c>
      <c r="K83" s="49" t="s">
        <v>47</v>
      </c>
      <c r="L83" s="50"/>
    </row>
    <row r="84" s="23" customFormat="true" ht="13.8" hidden="false" customHeight="false" outlineLevel="0" collapsed="false">
      <c r="A84" s="42"/>
      <c r="B84" s="31" t="s">
        <v>48</v>
      </c>
      <c r="C84" s="30" t="n">
        <v>34.5</v>
      </c>
      <c r="D84" s="31" t="n">
        <v>13.8</v>
      </c>
      <c r="E84" s="30" t="n">
        <v>5</v>
      </c>
      <c r="F84" s="31" t="s">
        <v>48</v>
      </c>
      <c r="G84" s="71" t="n">
        <f aca="false">H83</f>
        <v>1.60115384615385</v>
      </c>
      <c r="H84" s="31"/>
      <c r="I84" s="31" t="s">
        <v>14</v>
      </c>
      <c r="J84" s="31"/>
      <c r="K84" s="31" t="s">
        <v>47</v>
      </c>
      <c r="L84" s="33"/>
    </row>
    <row r="85" s="23" customFormat="true" ht="13.8" hidden="false" customHeight="false" outlineLevel="0" collapsed="false">
      <c r="A85" s="42" t="s">
        <v>74</v>
      </c>
      <c r="B85" s="43" t="s">
        <v>74</v>
      </c>
      <c r="C85" s="44" t="n">
        <v>34.5</v>
      </c>
      <c r="D85" s="43" t="n">
        <v>13.8</v>
      </c>
      <c r="E85" s="44" t="n">
        <v>1</v>
      </c>
      <c r="F85" s="43" t="s">
        <v>75</v>
      </c>
      <c r="G85" s="74" t="n">
        <f aca="false">H85</f>
        <v>0.164574468085106</v>
      </c>
      <c r="H85" s="43" t="n">
        <v>0.164574468085106</v>
      </c>
      <c r="I85" s="43" t="s">
        <v>14</v>
      </c>
      <c r="J85" s="43" t="n">
        <f aca="false">G85+E85</f>
        <v>1.16457446808511</v>
      </c>
      <c r="K85" s="43" t="s">
        <v>76</v>
      </c>
      <c r="L85" s="47" t="s">
        <v>77</v>
      </c>
    </row>
    <row r="86" s="23" customFormat="true" ht="13.8" hidden="false" customHeight="false" outlineLevel="0" collapsed="false">
      <c r="A86" s="42" t="s">
        <v>64</v>
      </c>
      <c r="B86" s="43" t="s">
        <v>64</v>
      </c>
      <c r="C86" s="44" t="n">
        <v>34.5</v>
      </c>
      <c r="D86" s="43" t="n">
        <v>13.8</v>
      </c>
      <c r="E86" s="44" t="n">
        <v>3</v>
      </c>
      <c r="F86" s="43" t="s">
        <v>64</v>
      </c>
      <c r="G86" s="76" t="n">
        <f aca="false">H86</f>
        <v>0.179576923076923</v>
      </c>
      <c r="H86" s="44" t="n">
        <v>0.179576923076923</v>
      </c>
      <c r="I86" s="43" t="s">
        <v>65</v>
      </c>
      <c r="J86" s="43" t="n">
        <f aca="false">G86+E86</f>
        <v>3.17957692307692</v>
      </c>
      <c r="K86" s="43" t="s">
        <v>69</v>
      </c>
      <c r="L86" s="47"/>
    </row>
    <row r="87" s="23" customFormat="true" ht="13.8" hidden="false" customHeight="false" outlineLevel="0" collapsed="false">
      <c r="A87" s="42" t="s">
        <v>78</v>
      </c>
      <c r="B87" s="43" t="s">
        <v>78</v>
      </c>
      <c r="C87" s="44" t="n">
        <v>34.5</v>
      </c>
      <c r="D87" s="43" t="n">
        <v>13.8</v>
      </c>
      <c r="E87" s="44" t="n">
        <v>1</v>
      </c>
      <c r="F87" s="43" t="s">
        <v>79</v>
      </c>
      <c r="G87" s="74" t="n">
        <f aca="false">H87</f>
        <v>0.0945813953488372</v>
      </c>
      <c r="H87" s="43" t="n">
        <v>0.0945813953488372</v>
      </c>
      <c r="I87" s="43" t="s">
        <v>65</v>
      </c>
      <c r="J87" s="43" t="n">
        <f aca="false">G87+E87</f>
        <v>1.09458139534884</v>
      </c>
      <c r="K87" s="43" t="s">
        <v>69</v>
      </c>
      <c r="L87" s="47"/>
    </row>
    <row r="88" s="23" customFormat="true" ht="13.8" hidden="false" customHeight="false" outlineLevel="0" collapsed="false">
      <c r="A88" s="42" t="s">
        <v>80</v>
      </c>
      <c r="B88" s="43" t="s">
        <v>80</v>
      </c>
      <c r="C88" s="44" t="n">
        <v>34.5</v>
      </c>
      <c r="D88" s="43" t="n">
        <v>13.8</v>
      </c>
      <c r="E88" s="44" t="n">
        <v>0.5</v>
      </c>
      <c r="F88" s="43" t="s">
        <v>75</v>
      </c>
      <c r="G88" s="74" t="n">
        <f aca="false">H88</f>
        <v>0.0515833333333333</v>
      </c>
      <c r="H88" s="43" t="n">
        <v>0.0515833333333333</v>
      </c>
      <c r="I88" s="43" t="s">
        <v>14</v>
      </c>
      <c r="J88" s="43" t="n">
        <f aca="false">G88+E88</f>
        <v>0.551583333333333</v>
      </c>
      <c r="K88" s="43" t="s">
        <v>76</v>
      </c>
      <c r="L88" s="47" t="s">
        <v>77</v>
      </c>
    </row>
    <row r="89" s="23" customFormat="true" ht="13.8" hidden="false" customHeight="false" outlineLevel="0" collapsed="false">
      <c r="A89" s="42" t="s">
        <v>81</v>
      </c>
      <c r="B89" s="43" t="s">
        <v>81</v>
      </c>
      <c r="C89" s="44" t="n">
        <v>34.5</v>
      </c>
      <c r="D89" s="43" t="n">
        <v>13.8</v>
      </c>
      <c r="E89" s="44" t="n">
        <v>0.5</v>
      </c>
      <c r="F89" s="43" t="s">
        <v>75</v>
      </c>
      <c r="G89" s="74" t="n">
        <f aca="false">H89</f>
        <v>0.05976</v>
      </c>
      <c r="H89" s="43" t="n">
        <v>0.05976</v>
      </c>
      <c r="I89" s="43" t="s">
        <v>14</v>
      </c>
      <c r="J89" s="43" t="n">
        <f aca="false">G89+E89</f>
        <v>0.55976</v>
      </c>
      <c r="K89" s="43" t="s">
        <v>76</v>
      </c>
      <c r="L89" s="47" t="s">
        <v>77</v>
      </c>
    </row>
    <row r="90" s="23" customFormat="true" ht="13.8" hidden="false" customHeight="false" outlineLevel="0" collapsed="false">
      <c r="A90" s="42" t="s">
        <v>82</v>
      </c>
      <c r="B90" s="43" t="s">
        <v>82</v>
      </c>
      <c r="C90" s="44" t="n">
        <v>34.5</v>
      </c>
      <c r="D90" s="43" t="n">
        <v>13.8</v>
      </c>
      <c r="E90" s="44" t="n">
        <v>0.5</v>
      </c>
      <c r="F90" s="43" t="s">
        <v>75</v>
      </c>
      <c r="G90" s="74" t="n">
        <f aca="false">H90</f>
        <v>0.238617980392157</v>
      </c>
      <c r="H90" s="43" t="n">
        <v>0.238617980392157</v>
      </c>
      <c r="I90" s="43" t="s">
        <v>14</v>
      </c>
      <c r="J90" s="43" t="n">
        <f aca="false">G90+E90</f>
        <v>0.738617980392157</v>
      </c>
      <c r="K90" s="43" t="s">
        <v>76</v>
      </c>
      <c r="L90" s="47" t="s">
        <v>77</v>
      </c>
    </row>
    <row r="91" s="23" customFormat="true" ht="13.8" hidden="false" customHeight="false" outlineLevel="0" collapsed="false">
      <c r="A91" s="42" t="s">
        <v>79</v>
      </c>
      <c r="B91" s="49" t="s">
        <v>79</v>
      </c>
      <c r="C91" s="8" t="n">
        <v>34.5</v>
      </c>
      <c r="D91" s="9" t="n">
        <v>13.8</v>
      </c>
      <c r="E91" s="8" t="n">
        <v>12</v>
      </c>
      <c r="F91" s="9" t="s">
        <v>71</v>
      </c>
      <c r="G91" s="9" t="n">
        <v>1.51584090909091</v>
      </c>
      <c r="H91" s="49"/>
      <c r="I91" s="49" t="s">
        <v>14</v>
      </c>
      <c r="J91" s="49" t="n">
        <f aca="false">G95+SUM(E93:E95)</f>
        <v>111.633215429582</v>
      </c>
      <c r="K91" s="49" t="s">
        <v>69</v>
      </c>
      <c r="L91" s="50"/>
    </row>
    <row r="92" customFormat="false" ht="13.8" hidden="false" customHeight="false" outlineLevel="0" collapsed="false">
      <c r="A92" s="42"/>
      <c r="B92" s="1" t="s">
        <v>79</v>
      </c>
      <c r="C92" s="3" t="n">
        <v>34.5</v>
      </c>
      <c r="D92" s="67" t="n">
        <v>13.8</v>
      </c>
      <c r="E92" s="3" t="n">
        <v>1</v>
      </c>
      <c r="F92" s="67" t="s">
        <v>78</v>
      </c>
      <c r="G92" s="67" t="n">
        <v>0.0945813953488372</v>
      </c>
      <c r="H92" s="1" t="n">
        <f aca="false">SUM(G91:G92)</f>
        <v>1.61042230443975</v>
      </c>
      <c r="I92" s="1" t="s">
        <v>14</v>
      </c>
      <c r="K92" s="1" t="s">
        <v>69</v>
      </c>
      <c r="L92" s="25"/>
      <c r="XFD92" s="23"/>
    </row>
    <row r="93" customFormat="false" ht="13.8" hidden="false" customHeight="false" outlineLevel="0" collapsed="false">
      <c r="A93" s="42"/>
      <c r="B93" s="1" t="s">
        <v>79</v>
      </c>
      <c r="C93" s="3" t="n">
        <v>115</v>
      </c>
      <c r="D93" s="1" t="n">
        <v>34.5</v>
      </c>
      <c r="E93" s="3" t="n">
        <v>47</v>
      </c>
      <c r="F93" s="1" t="s">
        <v>79</v>
      </c>
      <c r="G93" s="0"/>
      <c r="H93" s="3" t="n">
        <v>1.24363773402179</v>
      </c>
      <c r="I93" s="1" t="s">
        <v>14</v>
      </c>
      <c r="K93" s="1" t="s">
        <v>69</v>
      </c>
      <c r="L93" s="25"/>
      <c r="XFD93" s="23"/>
    </row>
    <row r="94" customFormat="false" ht="13.8" hidden="false" customHeight="false" outlineLevel="0" collapsed="false">
      <c r="A94" s="42"/>
      <c r="B94" s="1" t="s">
        <v>79</v>
      </c>
      <c r="C94" s="3" t="n">
        <v>115</v>
      </c>
      <c r="D94" s="1" t="n">
        <v>34.5</v>
      </c>
      <c r="E94" s="3" t="n">
        <v>40</v>
      </c>
      <c r="F94" s="1" t="s">
        <v>79</v>
      </c>
      <c r="I94" s="1" t="s">
        <v>14</v>
      </c>
      <c r="K94" s="1" t="s">
        <v>69</v>
      </c>
      <c r="L94" s="25"/>
      <c r="XFD94" s="23"/>
    </row>
    <row r="95" s="23" customFormat="true" ht="13.8" hidden="false" customHeight="false" outlineLevel="0" collapsed="false">
      <c r="A95" s="42"/>
      <c r="B95" s="31" t="s">
        <v>79</v>
      </c>
      <c r="C95" s="30" t="n">
        <v>115</v>
      </c>
      <c r="D95" s="31" t="n">
        <v>13.8</v>
      </c>
      <c r="E95" s="30" t="n">
        <v>25</v>
      </c>
      <c r="F95" s="31" t="s">
        <v>79</v>
      </c>
      <c r="G95" s="32" t="n">
        <f aca="false">H93-H92</f>
        <v>-0.366784570417954</v>
      </c>
      <c r="H95" s="31"/>
      <c r="I95" s="31" t="s">
        <v>14</v>
      </c>
      <c r="J95" s="31"/>
      <c r="K95" s="31" t="s">
        <v>69</v>
      </c>
      <c r="L95" s="33"/>
    </row>
    <row r="96" s="23" customFormat="true" ht="13.8" hidden="false" customHeight="false" outlineLevel="0" collapsed="false">
      <c r="A96" s="42" t="s">
        <v>18</v>
      </c>
      <c r="B96" s="43" t="s">
        <v>18</v>
      </c>
      <c r="C96" s="44" t="n">
        <v>34.5</v>
      </c>
      <c r="D96" s="43" t="n">
        <v>13.8</v>
      </c>
      <c r="E96" s="44" t="n">
        <v>6</v>
      </c>
      <c r="F96" s="43" t="s">
        <v>18</v>
      </c>
      <c r="G96" s="76" t="n">
        <f aca="false">H96</f>
        <v>1.03390619512195</v>
      </c>
      <c r="H96" s="44" t="n">
        <v>1.03390619512195</v>
      </c>
      <c r="I96" s="43" t="s">
        <v>14</v>
      </c>
      <c r="J96" s="43" t="n">
        <f aca="false">G96+E96</f>
        <v>7.03390619512195</v>
      </c>
      <c r="K96" s="43" t="s">
        <v>83</v>
      </c>
      <c r="L96" s="47"/>
    </row>
    <row r="97" s="23" customFormat="true" ht="13.8" hidden="false" customHeight="false" outlineLevel="0" collapsed="false">
      <c r="A97" s="42" t="s">
        <v>84</v>
      </c>
      <c r="B97" s="43" t="s">
        <v>84</v>
      </c>
      <c r="C97" s="44" t="n">
        <v>34.5</v>
      </c>
      <c r="D97" s="43" t="n">
        <v>13.8</v>
      </c>
      <c r="E97" s="44" t="n">
        <v>0.16</v>
      </c>
      <c r="F97" s="77"/>
      <c r="G97" s="78"/>
      <c r="H97" s="77"/>
      <c r="I97" s="77"/>
      <c r="J97" s="77"/>
      <c r="K97" s="77"/>
      <c r="L97" s="47" t="s">
        <v>85</v>
      </c>
    </row>
    <row r="98" s="23" customFormat="true" ht="13.8" hidden="false" customHeight="false" outlineLevel="0" collapsed="false">
      <c r="A98" s="42" t="s">
        <v>86</v>
      </c>
      <c r="B98" s="49" t="s">
        <v>86</v>
      </c>
      <c r="C98" s="8" t="n">
        <v>115</v>
      </c>
      <c r="D98" s="49" t="n">
        <v>34.5</v>
      </c>
      <c r="E98" s="8" t="n">
        <v>25</v>
      </c>
      <c r="F98" s="9" t="s">
        <v>86</v>
      </c>
      <c r="G98" s="8"/>
      <c r="H98" s="79" t="n">
        <v>1.73558043475</v>
      </c>
      <c r="I98" s="49" t="s">
        <v>14</v>
      </c>
      <c r="J98" s="49" t="n">
        <f aca="false">G99+SUM(E98:E99)</f>
        <v>32.73558043475</v>
      </c>
      <c r="K98" s="49" t="s">
        <v>87</v>
      </c>
      <c r="L98" s="50"/>
    </row>
    <row r="99" s="23" customFormat="true" ht="13.8" hidden="false" customHeight="false" outlineLevel="0" collapsed="false">
      <c r="A99" s="42"/>
      <c r="B99" s="31" t="s">
        <v>86</v>
      </c>
      <c r="C99" s="30" t="n">
        <v>115</v>
      </c>
      <c r="D99" s="31" t="n">
        <v>13.8</v>
      </c>
      <c r="E99" s="30" t="n">
        <v>6</v>
      </c>
      <c r="F99" s="31" t="s">
        <v>86</v>
      </c>
      <c r="G99" s="59" t="n">
        <f aca="false">H98</f>
        <v>1.73558043475</v>
      </c>
      <c r="H99" s="31"/>
      <c r="I99" s="31" t="s">
        <v>14</v>
      </c>
      <c r="J99" s="31"/>
      <c r="K99" s="31" t="s">
        <v>87</v>
      </c>
      <c r="L99" s="33"/>
    </row>
    <row r="100" s="23" customFormat="true" ht="13.8" hidden="false" customHeight="false" outlineLevel="0" collapsed="false">
      <c r="A100" s="42" t="s">
        <v>88</v>
      </c>
      <c r="B100" s="49" t="s">
        <v>88</v>
      </c>
      <c r="C100" s="8" t="n">
        <v>115</v>
      </c>
      <c r="D100" s="49" t="n">
        <v>34.5</v>
      </c>
      <c r="E100" s="8" t="n">
        <v>47</v>
      </c>
      <c r="F100" s="80"/>
      <c r="G100" s="81"/>
      <c r="H100" s="80"/>
      <c r="I100" s="49" t="s">
        <v>14</v>
      </c>
      <c r="J100" s="80"/>
      <c r="K100" s="49" t="s">
        <v>19</v>
      </c>
      <c r="L100" s="50" t="s">
        <v>89</v>
      </c>
    </row>
    <row r="101" s="23" customFormat="true" ht="13.8" hidden="false" customHeight="false" outlineLevel="0" collapsed="false">
      <c r="A101" s="42"/>
      <c r="B101" s="31" t="s">
        <v>88</v>
      </c>
      <c r="C101" s="30" t="n">
        <v>115</v>
      </c>
      <c r="D101" s="31" t="n">
        <v>13.8</v>
      </c>
      <c r="E101" s="30" t="n">
        <v>25</v>
      </c>
      <c r="F101" s="82"/>
      <c r="G101" s="83"/>
      <c r="H101" s="82"/>
      <c r="I101" s="31" t="s">
        <v>14</v>
      </c>
      <c r="J101" s="82"/>
      <c r="K101" s="31" t="s">
        <v>19</v>
      </c>
      <c r="L101" s="33"/>
    </row>
    <row r="102" s="23" customFormat="true" ht="13.8" hidden="false" customHeight="false" outlineLevel="0" collapsed="false">
      <c r="A102" s="42" t="s">
        <v>60</v>
      </c>
      <c r="B102" s="43" t="s">
        <v>60</v>
      </c>
      <c r="C102" s="44" t="n">
        <v>34.5</v>
      </c>
      <c r="D102" s="43" t="n">
        <v>13.8</v>
      </c>
      <c r="E102" s="44" t="n">
        <v>3</v>
      </c>
      <c r="F102" s="43" t="s">
        <v>60</v>
      </c>
      <c r="G102" s="74" t="n">
        <f aca="false">H102</f>
        <v>0.556577262251407</v>
      </c>
      <c r="H102" s="43" t="n">
        <v>0.556577262251407</v>
      </c>
      <c r="I102" s="43" t="s">
        <v>14</v>
      </c>
      <c r="J102" s="43" t="n">
        <f aca="false">G102+E102</f>
        <v>3.55657726225141</v>
      </c>
      <c r="K102" s="43" t="s">
        <v>59</v>
      </c>
      <c r="L102" s="47"/>
    </row>
    <row r="103" s="23" customFormat="true" ht="13.8" hidden="false" customHeight="false" outlineLevel="0" collapsed="false">
      <c r="A103" s="42" t="s">
        <v>62</v>
      </c>
      <c r="B103" s="43" t="s">
        <v>62</v>
      </c>
      <c r="C103" s="44" t="n">
        <v>34.5</v>
      </c>
      <c r="D103" s="43" t="n">
        <v>13.8</v>
      </c>
      <c r="E103" s="44" t="n">
        <v>5</v>
      </c>
      <c r="F103" s="43" t="s">
        <v>62</v>
      </c>
      <c r="G103" s="76" t="n">
        <f aca="false">H103</f>
        <v>1.93801033868093</v>
      </c>
      <c r="H103" s="44" t="n">
        <v>1.93801033868093</v>
      </c>
      <c r="I103" s="43" t="s">
        <v>14</v>
      </c>
      <c r="J103" s="43" t="n">
        <f aca="false">G103+E103</f>
        <v>6.93801033868093</v>
      </c>
      <c r="K103" s="43" t="s">
        <v>61</v>
      </c>
      <c r="L103" s="47"/>
    </row>
    <row r="104" s="23" customFormat="true" ht="13.8" hidden="false" customHeight="false" outlineLevel="0" collapsed="false">
      <c r="A104" s="42" t="s">
        <v>39</v>
      </c>
      <c r="B104" s="43" t="s">
        <v>39</v>
      </c>
      <c r="C104" s="44" t="n">
        <v>115</v>
      </c>
      <c r="D104" s="43" t="n">
        <v>13.8</v>
      </c>
      <c r="E104" s="44" t="n">
        <v>11</v>
      </c>
      <c r="F104" s="43" t="s">
        <v>39</v>
      </c>
      <c r="G104" s="76" t="n">
        <f aca="false">H104</f>
        <v>1.7064911029304</v>
      </c>
      <c r="H104" s="44" t="n">
        <v>1.7064911029304</v>
      </c>
      <c r="I104" s="43" t="s">
        <v>14</v>
      </c>
      <c r="J104" s="43" t="n">
        <f aca="false">G104+E104</f>
        <v>12.7064911029304</v>
      </c>
      <c r="K104" s="43" t="s">
        <v>25</v>
      </c>
      <c r="L104" s="47"/>
    </row>
    <row r="105" s="23" customFormat="true" ht="13.8" hidden="false" customHeight="false" outlineLevel="0" collapsed="false">
      <c r="A105" s="42" t="s">
        <v>20</v>
      </c>
      <c r="B105" s="43" t="s">
        <v>20</v>
      </c>
      <c r="C105" s="44" t="n">
        <v>34.5</v>
      </c>
      <c r="D105" s="43" t="n">
        <v>13.8</v>
      </c>
      <c r="E105" s="44" t="n">
        <v>12.5</v>
      </c>
      <c r="F105" s="43" t="s">
        <v>20</v>
      </c>
      <c r="G105" s="76" t="n">
        <f aca="false">H105</f>
        <v>3.571521739</v>
      </c>
      <c r="H105" s="44" t="n">
        <v>3.571521739</v>
      </c>
      <c r="I105" s="43" t="s">
        <v>14</v>
      </c>
      <c r="J105" s="43" t="n">
        <f aca="false">G105+E105</f>
        <v>16.071521739</v>
      </c>
      <c r="K105" s="43" t="s">
        <v>90</v>
      </c>
      <c r="L105" s="47"/>
    </row>
    <row r="106" s="23" customFormat="true" ht="13.8" hidden="false" customHeight="false" outlineLevel="0" collapsed="false">
      <c r="A106" s="42" t="s">
        <v>91</v>
      </c>
      <c r="B106" s="43" t="s">
        <v>91</v>
      </c>
      <c r="C106" s="44" t="n">
        <v>34.5</v>
      </c>
      <c r="D106" s="43" t="n">
        <v>13.8</v>
      </c>
      <c r="E106" s="44" t="n">
        <v>0.5</v>
      </c>
      <c r="F106" s="43" t="s">
        <v>91</v>
      </c>
      <c r="G106" s="74" t="n">
        <f aca="false">H106</f>
        <v>0.01692</v>
      </c>
      <c r="H106" s="43" t="n">
        <v>0.01692</v>
      </c>
      <c r="I106" s="43" t="s">
        <v>14</v>
      </c>
      <c r="J106" s="43" t="n">
        <f aca="false">G106+E106</f>
        <v>0.51692</v>
      </c>
      <c r="K106" s="43" t="s">
        <v>76</v>
      </c>
      <c r="L106" s="47" t="s">
        <v>77</v>
      </c>
    </row>
    <row r="107" s="23" customFormat="true" ht="13.8" hidden="false" customHeight="false" outlineLevel="0" collapsed="false">
      <c r="A107" s="42" t="s">
        <v>54</v>
      </c>
      <c r="B107" s="43" t="s">
        <v>54</v>
      </c>
      <c r="C107" s="44" t="n">
        <v>34.5</v>
      </c>
      <c r="D107" s="43" t="n">
        <v>13.8</v>
      </c>
      <c r="E107" s="44" t="n">
        <v>5</v>
      </c>
      <c r="F107" s="43" t="s">
        <v>54</v>
      </c>
      <c r="G107" s="74" t="n">
        <f aca="false">H107</f>
        <v>0.975234042553192</v>
      </c>
      <c r="H107" s="43" t="n">
        <v>0.975234042553192</v>
      </c>
      <c r="I107" s="43" t="s">
        <v>14</v>
      </c>
      <c r="J107" s="43" t="n">
        <f aca="false">G107+E107</f>
        <v>5.97523404255319</v>
      </c>
      <c r="K107" s="43" t="s">
        <v>55</v>
      </c>
      <c r="L107" s="47"/>
    </row>
    <row r="108" s="23" customFormat="true" ht="13.8" hidden="false" customHeight="false" outlineLevel="0" collapsed="false">
      <c r="A108" s="42" t="s">
        <v>92</v>
      </c>
      <c r="B108" s="43" t="s">
        <v>92</v>
      </c>
      <c r="C108" s="44" t="n">
        <v>34.5</v>
      </c>
      <c r="D108" s="43" t="n">
        <v>13.8</v>
      </c>
      <c r="E108" s="44" t="n">
        <v>6</v>
      </c>
      <c r="F108" s="43" t="s">
        <v>92</v>
      </c>
      <c r="G108" s="78"/>
      <c r="H108" s="77"/>
      <c r="I108" s="43" t="s">
        <v>65</v>
      </c>
      <c r="J108" s="77"/>
      <c r="K108" s="43" t="s">
        <v>93</v>
      </c>
      <c r="L108" s="47" t="s">
        <v>89</v>
      </c>
    </row>
    <row r="109" s="23" customFormat="true" ht="13.8" hidden="false" customHeight="false" outlineLevel="0" collapsed="false">
      <c r="A109" s="42" t="s">
        <v>94</v>
      </c>
      <c r="B109" s="43" t="s">
        <v>94</v>
      </c>
      <c r="C109" s="44" t="n">
        <v>34.5</v>
      </c>
      <c r="D109" s="43" t="n">
        <v>13.8</v>
      </c>
      <c r="E109" s="44" t="n">
        <v>25</v>
      </c>
      <c r="F109" s="43" t="s">
        <v>94</v>
      </c>
      <c r="G109" s="78"/>
      <c r="H109" s="77"/>
      <c r="I109" s="43" t="s">
        <v>14</v>
      </c>
      <c r="J109" s="77"/>
      <c r="K109" s="43" t="s">
        <v>61</v>
      </c>
      <c r="L109" s="47" t="s">
        <v>89</v>
      </c>
    </row>
    <row r="110" s="23" customFormat="true" ht="13.8" hidden="false" customHeight="false" outlineLevel="0" collapsed="false">
      <c r="A110" s="42" t="s">
        <v>34</v>
      </c>
      <c r="B110" s="43" t="s">
        <v>34</v>
      </c>
      <c r="C110" s="44" t="n">
        <v>34.5</v>
      </c>
      <c r="D110" s="43" t="n">
        <v>13.8</v>
      </c>
      <c r="E110" s="44" t="n">
        <v>12.5</v>
      </c>
      <c r="F110" s="43" t="s">
        <v>34</v>
      </c>
      <c r="G110" s="74" t="n">
        <f aca="false">H110</f>
        <v>2.3573</v>
      </c>
      <c r="H110" s="43" t="n">
        <v>2.3573</v>
      </c>
      <c r="I110" s="43" t="s">
        <v>14</v>
      </c>
      <c r="J110" s="43" t="n">
        <f aca="false">G110+E110</f>
        <v>14.8573</v>
      </c>
      <c r="K110" s="43" t="s">
        <v>19</v>
      </c>
      <c r="L110" s="47"/>
    </row>
    <row r="111" s="23" customFormat="true" ht="13.8" hidden="false" customHeight="false" outlineLevel="0" collapsed="false">
      <c r="A111" s="42" t="s">
        <v>95</v>
      </c>
      <c r="B111" s="43" t="s">
        <v>95</v>
      </c>
      <c r="C111" s="44" t="n">
        <v>34.5</v>
      </c>
      <c r="D111" s="43" t="n">
        <v>13.8</v>
      </c>
      <c r="E111" s="44" t="n">
        <v>6</v>
      </c>
      <c r="F111" s="43" t="s">
        <v>95</v>
      </c>
      <c r="G111" s="78"/>
      <c r="H111" s="77"/>
      <c r="I111" s="43" t="s">
        <v>14</v>
      </c>
      <c r="J111" s="77"/>
      <c r="K111" s="43" t="s">
        <v>19</v>
      </c>
      <c r="L111" s="47" t="s">
        <v>89</v>
      </c>
    </row>
    <row r="112" s="23" customFormat="true" ht="13.8" hidden="false" customHeight="false" outlineLevel="0" collapsed="false">
      <c r="A112" s="42" t="s">
        <v>96</v>
      </c>
      <c r="B112" s="43" t="s">
        <v>96</v>
      </c>
      <c r="C112" s="44" t="n">
        <v>34.5</v>
      </c>
      <c r="D112" s="43" t="n">
        <v>13.8</v>
      </c>
      <c r="E112" s="44" t="n">
        <v>3</v>
      </c>
      <c r="F112" s="43" t="s">
        <v>96</v>
      </c>
      <c r="G112" s="78"/>
      <c r="H112" s="77"/>
      <c r="I112" s="43" t="s">
        <v>65</v>
      </c>
      <c r="J112" s="77"/>
      <c r="K112" s="43" t="s">
        <v>97</v>
      </c>
      <c r="L112" s="47" t="s">
        <v>89</v>
      </c>
    </row>
    <row r="113" s="23" customFormat="true" ht="13.8" hidden="false" customHeight="false" outlineLevel="0" collapsed="false">
      <c r="A113" s="42" t="s">
        <v>98</v>
      </c>
      <c r="B113" s="43" t="s">
        <v>98</v>
      </c>
      <c r="C113" s="44" t="n">
        <v>34.5</v>
      </c>
      <c r="D113" s="43" t="n">
        <v>13.8</v>
      </c>
      <c r="E113" s="44" t="n">
        <v>12.5</v>
      </c>
      <c r="F113" s="43" t="s">
        <v>98</v>
      </c>
      <c r="G113" s="78"/>
      <c r="H113" s="77"/>
      <c r="I113" s="43" t="s">
        <v>14</v>
      </c>
      <c r="J113" s="77"/>
      <c r="K113" s="43" t="s">
        <v>19</v>
      </c>
      <c r="L113" s="47" t="s">
        <v>89</v>
      </c>
    </row>
    <row r="114" s="23" customFormat="true" ht="13.8" hidden="false" customHeight="false" outlineLevel="0" collapsed="false">
      <c r="A114" s="42" t="s">
        <v>99</v>
      </c>
      <c r="B114" s="43" t="s">
        <v>99</v>
      </c>
      <c r="C114" s="44" t="n">
        <v>34.5</v>
      </c>
      <c r="D114" s="43" t="n">
        <v>13.8</v>
      </c>
      <c r="E114" s="44" t="n">
        <v>22</v>
      </c>
      <c r="F114" s="43" t="s">
        <v>99</v>
      </c>
      <c r="G114" s="78"/>
      <c r="H114" s="77"/>
      <c r="I114" s="43" t="s">
        <v>14</v>
      </c>
      <c r="J114" s="77"/>
      <c r="K114" s="43" t="s">
        <v>19</v>
      </c>
      <c r="L114" s="47" t="s">
        <v>89</v>
      </c>
    </row>
    <row r="115" s="23" customFormat="true" ht="13.8" hidden="false" customHeight="false" outlineLevel="0" collapsed="false">
      <c r="A115" s="42" t="s">
        <v>100</v>
      </c>
      <c r="B115" s="43" t="s">
        <v>100</v>
      </c>
      <c r="C115" s="44" t="n">
        <v>34.5</v>
      </c>
      <c r="D115" s="43" t="n">
        <v>13.8</v>
      </c>
      <c r="E115" s="44" t="n">
        <v>5</v>
      </c>
      <c r="F115" s="43" t="s">
        <v>100</v>
      </c>
      <c r="G115" s="78"/>
      <c r="H115" s="77"/>
      <c r="I115" s="43" t="s">
        <v>14</v>
      </c>
      <c r="J115" s="77"/>
      <c r="K115" s="43" t="s">
        <v>101</v>
      </c>
      <c r="L115" s="47" t="s">
        <v>89</v>
      </c>
    </row>
    <row r="116" s="23" customFormat="true" ht="13.8" hidden="false" customHeight="false" outlineLevel="0" collapsed="false">
      <c r="A116" s="42" t="s">
        <v>102</v>
      </c>
      <c r="B116" s="49" t="s">
        <v>102</v>
      </c>
      <c r="C116" s="8" t="n">
        <v>34.5</v>
      </c>
      <c r="D116" s="49" t="n">
        <v>13.8</v>
      </c>
      <c r="E116" s="8" t="n">
        <v>22</v>
      </c>
      <c r="F116" s="9" t="s">
        <v>102</v>
      </c>
      <c r="G116" s="81"/>
      <c r="H116" s="80"/>
      <c r="I116" s="49" t="s">
        <v>14</v>
      </c>
      <c r="J116" s="80"/>
      <c r="K116" s="49" t="s">
        <v>19</v>
      </c>
      <c r="L116" s="37" t="s">
        <v>89</v>
      </c>
    </row>
    <row r="117" s="23" customFormat="true" ht="13.8" hidden="false" customHeight="false" outlineLevel="0" collapsed="false">
      <c r="A117" s="42"/>
      <c r="B117" s="31" t="s">
        <v>102</v>
      </c>
      <c r="C117" s="30" t="n">
        <v>115</v>
      </c>
      <c r="D117" s="31" t="n">
        <v>34.5</v>
      </c>
      <c r="E117" s="30" t="n">
        <v>47</v>
      </c>
      <c r="F117" s="31" t="s">
        <v>102</v>
      </c>
      <c r="G117" s="83"/>
      <c r="H117" s="82"/>
      <c r="I117" s="31" t="s">
        <v>14</v>
      </c>
      <c r="J117" s="82"/>
      <c r="K117" s="31" t="s">
        <v>19</v>
      </c>
      <c r="L117" s="33" t="s">
        <v>89</v>
      </c>
    </row>
    <row r="118" s="23" customFormat="true" ht="13.8" hidden="false" customHeight="false" outlineLevel="0" collapsed="false">
      <c r="A118" s="42" t="s">
        <v>103</v>
      </c>
      <c r="B118" s="43" t="s">
        <v>103</v>
      </c>
      <c r="C118" s="44" t="n">
        <v>34.5</v>
      </c>
      <c r="D118" s="43" t="n">
        <v>13.8</v>
      </c>
      <c r="E118" s="44" t="n">
        <v>6</v>
      </c>
      <c r="F118" s="43" t="s">
        <v>103</v>
      </c>
      <c r="G118" s="78"/>
      <c r="H118" s="77"/>
      <c r="I118" s="43" t="s">
        <v>14</v>
      </c>
      <c r="J118" s="77"/>
      <c r="K118" s="43" t="s">
        <v>104</v>
      </c>
      <c r="L118" s="47" t="s">
        <v>89</v>
      </c>
    </row>
    <row r="119" s="23" customFormat="true" ht="13.8" hidden="false" customHeight="false" outlineLevel="0" collapsed="false">
      <c r="A119" s="42" t="s">
        <v>105</v>
      </c>
      <c r="B119" s="43" t="s">
        <v>105</v>
      </c>
      <c r="C119" s="44" t="n">
        <v>34.5</v>
      </c>
      <c r="D119" s="43" t="n">
        <v>13.8</v>
      </c>
      <c r="E119" s="44" t="n">
        <v>3</v>
      </c>
      <c r="F119" s="43" t="s">
        <v>105</v>
      </c>
      <c r="G119" s="78"/>
      <c r="H119" s="77"/>
      <c r="I119" s="43" t="s">
        <v>14</v>
      </c>
      <c r="J119" s="77"/>
      <c r="K119" s="43" t="s">
        <v>15</v>
      </c>
      <c r="L119" s="47" t="s">
        <v>89</v>
      </c>
    </row>
    <row r="120" s="23" customFormat="true" ht="13.8" hidden="false" customHeight="false" outlineLevel="0" collapsed="false">
      <c r="A120" s="42" t="s">
        <v>106</v>
      </c>
      <c r="B120" s="43" t="s">
        <v>106</v>
      </c>
      <c r="C120" s="44" t="n">
        <v>34.5</v>
      </c>
      <c r="D120" s="43" t="n">
        <v>13.8</v>
      </c>
      <c r="E120" s="44" t="n">
        <v>22</v>
      </c>
      <c r="F120" s="43" t="s">
        <v>106</v>
      </c>
      <c r="G120" s="78"/>
      <c r="H120" s="77"/>
      <c r="I120" s="43" t="s">
        <v>14</v>
      </c>
      <c r="J120" s="77"/>
      <c r="K120" s="43" t="s">
        <v>19</v>
      </c>
      <c r="L120" s="47" t="s">
        <v>89</v>
      </c>
    </row>
    <row r="121" s="23" customFormat="true" ht="13.8" hidden="false" customHeight="false" outlineLevel="0" collapsed="false">
      <c r="A121" s="42" t="s">
        <v>107</v>
      </c>
      <c r="B121" s="43" t="s">
        <v>107</v>
      </c>
      <c r="C121" s="44" t="n">
        <v>34.5</v>
      </c>
      <c r="D121" s="43" t="n">
        <v>13.8</v>
      </c>
      <c r="E121" s="44" t="n">
        <v>6</v>
      </c>
      <c r="F121" s="43" t="s">
        <v>107</v>
      </c>
      <c r="G121" s="78"/>
      <c r="H121" s="77"/>
      <c r="I121" s="43" t="s">
        <v>14</v>
      </c>
      <c r="J121" s="77"/>
      <c r="K121" s="43" t="s">
        <v>15</v>
      </c>
      <c r="L121" s="47" t="s">
        <v>89</v>
      </c>
    </row>
    <row r="122" s="23" customFormat="true" ht="13.8" hidden="false" customHeight="false" outlineLevel="0" collapsed="false">
      <c r="A122" s="42" t="s">
        <v>108</v>
      </c>
      <c r="B122" s="43" t="s">
        <v>108</v>
      </c>
      <c r="C122" s="44" t="n">
        <v>34.5</v>
      </c>
      <c r="D122" s="43" t="n">
        <v>13.8</v>
      </c>
      <c r="E122" s="44" t="n">
        <v>4</v>
      </c>
      <c r="F122" s="43" t="s">
        <v>108</v>
      </c>
      <c r="G122" s="78"/>
      <c r="H122" s="77"/>
      <c r="I122" s="43" t="s">
        <v>65</v>
      </c>
      <c r="J122" s="77"/>
      <c r="K122" s="43" t="s">
        <v>69</v>
      </c>
      <c r="L122" s="47" t="s">
        <v>89</v>
      </c>
    </row>
    <row r="123" s="23" customFormat="true" ht="13.8" hidden="false" customHeight="false" outlineLevel="0" collapsed="false">
      <c r="A123" s="42" t="s">
        <v>109</v>
      </c>
      <c r="B123" s="43" t="s">
        <v>109</v>
      </c>
      <c r="C123" s="44" t="n">
        <v>34.5</v>
      </c>
      <c r="D123" s="43" t="n">
        <v>13.8</v>
      </c>
      <c r="E123" s="44" t="n">
        <v>3</v>
      </c>
      <c r="F123" s="43" t="s">
        <v>109</v>
      </c>
      <c r="G123" s="78"/>
      <c r="H123" s="77"/>
      <c r="I123" s="43" t="s">
        <v>14</v>
      </c>
      <c r="J123" s="77"/>
      <c r="K123" s="43" t="s">
        <v>61</v>
      </c>
      <c r="L123" s="47" t="s">
        <v>89</v>
      </c>
    </row>
    <row r="124" customFormat="false" ht="13.8" hidden="false" customHeight="false" outlineLevel="0" collapsed="false">
      <c r="L124" s="84" t="s">
        <v>110</v>
      </c>
    </row>
  </sheetData>
  <mergeCells count="18">
    <mergeCell ref="A2:A13"/>
    <mergeCell ref="A14:A19"/>
    <mergeCell ref="A21:A26"/>
    <mergeCell ref="A27:A32"/>
    <mergeCell ref="A34:A35"/>
    <mergeCell ref="A36:A38"/>
    <mergeCell ref="A41:A47"/>
    <mergeCell ref="A48:A53"/>
    <mergeCell ref="A54:A59"/>
    <mergeCell ref="A60:A65"/>
    <mergeCell ref="A66:A69"/>
    <mergeCell ref="A73:A74"/>
    <mergeCell ref="A79:A80"/>
    <mergeCell ref="A83:A84"/>
    <mergeCell ref="A91:A95"/>
    <mergeCell ref="A98:A99"/>
    <mergeCell ref="A100:A101"/>
    <mergeCell ref="A116:A117"/>
  </mergeCells>
  <dataValidations count="5">
    <dataValidation allowBlank="true" errorStyle="stop" operator="between" showDropDown="false" showErrorMessage="true" showInputMessage="true" sqref="G2:G12" type="decimal">
      <formula1>-100000000</formula1>
      <formula2>100000000000</formula2>
    </dataValidation>
    <dataValidation allowBlank="true" errorStyle="stop" operator="between" showDropDown="false" showErrorMessage="true" showInputMessage="true" sqref="E2:E9" type="decimal">
      <formula1>-10000000</formula1>
      <formula2>10000000</formula2>
    </dataValidation>
    <dataValidation allowBlank="true" errorStyle="stop" operator="between" showDropDown="false" showErrorMessage="true" showInputMessage="true" sqref="G15:G18 G20:H20 G22:G23 G27:G28 G30:G31 G33 H34 H36 G37 H39:H40 G41:G46 G50:G52 G54:G58 G60:G64 G66:G68 H98" type="decimal">
      <formula1>-100000000</formula1>
      <formula2>100000000000</formula2>
    </dataValidation>
    <dataValidation allowBlank="true" errorStyle="stop" operator="between" showDropDown="false" showErrorMessage="true" showInputMessage="true" sqref="C28:E28 C41:E43 C45:E47 C50:E51 C54:E56 C58:E63 C66:E69" type="decimal">
      <formula1>-10000000</formula1>
      <formula2>10000000</formula2>
    </dataValidation>
    <dataValidation allowBlank="true" errorStyle="stop" operator="between" showDropDown="false" showErrorMessage="true" showInputMessage="true" sqref="C44:E44 C52:E52 C57:E57" type="decimal">
      <formula1>-1000000</formula1>
      <formula2>10000000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2026-03-18T20:21:45Z</dcterms:created>
  <dc:creator>openpyxl</dc:creator>
  <dc:description/>
  <dc:language>en-GB</dc:language>
  <cp:lastModifiedBy/>
  <dcterms:modified xsi:type="dcterms:W3CDTF">2026-03-19T18:54:09Z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